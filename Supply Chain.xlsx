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D:\Course\Data Analytics\Project\Project 2\Supply chain\Final\Excel\"/>
    </mc:Choice>
  </mc:AlternateContent>
  <xr:revisionPtr revIDLastSave="0" documentId="13_ncr:1_{70394CCD-D51D-440A-B25D-086D78ABB2A5}" xr6:coauthVersionLast="47" xr6:coauthVersionMax="47" xr10:uidLastSave="{00000000-0000-0000-0000-000000000000}"/>
  <bookViews>
    <workbookView xWindow="-108" yWindow="-108" windowWidth="23256" windowHeight="12456" activeTab="2" xr2:uid="{00000000-000D-0000-FFFF-FFFF00000000}"/>
  </bookViews>
  <sheets>
    <sheet name="Supply Chain" sheetId="1" r:id="rId1"/>
    <sheet name="KPIS" sheetId="2" r:id="rId2"/>
    <sheet name="Dashboard" sheetId="3" r:id="rId3"/>
  </sheets>
  <definedNames>
    <definedName name="Slicer_Category">#N/A</definedName>
    <definedName name="Slicer_City">#N/A</definedName>
    <definedName name="Slicer_Country">#N/A</definedName>
    <definedName name="Slicer_Region">#N/A</definedName>
    <definedName name="Slicer_Ship_Mode">#N/A</definedName>
    <definedName name="Slicer_Supplier_Nam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2" i="1" l="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374" i="1"/>
  <c r="AG375" i="1"/>
  <c r="AG376" i="1"/>
  <c r="AG377" i="1"/>
  <c r="AG378" i="1"/>
  <c r="AG379" i="1"/>
  <c r="AG380" i="1"/>
  <c r="AG381" i="1"/>
  <c r="AG382" i="1"/>
  <c r="AG383" i="1"/>
  <c r="AG384" i="1"/>
  <c r="AG385" i="1"/>
  <c r="AG386" i="1"/>
  <c r="AG387" i="1"/>
  <c r="AG388" i="1"/>
  <c r="AG389" i="1"/>
  <c r="AG390" i="1"/>
  <c r="AG391" i="1"/>
  <c r="AG392" i="1"/>
  <c r="AG393" i="1"/>
  <c r="AG394" i="1"/>
  <c r="AG395" i="1"/>
  <c r="AG396" i="1"/>
  <c r="AG397" i="1"/>
  <c r="AG398" i="1"/>
  <c r="AG399" i="1"/>
  <c r="AG400" i="1"/>
  <c r="AG401" i="1"/>
  <c r="AG402" i="1"/>
  <c r="AG403" i="1"/>
  <c r="AG404" i="1"/>
  <c r="AG405" i="1"/>
  <c r="AG406" i="1"/>
  <c r="AG407" i="1"/>
  <c r="AG408" i="1"/>
  <c r="AG409" i="1"/>
  <c r="AG410" i="1"/>
  <c r="AG411" i="1"/>
  <c r="AG412" i="1"/>
  <c r="AG413" i="1"/>
  <c r="AG414" i="1"/>
  <c r="AG415" i="1"/>
  <c r="AG416" i="1"/>
  <c r="AG417" i="1"/>
  <c r="AG418" i="1"/>
  <c r="AG419" i="1"/>
  <c r="AG420" i="1"/>
  <c r="AG421" i="1"/>
  <c r="AG422" i="1"/>
  <c r="AG423" i="1"/>
  <c r="AG424" i="1"/>
  <c r="AG425" i="1"/>
  <c r="AG426" i="1"/>
  <c r="AG427" i="1"/>
  <c r="AG428" i="1"/>
  <c r="AG429" i="1"/>
  <c r="AG430" i="1"/>
  <c r="AG431" i="1"/>
  <c r="AG432" i="1"/>
  <c r="AG433" i="1"/>
  <c r="AG434" i="1"/>
  <c r="AG435" i="1"/>
  <c r="AG436" i="1"/>
  <c r="AG437" i="1"/>
  <c r="AG438" i="1"/>
  <c r="AG439" i="1"/>
  <c r="AG440" i="1"/>
  <c r="AG441" i="1"/>
  <c r="AG442" i="1"/>
  <c r="AG443" i="1"/>
  <c r="AG444" i="1"/>
  <c r="AG445" i="1"/>
  <c r="AG446" i="1"/>
  <c r="AG447" i="1"/>
  <c r="AG448" i="1"/>
  <c r="AG449" i="1"/>
  <c r="AG450" i="1"/>
  <c r="AG451" i="1"/>
  <c r="AG452" i="1"/>
  <c r="AG453" i="1"/>
  <c r="AG454" i="1"/>
  <c r="AG455" i="1"/>
  <c r="AG456" i="1"/>
  <c r="AG457" i="1"/>
  <c r="AG458" i="1"/>
  <c r="AG459" i="1"/>
  <c r="AG460" i="1"/>
  <c r="AG461" i="1"/>
  <c r="AG462" i="1"/>
  <c r="AG463" i="1"/>
  <c r="AG464" i="1"/>
  <c r="AG465" i="1"/>
  <c r="AG466" i="1"/>
  <c r="AG467" i="1"/>
  <c r="AG468" i="1"/>
  <c r="AG469" i="1"/>
  <c r="AG470" i="1"/>
  <c r="AG471" i="1"/>
  <c r="AG472" i="1"/>
  <c r="AG473" i="1"/>
  <c r="AG474" i="1"/>
  <c r="AG475" i="1"/>
  <c r="AG476" i="1"/>
  <c r="AG477" i="1"/>
  <c r="AG478" i="1"/>
  <c r="AG479" i="1"/>
  <c r="AG480" i="1"/>
  <c r="AG481" i="1"/>
  <c r="AG482" i="1"/>
  <c r="AG483" i="1"/>
  <c r="AG484" i="1"/>
  <c r="AG485" i="1"/>
  <c r="AG486" i="1"/>
  <c r="AG487" i="1"/>
  <c r="AG488" i="1"/>
  <c r="AG489" i="1"/>
  <c r="AG490" i="1"/>
  <c r="AG491" i="1"/>
  <c r="AG492" i="1"/>
  <c r="AG493" i="1"/>
  <c r="AG494" i="1"/>
  <c r="AG495" i="1"/>
  <c r="AG496" i="1"/>
  <c r="AG497" i="1"/>
  <c r="AG498" i="1"/>
  <c r="AG499" i="1"/>
  <c r="AG500" i="1"/>
  <c r="AG501" i="1"/>
  <c r="AG502" i="1"/>
  <c r="AG503" i="1"/>
  <c r="AG504" i="1"/>
  <c r="AG505" i="1"/>
  <c r="AG506" i="1"/>
  <c r="AG507" i="1"/>
  <c r="AG508" i="1"/>
  <c r="AG509" i="1"/>
  <c r="AG510" i="1"/>
  <c r="AG511" i="1"/>
  <c r="AG512" i="1"/>
  <c r="AG513" i="1"/>
  <c r="AG514" i="1"/>
  <c r="AG515" i="1"/>
  <c r="AG516" i="1"/>
  <c r="AG517" i="1"/>
  <c r="AG518" i="1"/>
  <c r="AG519" i="1"/>
  <c r="AG520" i="1"/>
  <c r="AG521" i="1"/>
  <c r="AG522" i="1"/>
  <c r="AG523" i="1"/>
  <c r="AG524" i="1"/>
  <c r="AG525" i="1"/>
  <c r="AG526" i="1"/>
  <c r="AG527" i="1"/>
  <c r="AG528" i="1"/>
  <c r="AG529" i="1"/>
  <c r="AG530" i="1"/>
  <c r="AG531" i="1"/>
  <c r="AG532" i="1"/>
  <c r="AG533" i="1"/>
  <c r="AG534" i="1"/>
  <c r="AG535" i="1"/>
  <c r="AG536" i="1"/>
  <c r="AG537" i="1"/>
  <c r="AG538" i="1"/>
  <c r="AG539" i="1"/>
  <c r="AG540" i="1"/>
  <c r="AG541" i="1"/>
  <c r="AG542" i="1"/>
  <c r="AG543" i="1"/>
  <c r="AG544" i="1"/>
  <c r="AG545" i="1"/>
  <c r="AG546" i="1"/>
  <c r="AG547" i="1"/>
  <c r="AG548" i="1"/>
  <c r="AG549" i="1"/>
  <c r="AG550" i="1"/>
  <c r="AG551" i="1"/>
  <c r="AG552" i="1"/>
  <c r="AG553" i="1"/>
  <c r="AG554" i="1"/>
  <c r="AG555" i="1"/>
  <c r="AG556" i="1"/>
  <c r="AG557" i="1"/>
  <c r="AG558" i="1"/>
  <c r="AG559" i="1"/>
  <c r="AG560" i="1"/>
  <c r="AG561" i="1"/>
  <c r="AG562" i="1"/>
  <c r="AG563" i="1"/>
  <c r="AG564" i="1"/>
  <c r="AG565" i="1"/>
  <c r="AG566" i="1"/>
  <c r="AG567" i="1"/>
  <c r="AG568" i="1"/>
  <c r="AG569" i="1"/>
  <c r="AG570" i="1"/>
  <c r="AG571" i="1"/>
  <c r="AG572" i="1"/>
  <c r="AG573" i="1"/>
  <c r="AG574" i="1"/>
  <c r="AG575" i="1"/>
  <c r="AG576" i="1"/>
  <c r="AG577" i="1"/>
  <c r="AG578" i="1"/>
  <c r="AG579" i="1"/>
  <c r="AG580" i="1"/>
  <c r="AG581" i="1"/>
  <c r="AG582" i="1"/>
  <c r="AG583" i="1"/>
  <c r="AG584" i="1"/>
  <c r="AG585" i="1"/>
  <c r="AG586" i="1"/>
  <c r="AG587" i="1"/>
  <c r="AG588" i="1"/>
  <c r="AG589" i="1"/>
  <c r="AG590" i="1"/>
  <c r="AG591" i="1"/>
  <c r="AG592" i="1"/>
  <c r="AG593" i="1"/>
  <c r="AG594" i="1"/>
  <c r="AG595" i="1"/>
  <c r="AG596" i="1"/>
  <c r="AG597" i="1"/>
  <c r="AG598" i="1"/>
  <c r="AG599" i="1"/>
  <c r="AG600" i="1"/>
  <c r="AG601" i="1"/>
  <c r="AG602" i="1"/>
  <c r="AG603" i="1"/>
  <c r="AG604" i="1"/>
  <c r="AG605" i="1"/>
  <c r="AG606" i="1"/>
  <c r="AG607" i="1"/>
  <c r="AG608" i="1"/>
  <c r="AG609" i="1"/>
  <c r="AG610" i="1"/>
  <c r="AG611" i="1"/>
  <c r="AG612" i="1"/>
  <c r="AG613" i="1"/>
  <c r="AG614" i="1"/>
  <c r="AG615" i="1"/>
  <c r="AG616" i="1"/>
  <c r="AG617" i="1"/>
  <c r="AG618" i="1"/>
  <c r="AG619" i="1"/>
  <c r="AG620" i="1"/>
  <c r="AG621" i="1"/>
  <c r="AG622" i="1"/>
  <c r="AG623" i="1"/>
  <c r="AG624" i="1"/>
  <c r="AG625" i="1"/>
  <c r="AG626" i="1"/>
  <c r="AG627" i="1"/>
  <c r="AG628" i="1"/>
  <c r="AG629" i="1"/>
  <c r="AG630" i="1"/>
  <c r="AG631" i="1"/>
  <c r="AG632" i="1"/>
  <c r="AG633" i="1"/>
  <c r="AG634" i="1"/>
  <c r="AG635" i="1"/>
  <c r="AG636" i="1"/>
  <c r="AG637" i="1"/>
  <c r="AG638" i="1"/>
  <c r="AG639" i="1"/>
  <c r="AG640" i="1"/>
  <c r="AG641" i="1"/>
  <c r="AG642" i="1"/>
  <c r="AG643" i="1"/>
  <c r="AG644" i="1"/>
  <c r="AG645" i="1"/>
  <c r="AG646" i="1"/>
  <c r="AG647" i="1"/>
  <c r="AG648" i="1"/>
  <c r="AG649" i="1"/>
  <c r="AG650" i="1"/>
  <c r="AG651" i="1"/>
  <c r="AG652" i="1"/>
  <c r="AG653" i="1"/>
  <c r="AG654" i="1"/>
  <c r="AG655" i="1"/>
  <c r="AG656" i="1"/>
  <c r="AG657" i="1"/>
  <c r="AG658" i="1"/>
  <c r="AG659" i="1"/>
  <c r="AG660" i="1"/>
  <c r="AG661" i="1"/>
  <c r="AG662" i="1"/>
  <c r="AG663" i="1"/>
  <c r="AG664" i="1"/>
  <c r="AG665" i="1"/>
  <c r="AG666" i="1"/>
  <c r="AG667" i="1"/>
  <c r="AG668" i="1"/>
  <c r="AG669" i="1"/>
  <c r="AG670" i="1"/>
  <c r="AG671" i="1"/>
  <c r="AG672" i="1"/>
  <c r="AG673" i="1"/>
  <c r="AG674" i="1"/>
  <c r="AG675" i="1"/>
  <c r="AG676" i="1"/>
  <c r="AG677" i="1"/>
  <c r="AG678" i="1"/>
  <c r="AG679" i="1"/>
  <c r="AG680" i="1"/>
  <c r="AG681" i="1"/>
  <c r="AG682" i="1"/>
  <c r="AG683" i="1"/>
  <c r="AG684" i="1"/>
  <c r="AG685" i="1"/>
  <c r="AG686" i="1"/>
  <c r="AG687" i="1"/>
  <c r="AG688" i="1"/>
  <c r="AG689" i="1"/>
  <c r="AG690" i="1"/>
  <c r="AG691" i="1"/>
  <c r="AG692" i="1"/>
  <c r="AG693" i="1"/>
  <c r="AG694" i="1"/>
  <c r="AG695" i="1"/>
  <c r="AG696" i="1"/>
  <c r="AG697" i="1"/>
  <c r="AG698" i="1"/>
  <c r="AG699" i="1"/>
  <c r="AG700" i="1"/>
  <c r="AG701" i="1"/>
  <c r="AG702" i="1"/>
  <c r="AG703" i="1"/>
  <c r="AG704" i="1"/>
  <c r="AG705" i="1"/>
  <c r="AG706" i="1"/>
  <c r="AG707" i="1"/>
  <c r="AG708" i="1"/>
  <c r="AG709" i="1"/>
  <c r="AG710" i="1"/>
  <c r="AG711" i="1"/>
  <c r="AG712" i="1"/>
  <c r="AG713" i="1"/>
  <c r="AG714" i="1"/>
  <c r="AG715" i="1"/>
  <c r="AG716" i="1"/>
  <c r="AG717" i="1"/>
  <c r="AG718" i="1"/>
  <c r="AG719" i="1"/>
  <c r="AG720" i="1"/>
  <c r="AG721" i="1"/>
  <c r="AG722" i="1"/>
  <c r="AG723" i="1"/>
  <c r="AG724" i="1"/>
  <c r="AG725" i="1"/>
  <c r="AG726" i="1"/>
  <c r="AG727" i="1"/>
  <c r="AG728" i="1"/>
  <c r="AG729" i="1"/>
  <c r="AG730" i="1"/>
  <c r="AG731" i="1"/>
  <c r="AG732" i="1"/>
  <c r="AG733" i="1"/>
  <c r="AG734" i="1"/>
  <c r="AG735" i="1"/>
  <c r="AG736" i="1"/>
  <c r="AG737" i="1"/>
  <c r="AG738" i="1"/>
  <c r="AG739" i="1"/>
  <c r="AG740" i="1"/>
  <c r="AG741" i="1"/>
  <c r="AG742" i="1"/>
  <c r="AG743" i="1"/>
  <c r="AG744" i="1"/>
  <c r="AG745" i="1"/>
  <c r="AG746" i="1"/>
  <c r="AG747" i="1"/>
  <c r="AG748" i="1"/>
  <c r="AG749" i="1"/>
  <c r="AG750" i="1"/>
  <c r="AG751" i="1"/>
  <c r="AG752" i="1"/>
  <c r="AG753" i="1"/>
  <c r="AG754" i="1"/>
  <c r="AG755" i="1"/>
  <c r="AG756" i="1"/>
  <c r="AG757" i="1"/>
  <c r="AG758" i="1"/>
  <c r="AG759" i="1"/>
  <c r="AG760" i="1"/>
  <c r="AG761" i="1"/>
  <c r="AG762" i="1"/>
  <c r="AG763" i="1"/>
  <c r="AG764" i="1"/>
  <c r="AG765" i="1"/>
  <c r="AG766" i="1"/>
  <c r="AG767" i="1"/>
  <c r="AG768" i="1"/>
  <c r="AG769" i="1"/>
  <c r="AG770" i="1"/>
  <c r="AG771" i="1"/>
  <c r="AG772" i="1"/>
  <c r="AG773" i="1"/>
  <c r="AG774" i="1"/>
  <c r="AG775" i="1"/>
  <c r="AG776" i="1"/>
  <c r="AG777" i="1"/>
  <c r="AG778" i="1"/>
  <c r="AG779" i="1"/>
  <c r="AG780" i="1"/>
  <c r="AG781" i="1"/>
  <c r="AG782" i="1"/>
  <c r="AG783" i="1"/>
  <c r="AG784" i="1"/>
  <c r="AG785" i="1"/>
  <c r="AG786" i="1"/>
  <c r="AG787" i="1"/>
  <c r="AG788" i="1"/>
  <c r="AG789" i="1"/>
  <c r="AG790" i="1"/>
  <c r="AG791" i="1"/>
  <c r="AG792" i="1"/>
  <c r="AG793" i="1"/>
  <c r="AG794" i="1"/>
  <c r="AG795" i="1"/>
  <c r="AG796" i="1"/>
  <c r="AG797" i="1"/>
  <c r="AG798" i="1"/>
  <c r="AG799" i="1"/>
  <c r="AG800" i="1"/>
  <c r="AG801" i="1"/>
  <c r="AG802" i="1"/>
  <c r="AG803" i="1"/>
  <c r="AG804" i="1"/>
  <c r="AG805" i="1"/>
  <c r="AG806" i="1"/>
  <c r="AG807" i="1"/>
  <c r="AG808" i="1"/>
  <c r="AG809" i="1"/>
  <c r="AG810" i="1"/>
  <c r="AG811" i="1"/>
  <c r="AG812" i="1"/>
  <c r="AG813" i="1"/>
  <c r="AG814" i="1"/>
  <c r="AG815" i="1"/>
  <c r="AG816" i="1"/>
  <c r="AG817" i="1"/>
  <c r="AG818" i="1"/>
  <c r="AG819" i="1"/>
  <c r="AG820" i="1"/>
  <c r="AG821" i="1"/>
  <c r="AG822" i="1"/>
  <c r="AG823" i="1"/>
  <c r="AG824" i="1"/>
  <c r="AG825" i="1"/>
  <c r="AG826" i="1"/>
  <c r="AG827" i="1"/>
  <c r="AG828" i="1"/>
  <c r="AG829" i="1"/>
  <c r="AG830" i="1"/>
  <c r="AG831" i="1"/>
  <c r="AG832" i="1"/>
  <c r="AG833" i="1"/>
  <c r="AG834" i="1"/>
  <c r="AG835" i="1"/>
  <c r="AG836" i="1"/>
  <c r="AG837" i="1"/>
  <c r="AG838" i="1"/>
  <c r="AG839" i="1"/>
  <c r="AG840" i="1"/>
  <c r="AG841" i="1"/>
  <c r="AG842" i="1"/>
  <c r="AG843" i="1"/>
  <c r="AG844" i="1"/>
  <c r="AG845" i="1"/>
  <c r="AG846" i="1"/>
  <c r="AG847" i="1"/>
  <c r="AG848" i="1"/>
  <c r="AG849" i="1"/>
  <c r="AG850" i="1"/>
  <c r="AG851" i="1"/>
  <c r="AG852" i="1"/>
  <c r="AG853" i="1"/>
  <c r="AG854" i="1"/>
  <c r="AG855" i="1"/>
  <c r="AG856" i="1"/>
  <c r="AG857" i="1"/>
  <c r="AG858" i="1"/>
  <c r="AG859" i="1"/>
  <c r="AG860" i="1"/>
  <c r="AG861" i="1"/>
  <c r="AG862" i="1"/>
  <c r="AG863" i="1"/>
  <c r="AG864" i="1"/>
  <c r="AG865" i="1"/>
  <c r="AG866" i="1"/>
  <c r="AG867" i="1"/>
  <c r="AG868" i="1"/>
  <c r="AG869" i="1"/>
  <c r="AG870" i="1"/>
  <c r="AG871" i="1"/>
  <c r="AG872" i="1"/>
  <c r="AG873" i="1"/>
  <c r="AG874" i="1"/>
  <c r="AG875" i="1"/>
  <c r="AG876" i="1"/>
  <c r="AG877" i="1"/>
  <c r="AG878" i="1"/>
  <c r="AG879" i="1"/>
  <c r="AG880" i="1"/>
  <c r="AG881" i="1"/>
  <c r="AG882" i="1"/>
  <c r="AG883" i="1"/>
  <c r="AG884" i="1"/>
  <c r="AG885" i="1"/>
  <c r="AG886" i="1"/>
  <c r="AG887" i="1"/>
  <c r="AG888" i="1"/>
  <c r="AG889" i="1"/>
  <c r="AG890" i="1"/>
  <c r="AG891" i="1"/>
  <c r="AG892" i="1"/>
  <c r="AG893" i="1"/>
  <c r="AG894" i="1"/>
  <c r="AG895" i="1"/>
  <c r="AG896" i="1"/>
  <c r="AG897" i="1"/>
  <c r="AG898" i="1"/>
  <c r="AG899" i="1"/>
  <c r="AG900" i="1"/>
  <c r="AG901" i="1"/>
  <c r="AG902" i="1"/>
  <c r="AG903" i="1"/>
  <c r="AG904" i="1"/>
  <c r="AG905" i="1"/>
  <c r="AG906" i="1"/>
  <c r="AG907" i="1"/>
  <c r="AG908" i="1"/>
  <c r="AG909" i="1"/>
  <c r="AG910" i="1"/>
  <c r="AG911" i="1"/>
  <c r="AG912" i="1"/>
  <c r="AG913" i="1"/>
  <c r="AG914" i="1"/>
  <c r="AG915" i="1"/>
  <c r="AG916" i="1"/>
  <c r="AG917" i="1"/>
  <c r="AG918" i="1"/>
  <c r="AG919" i="1"/>
  <c r="AG920" i="1"/>
  <c r="AG921" i="1"/>
  <c r="AG922" i="1"/>
  <c r="AG923" i="1"/>
  <c r="AG924" i="1"/>
  <c r="AG925" i="1"/>
  <c r="AG926" i="1"/>
  <c r="AG927" i="1"/>
  <c r="AG928" i="1"/>
  <c r="AG929" i="1"/>
  <c r="AG930" i="1"/>
  <c r="AG931" i="1"/>
  <c r="AG932" i="1"/>
  <c r="AG933" i="1"/>
  <c r="AG934" i="1"/>
  <c r="AG935" i="1"/>
  <c r="AG936" i="1"/>
  <c r="AG937" i="1"/>
  <c r="AG938" i="1"/>
  <c r="AG939" i="1"/>
  <c r="AG940" i="1"/>
  <c r="AG941" i="1"/>
  <c r="AG942" i="1"/>
  <c r="AG943" i="1"/>
  <c r="AG944" i="1"/>
  <c r="AG945" i="1"/>
  <c r="AG946" i="1"/>
  <c r="AG947" i="1"/>
  <c r="AG948" i="1"/>
  <c r="AG949" i="1"/>
  <c r="AG950" i="1"/>
  <c r="AG951" i="1"/>
  <c r="AG952" i="1"/>
  <c r="AG953" i="1"/>
  <c r="AG954" i="1"/>
  <c r="AG955" i="1"/>
  <c r="AG956" i="1"/>
  <c r="AG957" i="1"/>
  <c r="AG958" i="1"/>
  <c r="AG959" i="1"/>
  <c r="AG960" i="1"/>
  <c r="AG961" i="1"/>
  <c r="AG962" i="1"/>
  <c r="AG963" i="1"/>
  <c r="AG964" i="1"/>
  <c r="AG965" i="1"/>
  <c r="AG966" i="1"/>
  <c r="AG967" i="1"/>
  <c r="AG968" i="1"/>
  <c r="AG969" i="1"/>
  <c r="AG970" i="1"/>
  <c r="AG971" i="1"/>
  <c r="AG972" i="1"/>
  <c r="AG973" i="1"/>
  <c r="AG974" i="1"/>
  <c r="AG975" i="1"/>
  <c r="AG976" i="1"/>
  <c r="AG977" i="1"/>
  <c r="AG978" i="1"/>
  <c r="AG979" i="1"/>
  <c r="AG980" i="1"/>
  <c r="AG981" i="1"/>
  <c r="AG982" i="1"/>
  <c r="AG983" i="1"/>
  <c r="AG984" i="1"/>
  <c r="AG985" i="1"/>
  <c r="AG986" i="1"/>
  <c r="AG987" i="1"/>
  <c r="AG988" i="1"/>
  <c r="AG989" i="1"/>
  <c r="AG990" i="1"/>
  <c r="AG991" i="1"/>
  <c r="AG992" i="1"/>
  <c r="AG993" i="1"/>
  <c r="AG994" i="1"/>
  <c r="AG995" i="1"/>
  <c r="AG996" i="1"/>
  <c r="AG997" i="1"/>
  <c r="AG998" i="1"/>
  <c r="AG999" i="1"/>
  <c r="AG1000" i="1"/>
  <c r="AG10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T15" i="3"/>
  <c r="P15" i="3"/>
  <c r="L15" i="3"/>
  <c r="S10" i="3"/>
  <c r="O5" i="3"/>
  <c r="O10" i="3"/>
  <c r="L10" i="3"/>
  <c r="S5" i="3"/>
  <c r="L5" i="3"/>
</calcChain>
</file>

<file path=xl/sharedStrings.xml><?xml version="1.0" encoding="utf-8"?>
<sst xmlns="http://schemas.openxmlformats.org/spreadsheetml/2006/main" count="17127" uniqueCount="4339">
  <si>
    <t>Order_ID</t>
  </si>
  <si>
    <t>Customer_ID</t>
  </si>
  <si>
    <t>Order_Date</t>
  </si>
  <si>
    <t>Ship_Date</t>
  </si>
  <si>
    <t>Ship_Mode</t>
  </si>
  <si>
    <t>Region</t>
  </si>
  <si>
    <t>Country</t>
  </si>
  <si>
    <t>City</t>
  </si>
  <si>
    <t>Category</t>
  </si>
  <si>
    <t>Unit_Price</t>
  </si>
  <si>
    <t>Quantity</t>
  </si>
  <si>
    <t>Supplier_ID</t>
  </si>
  <si>
    <t>Supplier_Name</t>
  </si>
  <si>
    <t>Warehouse_ID</t>
  </si>
  <si>
    <t>Transport_Mode</t>
  </si>
  <si>
    <t>Carrier</t>
  </si>
  <si>
    <t>Route</t>
  </si>
  <si>
    <t>Stock_On_Hand</t>
  </si>
  <si>
    <t>Reorder_Level</t>
  </si>
  <si>
    <t>Lead_Time_Days</t>
  </si>
  <si>
    <t>Procurement_Cost</t>
  </si>
  <si>
    <t>Transportation_Cost</t>
  </si>
  <si>
    <t>Total_Cost</t>
  </si>
  <si>
    <t>Delivery_Status</t>
  </si>
  <si>
    <t>Delay_Days</t>
  </si>
  <si>
    <t>Fill_Rate</t>
  </si>
  <si>
    <t>Forecast_Demand</t>
  </si>
  <si>
    <t>Actual_Demand</t>
  </si>
  <si>
    <t>O1000000</t>
  </si>
  <si>
    <t>C6915</t>
  </si>
  <si>
    <t>Same-day</t>
  </si>
  <si>
    <t>Asia</t>
  </si>
  <si>
    <t>USA</t>
  </si>
  <si>
    <t>New York</t>
  </si>
  <si>
    <t>S933</t>
  </si>
  <si>
    <t>Alpha Corp</t>
  </si>
  <si>
    <t>W10</t>
  </si>
  <si>
    <t>Air</t>
  </si>
  <si>
    <t>FedEx</t>
  </si>
  <si>
    <t>Beijing-New York</t>
  </si>
  <si>
    <t>Delayed</t>
  </si>
  <si>
    <t>O1000001</t>
  </si>
  <si>
    <t>C5679</t>
  </si>
  <si>
    <t>Express</t>
  </si>
  <si>
    <t>North America</t>
  </si>
  <si>
    <t>India</t>
  </si>
  <si>
    <t>Berlin</t>
  </si>
  <si>
    <t>S987</t>
  </si>
  <si>
    <t>Delta Traders</t>
  </si>
  <si>
    <t>W49</t>
  </si>
  <si>
    <t>Road</t>
  </si>
  <si>
    <t>Toronto-Cape Town</t>
  </si>
  <si>
    <t>On-time</t>
  </si>
  <si>
    <t>O1000002</t>
  </si>
  <si>
    <t>C3498</t>
  </si>
  <si>
    <t>Standard</t>
  </si>
  <si>
    <t>Canada</t>
  </si>
  <si>
    <t>Mumbai</t>
  </si>
  <si>
    <t>S822</t>
  </si>
  <si>
    <t>W38</t>
  </si>
  <si>
    <t>DHL</t>
  </si>
  <si>
    <t>São Paulo-Cape Town</t>
  </si>
  <si>
    <t>O1000003</t>
  </si>
  <si>
    <t>C8748</t>
  </si>
  <si>
    <t>South America</t>
  </si>
  <si>
    <t>China</t>
  </si>
  <si>
    <t>Toronto</t>
  </si>
  <si>
    <t>S114</t>
  </si>
  <si>
    <t>Gamma Inc</t>
  </si>
  <si>
    <t>W45</t>
  </si>
  <si>
    <t>Rail</t>
  </si>
  <si>
    <t>Maersk</t>
  </si>
  <si>
    <t>Cape Town-Toronto</t>
  </si>
  <si>
    <t>O1000004</t>
  </si>
  <si>
    <t>C7620</t>
  </si>
  <si>
    <t>Africa</t>
  </si>
  <si>
    <t>UK</t>
  </si>
  <si>
    <t>S554</t>
  </si>
  <si>
    <t>W16</t>
  </si>
  <si>
    <t>BlueDart</t>
  </si>
  <si>
    <t>Berlin-São Paulo</t>
  </si>
  <si>
    <t>O1000005</t>
  </si>
  <si>
    <t>C2078</t>
  </si>
  <si>
    <t>Germany</t>
  </si>
  <si>
    <t>Furniture</t>
  </si>
  <si>
    <t>S135</t>
  </si>
  <si>
    <t>Epsilon LLC</t>
  </si>
  <si>
    <t>W15</t>
  </si>
  <si>
    <t>Toronto-Toronto</t>
  </si>
  <si>
    <t>O1000006</t>
  </si>
  <si>
    <t>C6228</t>
  </si>
  <si>
    <t>South Africa</t>
  </si>
  <si>
    <t>São Paulo</t>
  </si>
  <si>
    <t>S974</t>
  </si>
  <si>
    <t>W34</t>
  </si>
  <si>
    <t>Cape Town-São Paulo</t>
  </si>
  <si>
    <t>O1000007</t>
  </si>
  <si>
    <t>C7718</t>
  </si>
  <si>
    <t>S154</t>
  </si>
  <si>
    <t>W6</t>
  </si>
  <si>
    <t>UPS</t>
  </si>
  <si>
    <t>Berlin-New York</t>
  </si>
  <si>
    <t>O1000008</t>
  </si>
  <si>
    <t>C3973</t>
  </si>
  <si>
    <t>S357</t>
  </si>
  <si>
    <t>W25</t>
  </si>
  <si>
    <t>New York-Beijing</t>
  </si>
  <si>
    <t>O1000009</t>
  </si>
  <si>
    <t>C1323</t>
  </si>
  <si>
    <t>S160</t>
  </si>
  <si>
    <t>Beta Ltd</t>
  </si>
  <si>
    <t>W5</t>
  </si>
  <si>
    <t>London-Berlin</t>
  </si>
  <si>
    <t>O1000010</t>
  </si>
  <si>
    <t>C3178</t>
  </si>
  <si>
    <t>Europe</t>
  </si>
  <si>
    <t>Beijing</t>
  </si>
  <si>
    <t>S132</t>
  </si>
  <si>
    <t>W4</t>
  </si>
  <si>
    <t>Sea</t>
  </si>
  <si>
    <t>Mumbai-Cape Town</t>
  </si>
  <si>
    <t>O1000011</t>
  </si>
  <si>
    <t>C3505</t>
  </si>
  <si>
    <t>S546</t>
  </si>
  <si>
    <t>W47</t>
  </si>
  <si>
    <t>Cape Town-Mumbai</t>
  </si>
  <si>
    <t>O1000012</t>
  </si>
  <si>
    <t>C4735</t>
  </si>
  <si>
    <t>Cape Town</t>
  </si>
  <si>
    <t>S468</t>
  </si>
  <si>
    <t>W29</t>
  </si>
  <si>
    <t>Beijing-London</t>
  </si>
  <si>
    <t>O1000013</t>
  </si>
  <si>
    <t>C1316</t>
  </si>
  <si>
    <t>S674</t>
  </si>
  <si>
    <t>W1</t>
  </si>
  <si>
    <t>Berlin-Cape Town</t>
  </si>
  <si>
    <t>O1000014</t>
  </si>
  <si>
    <t>C8897</t>
  </si>
  <si>
    <t>S777</t>
  </si>
  <si>
    <t>W40</t>
  </si>
  <si>
    <t>Beijing-Cape Town</t>
  </si>
  <si>
    <t>O1000015</t>
  </si>
  <si>
    <t>C9273</t>
  </si>
  <si>
    <t>S303</t>
  </si>
  <si>
    <t>W9</t>
  </si>
  <si>
    <t>Berlin-Beijing</t>
  </si>
  <si>
    <t>O1000016</t>
  </si>
  <si>
    <t>C8456</t>
  </si>
  <si>
    <t>S613</t>
  </si>
  <si>
    <t>Mumbai-New York</t>
  </si>
  <si>
    <t>O1000017</t>
  </si>
  <si>
    <t>C2608</t>
  </si>
  <si>
    <t>S227</t>
  </si>
  <si>
    <t>W3</t>
  </si>
  <si>
    <t>New York-Cape Town</t>
  </si>
  <si>
    <t>O1000018</t>
  </si>
  <si>
    <t>C3534</t>
  </si>
  <si>
    <t>S665</t>
  </si>
  <si>
    <t>O1000019</t>
  </si>
  <si>
    <t>C6902</t>
  </si>
  <si>
    <t>S742</t>
  </si>
  <si>
    <t>W28</t>
  </si>
  <si>
    <t>Cape Town-New York</t>
  </si>
  <si>
    <t>O1000020</t>
  </si>
  <si>
    <t>C9827</t>
  </si>
  <si>
    <t>London</t>
  </si>
  <si>
    <t>S752</t>
  </si>
  <si>
    <t>Mumbai-São Paulo</t>
  </si>
  <si>
    <t>O1000021</t>
  </si>
  <si>
    <t>C4756</t>
  </si>
  <si>
    <t>S448</t>
  </si>
  <si>
    <t>W26</t>
  </si>
  <si>
    <t>O1000022</t>
  </si>
  <si>
    <t>C6997</t>
  </si>
  <si>
    <t>S825</t>
  </si>
  <si>
    <t>W44</t>
  </si>
  <si>
    <t>Cape Town-London</t>
  </si>
  <si>
    <t>O1000023</t>
  </si>
  <si>
    <t>C1028</t>
  </si>
  <si>
    <t>S576</t>
  </si>
  <si>
    <t>W8</t>
  </si>
  <si>
    <t>London-São Paulo</t>
  </si>
  <si>
    <t>O1000024</t>
  </si>
  <si>
    <t>C4401</t>
  </si>
  <si>
    <t>S412</t>
  </si>
  <si>
    <t>W30</t>
  </si>
  <si>
    <t>London-Toronto</t>
  </si>
  <si>
    <t>O1000025</t>
  </si>
  <si>
    <t>C4979</t>
  </si>
  <si>
    <t>S664</t>
  </si>
  <si>
    <t>Berlin-Toronto</t>
  </si>
  <si>
    <t>O1000026</t>
  </si>
  <si>
    <t>C9865</t>
  </si>
  <si>
    <t>S710</t>
  </si>
  <si>
    <t>W7</t>
  </si>
  <si>
    <t>New York-São Paulo</t>
  </si>
  <si>
    <t>O1000027</t>
  </si>
  <si>
    <t>C4004</t>
  </si>
  <si>
    <t>S764</t>
  </si>
  <si>
    <t>O1000028</t>
  </si>
  <si>
    <t>C6243</t>
  </si>
  <si>
    <t>S306</t>
  </si>
  <si>
    <t>São Paulo-London</t>
  </si>
  <si>
    <t>O1000029</t>
  </si>
  <si>
    <t>C4550</t>
  </si>
  <si>
    <t>S936</t>
  </si>
  <si>
    <t>Beijing-Berlin</t>
  </si>
  <si>
    <t>O1000030</t>
  </si>
  <si>
    <t>C4586</t>
  </si>
  <si>
    <t>S366</t>
  </si>
  <si>
    <t>O1000031</t>
  </si>
  <si>
    <t>C1027</t>
  </si>
  <si>
    <t>S203</t>
  </si>
  <si>
    <t>W13</t>
  </si>
  <si>
    <t>São Paulo-Mumbai</t>
  </si>
  <si>
    <t>O1000032</t>
  </si>
  <si>
    <t>C9007</t>
  </si>
  <si>
    <t>S104</t>
  </si>
  <si>
    <t>Mumbai-Mumbai</t>
  </si>
  <si>
    <t>O1000033</t>
  </si>
  <si>
    <t>C5653</t>
  </si>
  <si>
    <t>S156</t>
  </si>
  <si>
    <t>London-Cape Town</t>
  </si>
  <si>
    <t>O1000034</t>
  </si>
  <si>
    <t>C1669</t>
  </si>
  <si>
    <t>S386</t>
  </si>
  <si>
    <t>Beijing-Beijing</t>
  </si>
  <si>
    <t>O1000035</t>
  </si>
  <si>
    <t>C7631</t>
  </si>
  <si>
    <t>S148</t>
  </si>
  <si>
    <t>W37</t>
  </si>
  <si>
    <t>Cape Town-Berlin</t>
  </si>
  <si>
    <t>O1000036</t>
  </si>
  <si>
    <t>C3771</t>
  </si>
  <si>
    <t>S525</t>
  </si>
  <si>
    <t>W14</t>
  </si>
  <si>
    <t>O1000037</t>
  </si>
  <si>
    <t>C9325</t>
  </si>
  <si>
    <t>S845</t>
  </si>
  <si>
    <t>W23</t>
  </si>
  <si>
    <t>Berlin-Mumbai</t>
  </si>
  <si>
    <t>O1000038</t>
  </si>
  <si>
    <t>C9195</t>
  </si>
  <si>
    <t>S139</t>
  </si>
  <si>
    <t>O1000039</t>
  </si>
  <si>
    <t>C4804</t>
  </si>
  <si>
    <t>Brazil</t>
  </si>
  <si>
    <t>W46</t>
  </si>
  <si>
    <t>Toronto-London</t>
  </si>
  <si>
    <t>O1000040</t>
  </si>
  <si>
    <t>C8013</t>
  </si>
  <si>
    <t>S990</t>
  </si>
  <si>
    <t>W35</t>
  </si>
  <si>
    <t>O1000041</t>
  </si>
  <si>
    <t>C6886</t>
  </si>
  <si>
    <t>S112</t>
  </si>
  <si>
    <t>São Paulo-Beijing</t>
  </si>
  <si>
    <t>O1000042</t>
  </si>
  <si>
    <t>C8484</t>
  </si>
  <si>
    <t>S370</t>
  </si>
  <si>
    <t>O1000043</t>
  </si>
  <si>
    <t>C2385</t>
  </si>
  <si>
    <t>S505</t>
  </si>
  <si>
    <t>W39</t>
  </si>
  <si>
    <t>Toronto-São Paulo</t>
  </si>
  <si>
    <t>O1000044</t>
  </si>
  <si>
    <t>C2707</t>
  </si>
  <si>
    <t>S602</t>
  </si>
  <si>
    <t>W48</t>
  </si>
  <si>
    <t>Beijing-São Paulo</t>
  </si>
  <si>
    <t>O1000045</t>
  </si>
  <si>
    <t>C9057</t>
  </si>
  <si>
    <t>S598</t>
  </si>
  <si>
    <t>O1000046</t>
  </si>
  <si>
    <t>C1719</t>
  </si>
  <si>
    <t>S272</t>
  </si>
  <si>
    <t>W24</t>
  </si>
  <si>
    <t>O1000047</t>
  </si>
  <si>
    <t>C1158</t>
  </si>
  <si>
    <t>S953</t>
  </si>
  <si>
    <t>O1000048</t>
  </si>
  <si>
    <t>C4222</t>
  </si>
  <si>
    <t>S958</t>
  </si>
  <si>
    <t>O1000049</t>
  </si>
  <si>
    <t>C8957</t>
  </si>
  <si>
    <t>S392</t>
  </si>
  <si>
    <t>O1000050</t>
  </si>
  <si>
    <t>C7555</t>
  </si>
  <si>
    <t>S837</t>
  </si>
  <si>
    <t>W17</t>
  </si>
  <si>
    <t>São Paulo-New York</t>
  </si>
  <si>
    <t>O1000051</t>
  </si>
  <si>
    <t>C1034</t>
  </si>
  <si>
    <t>S814</t>
  </si>
  <si>
    <t>O1000052</t>
  </si>
  <si>
    <t>C4232</t>
  </si>
  <si>
    <t>New York-New York</t>
  </si>
  <si>
    <t>O1000053</t>
  </si>
  <si>
    <t>C7882</t>
  </si>
  <si>
    <t>S278</t>
  </si>
  <si>
    <t>W21</t>
  </si>
  <si>
    <t>London-Mumbai</t>
  </si>
  <si>
    <t>O1000054</t>
  </si>
  <si>
    <t>C7862</t>
  </si>
  <si>
    <t>S157</t>
  </si>
  <si>
    <t>W20</t>
  </si>
  <si>
    <t>O1000055</t>
  </si>
  <si>
    <t>C9281</t>
  </si>
  <si>
    <t>S763</t>
  </si>
  <si>
    <t>Toronto-Mumbai</t>
  </si>
  <si>
    <t>O1000056</t>
  </si>
  <si>
    <t>C5357</t>
  </si>
  <si>
    <t>S919</t>
  </si>
  <si>
    <t>O1000057</t>
  </si>
  <si>
    <t>C3108</t>
  </si>
  <si>
    <t>Mumbai-Berlin</t>
  </si>
  <si>
    <t>O1000058</t>
  </si>
  <si>
    <t>C3864</t>
  </si>
  <si>
    <t>S538</t>
  </si>
  <si>
    <t>O1000059</t>
  </si>
  <si>
    <t>C4873</t>
  </si>
  <si>
    <t>S285</t>
  </si>
  <si>
    <t>W11</t>
  </si>
  <si>
    <t>O1000060</t>
  </si>
  <si>
    <t>C2688</t>
  </si>
  <si>
    <t>S930</t>
  </si>
  <si>
    <t>W31</t>
  </si>
  <si>
    <t>O1000061</t>
  </si>
  <si>
    <t>C6903</t>
  </si>
  <si>
    <t>S198</t>
  </si>
  <si>
    <t>São Paulo-Toronto</t>
  </si>
  <si>
    <t>O1000062</t>
  </si>
  <si>
    <t>C2104</t>
  </si>
  <si>
    <t>S968</t>
  </si>
  <si>
    <t>O1000063</t>
  </si>
  <si>
    <t>C1767</t>
  </si>
  <si>
    <t>S379</t>
  </si>
  <si>
    <t>Berlin-Berlin</t>
  </si>
  <si>
    <t>O1000064</t>
  </si>
  <si>
    <t>C5982</t>
  </si>
  <si>
    <t>O1000065</t>
  </si>
  <si>
    <t>C6311</t>
  </si>
  <si>
    <t>S440</t>
  </si>
  <si>
    <t>W19</t>
  </si>
  <si>
    <t>O1000066</t>
  </si>
  <si>
    <t>C3432</t>
  </si>
  <si>
    <t>O1000067</t>
  </si>
  <si>
    <t>C8169</t>
  </si>
  <si>
    <t>S557</t>
  </si>
  <si>
    <t>O1000068</t>
  </si>
  <si>
    <t>C5354</t>
  </si>
  <si>
    <t>S518</t>
  </si>
  <si>
    <t>O1000069</t>
  </si>
  <si>
    <t>C1433</t>
  </si>
  <si>
    <t>S529</t>
  </si>
  <si>
    <t>Beijing-Toronto</t>
  </si>
  <si>
    <t>O1000070</t>
  </si>
  <si>
    <t>C9862</t>
  </si>
  <si>
    <t>S426</t>
  </si>
  <si>
    <t>W12</t>
  </si>
  <si>
    <t>O1000071</t>
  </si>
  <si>
    <t>C2478</t>
  </si>
  <si>
    <t>S943</t>
  </si>
  <si>
    <t>O1000072</t>
  </si>
  <si>
    <t>C2586</t>
  </si>
  <si>
    <t>S333</t>
  </si>
  <si>
    <t>O1000073</t>
  </si>
  <si>
    <t>C9473</t>
  </si>
  <si>
    <t>W27</t>
  </si>
  <si>
    <t>Mumbai-Toronto</t>
  </si>
  <si>
    <t>O1000074</t>
  </si>
  <si>
    <t>C1081</t>
  </si>
  <si>
    <t>S243</t>
  </si>
  <si>
    <t>O1000075</t>
  </si>
  <si>
    <t>C5251</t>
  </si>
  <si>
    <t>S159</t>
  </si>
  <si>
    <t>W43</t>
  </si>
  <si>
    <t>Toronto-Beijing</t>
  </si>
  <si>
    <t>O1000076</t>
  </si>
  <si>
    <t>C6830</t>
  </si>
  <si>
    <t>S687</t>
  </si>
  <si>
    <t>O1000077</t>
  </si>
  <si>
    <t>C5957</t>
  </si>
  <si>
    <t>S107</t>
  </si>
  <si>
    <t>O1000078</t>
  </si>
  <si>
    <t>C1883</t>
  </si>
  <si>
    <t>S542</t>
  </si>
  <si>
    <t>W32</t>
  </si>
  <si>
    <t>London-Beijing</t>
  </si>
  <si>
    <t>O1000079</t>
  </si>
  <si>
    <t>C6759</t>
  </si>
  <si>
    <t>S253</t>
  </si>
  <si>
    <t>O1000080</t>
  </si>
  <si>
    <t>C2813</t>
  </si>
  <si>
    <t>S162</t>
  </si>
  <si>
    <t>O1000081</t>
  </si>
  <si>
    <t>C9596</t>
  </si>
  <si>
    <t>S565</t>
  </si>
  <si>
    <t>O1000082</t>
  </si>
  <si>
    <t>C3541</t>
  </si>
  <si>
    <t>O1000083</t>
  </si>
  <si>
    <t>C9877</t>
  </si>
  <si>
    <t>S897</t>
  </si>
  <si>
    <t>O1000084</t>
  </si>
  <si>
    <t>C4954</t>
  </si>
  <si>
    <t>S393</t>
  </si>
  <si>
    <t>O1000085</t>
  </si>
  <si>
    <t>C1507</t>
  </si>
  <si>
    <t>S369</t>
  </si>
  <si>
    <t>O1000086</t>
  </si>
  <si>
    <t>C8854</t>
  </si>
  <si>
    <t>S988</t>
  </si>
  <si>
    <t>O1000087</t>
  </si>
  <si>
    <t>C5795</t>
  </si>
  <si>
    <t>S522</t>
  </si>
  <si>
    <t>O1000088</t>
  </si>
  <si>
    <t>C3846</t>
  </si>
  <si>
    <t>S995</t>
  </si>
  <si>
    <t>W41</t>
  </si>
  <si>
    <t>O1000089</t>
  </si>
  <si>
    <t>C3309</t>
  </si>
  <si>
    <t>S801</t>
  </si>
  <si>
    <t>O1000090</t>
  </si>
  <si>
    <t>C3502</t>
  </si>
  <si>
    <t>S312</t>
  </si>
  <si>
    <t>O1000091</t>
  </si>
  <si>
    <t>C1182</t>
  </si>
  <si>
    <t>S310</t>
  </si>
  <si>
    <t>Cape Town-Beijing</t>
  </si>
  <si>
    <t>O1000092</t>
  </si>
  <si>
    <t>C5319</t>
  </si>
  <si>
    <t>S550</t>
  </si>
  <si>
    <t>O1000093</t>
  </si>
  <si>
    <t>C5567</t>
  </si>
  <si>
    <t>S166</t>
  </si>
  <si>
    <t>New York-Toronto</t>
  </si>
  <si>
    <t>O1000094</t>
  </si>
  <si>
    <t>C4479</t>
  </si>
  <si>
    <t>S254</t>
  </si>
  <si>
    <t>New York-Mumbai</t>
  </si>
  <si>
    <t>O1000095</t>
  </si>
  <si>
    <t>C3143</t>
  </si>
  <si>
    <t>S690</t>
  </si>
  <si>
    <t>O1000096</t>
  </si>
  <si>
    <t>C3261</t>
  </si>
  <si>
    <t>London-London</t>
  </si>
  <si>
    <t>O1000097</t>
  </si>
  <si>
    <t>C3141</t>
  </si>
  <si>
    <t>S349</t>
  </si>
  <si>
    <t>O1000098</t>
  </si>
  <si>
    <t>C4662</t>
  </si>
  <si>
    <t>S347</t>
  </si>
  <si>
    <t>O1000099</t>
  </si>
  <si>
    <t>C1633</t>
  </si>
  <si>
    <t>S438</t>
  </si>
  <si>
    <t>O1000100</t>
  </si>
  <si>
    <t>C3638</t>
  </si>
  <si>
    <t>S558</t>
  </si>
  <si>
    <t>Cape Town-Cape Town</t>
  </si>
  <si>
    <t>O1000101</t>
  </si>
  <si>
    <t>C1912</t>
  </si>
  <si>
    <t>S176</t>
  </si>
  <si>
    <t>O1000102</t>
  </si>
  <si>
    <t>C6462</t>
  </si>
  <si>
    <t>S594</t>
  </si>
  <si>
    <t>W42</t>
  </si>
  <si>
    <t>O1000103</t>
  </si>
  <si>
    <t>C2679</t>
  </si>
  <si>
    <t>S678</t>
  </si>
  <si>
    <t>O1000104</t>
  </si>
  <si>
    <t>C1468</t>
  </si>
  <si>
    <t>S820</t>
  </si>
  <si>
    <t>O1000105</t>
  </si>
  <si>
    <t>C6118</t>
  </si>
  <si>
    <t>S302</t>
  </si>
  <si>
    <t>W33</t>
  </si>
  <si>
    <t>O1000106</t>
  </si>
  <si>
    <t>C3637</t>
  </si>
  <si>
    <t>S563</t>
  </si>
  <si>
    <t>W18</t>
  </si>
  <si>
    <t>O1000107</t>
  </si>
  <si>
    <t>C1558</t>
  </si>
  <si>
    <t>S803</t>
  </si>
  <si>
    <t>O1000108</t>
  </si>
  <si>
    <t>C1894</t>
  </si>
  <si>
    <t>S150</t>
  </si>
  <si>
    <t>O1000109</t>
  </si>
  <si>
    <t>C8742</t>
  </si>
  <si>
    <t>Beijing-Mumbai</t>
  </si>
  <si>
    <t>O1000110</t>
  </si>
  <si>
    <t>C1627</t>
  </si>
  <si>
    <t>S789</t>
  </si>
  <si>
    <t>O1000111</t>
  </si>
  <si>
    <t>C9044</t>
  </si>
  <si>
    <t>S909</t>
  </si>
  <si>
    <t>O1000112</t>
  </si>
  <si>
    <t>C1734</t>
  </si>
  <si>
    <t>S625</t>
  </si>
  <si>
    <t>Toronto-New York</t>
  </si>
  <si>
    <t>O1000113</t>
  </si>
  <si>
    <t>C7151</t>
  </si>
  <si>
    <t>S809</t>
  </si>
  <si>
    <t>O1000114</t>
  </si>
  <si>
    <t>C8759</t>
  </si>
  <si>
    <t>S297</t>
  </si>
  <si>
    <t>O1000115</t>
  </si>
  <si>
    <t>C7231</t>
  </si>
  <si>
    <t>O1000116</t>
  </si>
  <si>
    <t>C1888</t>
  </si>
  <si>
    <t>S362</t>
  </si>
  <si>
    <t>O1000117</t>
  </si>
  <si>
    <t>C6371</t>
  </si>
  <si>
    <t>S499</t>
  </si>
  <si>
    <t>O1000118</t>
  </si>
  <si>
    <t>C8386</t>
  </si>
  <si>
    <t>O1000119</t>
  </si>
  <si>
    <t>C2163</t>
  </si>
  <si>
    <t>S152</t>
  </si>
  <si>
    <t>O1000120</t>
  </si>
  <si>
    <t>C6193</t>
  </si>
  <si>
    <t>S142</t>
  </si>
  <si>
    <t>O1000121</t>
  </si>
  <si>
    <t>C4126</t>
  </si>
  <si>
    <t>S886</t>
  </si>
  <si>
    <t>O1000122</t>
  </si>
  <si>
    <t>C9218</t>
  </si>
  <si>
    <t>S378</t>
  </si>
  <si>
    <t>O1000123</t>
  </si>
  <si>
    <t>C5646</t>
  </si>
  <si>
    <t>S414</t>
  </si>
  <si>
    <t>O1000124</t>
  </si>
  <si>
    <t>C4902</t>
  </si>
  <si>
    <t>O1000125</t>
  </si>
  <si>
    <t>C7267</t>
  </si>
  <si>
    <t>S823</t>
  </si>
  <si>
    <t>O1000126</t>
  </si>
  <si>
    <t>C3614</t>
  </si>
  <si>
    <t>S513</t>
  </si>
  <si>
    <t>O1000127</t>
  </si>
  <si>
    <t>C6328</t>
  </si>
  <si>
    <t>S866</t>
  </si>
  <si>
    <t>O1000128</t>
  </si>
  <si>
    <t>C6034</t>
  </si>
  <si>
    <t>S277</t>
  </si>
  <si>
    <t>Mumbai-Beijing</t>
  </si>
  <si>
    <t>O1000129</t>
  </si>
  <si>
    <t>C6764</t>
  </si>
  <si>
    <t>S465</t>
  </si>
  <si>
    <t>O1000130</t>
  </si>
  <si>
    <t>C3009</t>
  </si>
  <si>
    <t>S472</t>
  </si>
  <si>
    <t>O1000131</t>
  </si>
  <si>
    <t>C1147</t>
  </si>
  <si>
    <t>O1000132</t>
  </si>
  <si>
    <t>C3712</t>
  </si>
  <si>
    <t>S873</t>
  </si>
  <si>
    <t>O1000133</t>
  </si>
  <si>
    <t>C3278</t>
  </si>
  <si>
    <t>S553</t>
  </si>
  <si>
    <t>O1000134</t>
  </si>
  <si>
    <t>C8152</t>
  </si>
  <si>
    <t>S161</t>
  </si>
  <si>
    <t>O1000135</t>
  </si>
  <si>
    <t>C7943</t>
  </si>
  <si>
    <t>S759</t>
  </si>
  <si>
    <t>O1000136</t>
  </si>
  <si>
    <t>C4204</t>
  </si>
  <si>
    <t>S363</t>
  </si>
  <si>
    <t>O1000137</t>
  </si>
  <si>
    <t>C3995</t>
  </si>
  <si>
    <t>S663</t>
  </si>
  <si>
    <t>O1000138</t>
  </si>
  <si>
    <t>C6341</t>
  </si>
  <si>
    <t>S927</t>
  </si>
  <si>
    <t>O1000139</t>
  </si>
  <si>
    <t>C5152</t>
  </si>
  <si>
    <t>O1000140</t>
  </si>
  <si>
    <t>C8874</t>
  </si>
  <si>
    <t>S692</t>
  </si>
  <si>
    <t>O1000141</t>
  </si>
  <si>
    <t>C6014</t>
  </si>
  <si>
    <t>S555</t>
  </si>
  <si>
    <t>O1000142</t>
  </si>
  <si>
    <t>C4606</t>
  </si>
  <si>
    <t>S293</t>
  </si>
  <si>
    <t>O1000143</t>
  </si>
  <si>
    <t>C2277</t>
  </si>
  <si>
    <t>S940</t>
  </si>
  <si>
    <t>O1000144</t>
  </si>
  <si>
    <t>C5012</t>
  </si>
  <si>
    <t>O1000145</t>
  </si>
  <si>
    <t>C7436</t>
  </si>
  <si>
    <t>S787</t>
  </si>
  <si>
    <t>O1000146</t>
  </si>
  <si>
    <t>C6185</t>
  </si>
  <si>
    <t>S738</t>
  </si>
  <si>
    <t>O1000147</t>
  </si>
  <si>
    <t>C5097</t>
  </si>
  <si>
    <t>O1000148</t>
  </si>
  <si>
    <t>C2807</t>
  </si>
  <si>
    <t>S242</t>
  </si>
  <si>
    <t>O1000149</t>
  </si>
  <si>
    <t>C9966</t>
  </si>
  <si>
    <t>O1000150</t>
  </si>
  <si>
    <t>C9666</t>
  </si>
  <si>
    <t>S248</t>
  </si>
  <si>
    <t>O1000151</t>
  </si>
  <si>
    <t>C1806</t>
  </si>
  <si>
    <t>S241</t>
  </si>
  <si>
    <t>W22</t>
  </si>
  <si>
    <t>São Paulo-Berlin</t>
  </si>
  <si>
    <t>O1000152</t>
  </si>
  <si>
    <t>C6451</t>
  </si>
  <si>
    <t>S996</t>
  </si>
  <si>
    <t>São Paulo-São Paulo</t>
  </si>
  <si>
    <t>O1000153</t>
  </si>
  <si>
    <t>C4076</t>
  </si>
  <si>
    <t>S360</t>
  </si>
  <si>
    <t>London-New York</t>
  </si>
  <si>
    <t>O1000154</t>
  </si>
  <si>
    <t>C7031</t>
  </si>
  <si>
    <t>O1000155</t>
  </si>
  <si>
    <t>C4633</t>
  </si>
  <si>
    <t>S315</t>
  </si>
  <si>
    <t>O1000156</t>
  </si>
  <si>
    <t>C9506</t>
  </si>
  <si>
    <t>O1000157</t>
  </si>
  <si>
    <t>C9445</t>
  </si>
  <si>
    <t>S582</t>
  </si>
  <si>
    <t>O1000158</t>
  </si>
  <si>
    <t>C8068</t>
  </si>
  <si>
    <t>S460</t>
  </si>
  <si>
    <t>O1000159</t>
  </si>
  <si>
    <t>C3156</t>
  </si>
  <si>
    <t>S863</t>
  </si>
  <si>
    <t>O1000160</t>
  </si>
  <si>
    <t>C5125</t>
  </si>
  <si>
    <t>S189</t>
  </si>
  <si>
    <t>O1000161</t>
  </si>
  <si>
    <t>C9529</t>
  </si>
  <si>
    <t>S124</t>
  </si>
  <si>
    <t>O1000162</t>
  </si>
  <si>
    <t>C8244</t>
  </si>
  <si>
    <t>S464</t>
  </si>
  <si>
    <t>O1000163</t>
  </si>
  <si>
    <t>C5385</t>
  </si>
  <si>
    <t>S900</t>
  </si>
  <si>
    <t>O1000164</t>
  </si>
  <si>
    <t>C3901</t>
  </si>
  <si>
    <t>O1000165</t>
  </si>
  <si>
    <t>C9813</t>
  </si>
  <si>
    <t>S749</t>
  </si>
  <si>
    <t>W36</t>
  </si>
  <si>
    <t>O1000166</t>
  </si>
  <si>
    <t>C8892</t>
  </si>
  <si>
    <t>S467</t>
  </si>
  <si>
    <t>O1000167</t>
  </si>
  <si>
    <t>C6672</t>
  </si>
  <si>
    <t>S103</t>
  </si>
  <si>
    <t>O1000168</t>
  </si>
  <si>
    <t>C5809</t>
  </si>
  <si>
    <t>S771</t>
  </si>
  <si>
    <t>O1000169</t>
  </si>
  <si>
    <t>C2094</t>
  </si>
  <si>
    <t>S681</t>
  </si>
  <si>
    <t>O1000170</t>
  </si>
  <si>
    <t>C2496</t>
  </si>
  <si>
    <t>S715</t>
  </si>
  <si>
    <t>Berlin-London</t>
  </si>
  <si>
    <t>O1000171</t>
  </si>
  <si>
    <t>C2146</t>
  </si>
  <si>
    <t>S456</t>
  </si>
  <si>
    <t>O1000172</t>
  </si>
  <si>
    <t>C5038</t>
  </si>
  <si>
    <t>S532</t>
  </si>
  <si>
    <t>O1000173</t>
  </si>
  <si>
    <t>C8147</t>
  </si>
  <si>
    <t>S545</t>
  </si>
  <si>
    <t>O1000174</t>
  </si>
  <si>
    <t>C8074</t>
  </si>
  <si>
    <t>S983</t>
  </si>
  <si>
    <t>O1000175</t>
  </si>
  <si>
    <t>C1829</t>
  </si>
  <si>
    <t>S345</t>
  </si>
  <si>
    <t>O1000176</t>
  </si>
  <si>
    <t>C1964</t>
  </si>
  <si>
    <t>S237</t>
  </si>
  <si>
    <t>O1000177</t>
  </si>
  <si>
    <t>C3952</t>
  </si>
  <si>
    <t>S707</t>
  </si>
  <si>
    <t>New York-London</t>
  </si>
  <si>
    <t>O1000178</t>
  </si>
  <si>
    <t>S116</t>
  </si>
  <si>
    <t>O1000179</t>
  </si>
  <si>
    <t>C6013</t>
  </si>
  <si>
    <t>S818</t>
  </si>
  <si>
    <t>O1000180</t>
  </si>
  <si>
    <t>C4728</t>
  </si>
  <si>
    <t>S860</t>
  </si>
  <si>
    <t>O1000181</t>
  </si>
  <si>
    <t>C7959</t>
  </si>
  <si>
    <t>O1000182</t>
  </si>
  <si>
    <t>C3819</t>
  </si>
  <si>
    <t>S888</t>
  </si>
  <si>
    <t>O1000183</t>
  </si>
  <si>
    <t>C5698</t>
  </si>
  <si>
    <t>S214</t>
  </si>
  <si>
    <t>O1000184</t>
  </si>
  <si>
    <t>C6011</t>
  </si>
  <si>
    <t>S508</t>
  </si>
  <si>
    <t>O1000185</t>
  </si>
  <si>
    <t>C3914</t>
  </si>
  <si>
    <t>S696</t>
  </si>
  <si>
    <t>O1000186</t>
  </si>
  <si>
    <t>C1223</t>
  </si>
  <si>
    <t>S676</t>
  </si>
  <si>
    <t>O1000187</t>
  </si>
  <si>
    <t>C4208</t>
  </si>
  <si>
    <t>O1000188</t>
  </si>
  <si>
    <t>C1062</t>
  </si>
  <si>
    <t>S713</t>
  </si>
  <si>
    <t>O1000189</t>
  </si>
  <si>
    <t>C1917</t>
  </si>
  <si>
    <t>S887</t>
  </si>
  <si>
    <t>O1000190</t>
  </si>
  <si>
    <t>C5923</t>
  </si>
  <si>
    <t>S786</t>
  </si>
  <si>
    <t>O1000191</t>
  </si>
  <si>
    <t>C8875</t>
  </si>
  <si>
    <t>O1000192</t>
  </si>
  <si>
    <t>C1622</t>
  </si>
  <si>
    <t>O1000193</t>
  </si>
  <si>
    <t>C9843</t>
  </si>
  <si>
    <t>S375</t>
  </si>
  <si>
    <t>O1000194</t>
  </si>
  <si>
    <t>C8894</t>
  </si>
  <si>
    <t>S212</t>
  </si>
  <si>
    <t>O1000195</t>
  </si>
  <si>
    <t>C5064</t>
  </si>
  <si>
    <t>O1000196</t>
  </si>
  <si>
    <t>C7140</t>
  </si>
  <si>
    <t>S635</t>
  </si>
  <si>
    <t>O1000197</t>
  </si>
  <si>
    <t>C5167</t>
  </si>
  <si>
    <t>S570</t>
  </si>
  <si>
    <t>O1000198</t>
  </si>
  <si>
    <t>C9420</t>
  </si>
  <si>
    <t>S244</t>
  </si>
  <si>
    <t>O1000199</t>
  </si>
  <si>
    <t>C5948</t>
  </si>
  <si>
    <t>S581</t>
  </si>
  <si>
    <t>O1000200</t>
  </si>
  <si>
    <t>C9340</t>
  </si>
  <si>
    <t>S224</t>
  </si>
  <si>
    <t>O1000201</t>
  </si>
  <si>
    <t>C2549</t>
  </si>
  <si>
    <t>S592</t>
  </si>
  <si>
    <t>O1000202</t>
  </si>
  <si>
    <t>C9903</t>
  </si>
  <si>
    <t>S630</t>
  </si>
  <si>
    <t>O1000203</t>
  </si>
  <si>
    <t>C3832</t>
  </si>
  <si>
    <t>S146</t>
  </si>
  <si>
    <t>O1000204</t>
  </si>
  <si>
    <t>C5673</t>
  </si>
  <si>
    <t>S543</t>
  </si>
  <si>
    <t>O1000205</t>
  </si>
  <si>
    <t>C1211</t>
  </si>
  <si>
    <t>S332</t>
  </si>
  <si>
    <t>Toronto-Berlin</t>
  </si>
  <si>
    <t>O1000206</t>
  </si>
  <si>
    <t>C7208</t>
  </si>
  <si>
    <t>O1000207</t>
  </si>
  <si>
    <t>C9552</t>
  </si>
  <si>
    <t>S828</t>
  </si>
  <si>
    <t>O1000208</t>
  </si>
  <si>
    <t>C2825</t>
  </si>
  <si>
    <t>O1000209</t>
  </si>
  <si>
    <t>C6160</t>
  </si>
  <si>
    <t>S985</t>
  </si>
  <si>
    <t>O1000210</t>
  </si>
  <si>
    <t>C7204</t>
  </si>
  <si>
    <t>S610</t>
  </si>
  <si>
    <t>O1000211</t>
  </si>
  <si>
    <t>C8558</t>
  </si>
  <si>
    <t>S314</t>
  </si>
  <si>
    <t>O1000212</t>
  </si>
  <si>
    <t>C5084</t>
  </si>
  <si>
    <t>S204</t>
  </si>
  <si>
    <t>O1000213</t>
  </si>
  <si>
    <t>C5576</t>
  </si>
  <si>
    <t>O1000214</t>
  </si>
  <si>
    <t>C1139</t>
  </si>
  <si>
    <t>S321</t>
  </si>
  <si>
    <t>O1000215</t>
  </si>
  <si>
    <t>C2716</t>
  </si>
  <si>
    <t>S562</t>
  </si>
  <si>
    <t>O1000216</t>
  </si>
  <si>
    <t>C2634</t>
  </si>
  <si>
    <t>S945</t>
  </si>
  <si>
    <t>O1000217</t>
  </si>
  <si>
    <t>C4539</t>
  </si>
  <si>
    <t>S701</t>
  </si>
  <si>
    <t>O1000218</t>
  </si>
  <si>
    <t>C7870</t>
  </si>
  <si>
    <t>S155</t>
  </si>
  <si>
    <t>O1000219</t>
  </si>
  <si>
    <t>C7278</t>
  </si>
  <si>
    <t>New York-Berlin</t>
  </si>
  <si>
    <t>O1000220</t>
  </si>
  <si>
    <t>C5077</t>
  </si>
  <si>
    <t>S270</t>
  </si>
  <si>
    <t>O1000221</t>
  </si>
  <si>
    <t>C1613</t>
  </si>
  <si>
    <t>S415</t>
  </si>
  <si>
    <t>O1000222</t>
  </si>
  <si>
    <t>C7663</t>
  </si>
  <si>
    <t>S872</t>
  </si>
  <si>
    <t>W2</t>
  </si>
  <si>
    <t>O1000223</t>
  </si>
  <si>
    <t>C1569</t>
  </si>
  <si>
    <t>S656</t>
  </si>
  <si>
    <t>O1000224</t>
  </si>
  <si>
    <t>C7830</t>
  </si>
  <si>
    <t>O1000225</t>
  </si>
  <si>
    <t>C4760</t>
  </si>
  <si>
    <t>S938</t>
  </si>
  <si>
    <t>O1000226</t>
  </si>
  <si>
    <t>C4957</t>
  </si>
  <si>
    <t>O1000227</t>
  </si>
  <si>
    <t>C2376</t>
  </si>
  <si>
    <t>O1000228</t>
  </si>
  <si>
    <t>C4570</t>
  </si>
  <si>
    <t>S639</t>
  </si>
  <si>
    <t>O1000229</t>
  </si>
  <si>
    <t>C8805</t>
  </si>
  <si>
    <t>O1000230</t>
  </si>
  <si>
    <t>C1287</t>
  </si>
  <si>
    <t>S453</t>
  </si>
  <si>
    <t>O1000231</t>
  </si>
  <si>
    <t>C9542</t>
  </si>
  <si>
    <t>S882</t>
  </si>
  <si>
    <t>O1000232</t>
  </si>
  <si>
    <t>C7957</t>
  </si>
  <si>
    <t>S225</t>
  </si>
  <si>
    <t>O1000233</t>
  </si>
  <si>
    <t>C1100</t>
  </si>
  <si>
    <t>S145</t>
  </si>
  <si>
    <t>O1000234</t>
  </si>
  <si>
    <t>C7719</t>
  </si>
  <si>
    <t>S743</t>
  </si>
  <si>
    <t>O1000235</t>
  </si>
  <si>
    <t>C1890</t>
  </si>
  <si>
    <t>S762</t>
  </si>
  <si>
    <t>Mumbai-London</t>
  </si>
  <si>
    <t>O1000236</t>
  </si>
  <si>
    <t>C3179</t>
  </si>
  <si>
    <t>S416</t>
  </si>
  <si>
    <t>O1000237</t>
  </si>
  <si>
    <t>C5234</t>
  </si>
  <si>
    <t>S835</t>
  </si>
  <si>
    <t>O1000238</t>
  </si>
  <si>
    <t>C6964</t>
  </si>
  <si>
    <t>S405</t>
  </si>
  <si>
    <t>O1000239</t>
  </si>
  <si>
    <t>C1787</t>
  </si>
  <si>
    <t>S568</t>
  </si>
  <si>
    <t>O1000240</t>
  </si>
  <si>
    <t>C9534</t>
  </si>
  <si>
    <t>S292</t>
  </si>
  <si>
    <t>O1000241</t>
  </si>
  <si>
    <t>C1434</t>
  </si>
  <si>
    <t>S779</t>
  </si>
  <si>
    <t>O1000242</t>
  </si>
  <si>
    <t>C9292</t>
  </si>
  <si>
    <t>O1000243</t>
  </si>
  <si>
    <t>C6852</t>
  </si>
  <si>
    <t>S380</t>
  </si>
  <si>
    <t>O1000244</t>
  </si>
  <si>
    <t>C8344</t>
  </si>
  <si>
    <t>S263</t>
  </si>
  <si>
    <t>O1000245</t>
  </si>
  <si>
    <t>C2764</t>
  </si>
  <si>
    <t>S869</t>
  </si>
  <si>
    <t>O1000246</t>
  </si>
  <si>
    <t>C1123</t>
  </si>
  <si>
    <t>S429</t>
  </si>
  <si>
    <t>O1000247</t>
  </si>
  <si>
    <t>C5276</t>
  </si>
  <si>
    <t>S137</t>
  </si>
  <si>
    <t>O1000248</t>
  </si>
  <si>
    <t>C1144</t>
  </si>
  <si>
    <t>S881</t>
  </si>
  <si>
    <t>O1000249</t>
  </si>
  <si>
    <t>C1009</t>
  </si>
  <si>
    <t>S791</t>
  </si>
  <si>
    <t>O1000250</t>
  </si>
  <si>
    <t>C4867</t>
  </si>
  <si>
    <t>O1000251</t>
  </si>
  <si>
    <t>C2605</t>
  </si>
  <si>
    <t>S536</t>
  </si>
  <si>
    <t>O1000252</t>
  </si>
  <si>
    <t>C8502</t>
  </si>
  <si>
    <t>S231</t>
  </si>
  <si>
    <t>O1000253</t>
  </si>
  <si>
    <t>C6693</t>
  </si>
  <si>
    <t>S712</t>
  </si>
  <si>
    <t>O1000254</t>
  </si>
  <si>
    <t>C5621</t>
  </si>
  <si>
    <t>S788</t>
  </si>
  <si>
    <t>O1000255</t>
  </si>
  <si>
    <t>C4146</t>
  </si>
  <si>
    <t>O1000256</t>
  </si>
  <si>
    <t>C1971</t>
  </si>
  <si>
    <t>S294</t>
  </si>
  <si>
    <t>O1000257</t>
  </si>
  <si>
    <t>C5220</t>
  </si>
  <si>
    <t>S865</t>
  </si>
  <si>
    <t>O1000258</t>
  </si>
  <si>
    <t>C9932</t>
  </si>
  <si>
    <t>S480</t>
  </si>
  <si>
    <t>O1000259</t>
  </si>
  <si>
    <t>C5452</t>
  </si>
  <si>
    <t>S261</t>
  </si>
  <si>
    <t>O1000260</t>
  </si>
  <si>
    <t>C4404</t>
  </si>
  <si>
    <t>S482</t>
  </si>
  <si>
    <t>O1000261</t>
  </si>
  <si>
    <t>C6086</t>
  </si>
  <si>
    <t>S516</t>
  </si>
  <si>
    <t>O1000262</t>
  </si>
  <si>
    <t>C3687</t>
  </si>
  <si>
    <t>S593</t>
  </si>
  <si>
    <t>O1000263</t>
  </si>
  <si>
    <t>C3718</t>
  </si>
  <si>
    <t>S324</t>
  </si>
  <si>
    <t>O1000264</t>
  </si>
  <si>
    <t>C5050</t>
  </si>
  <si>
    <t>S728</t>
  </si>
  <si>
    <t>O1000265</t>
  </si>
  <si>
    <t>C8685</t>
  </si>
  <si>
    <t>O1000266</t>
  </si>
  <si>
    <t>C6912</t>
  </si>
  <si>
    <t>S858</t>
  </si>
  <si>
    <t>O1000267</t>
  </si>
  <si>
    <t>C7168</t>
  </si>
  <si>
    <t>S716</t>
  </si>
  <si>
    <t>O1000268</t>
  </si>
  <si>
    <t>C7880</t>
  </si>
  <si>
    <t>S811</t>
  </si>
  <si>
    <t>O1000269</t>
  </si>
  <si>
    <t>C4612</t>
  </si>
  <si>
    <t>S844</t>
  </si>
  <si>
    <t>O1000270</t>
  </si>
  <si>
    <t>C6418</t>
  </si>
  <si>
    <t>S717</t>
  </si>
  <si>
    <t>O1000271</t>
  </si>
  <si>
    <t>C5427</t>
  </si>
  <si>
    <t>S108</t>
  </si>
  <si>
    <t>O1000272</t>
  </si>
  <si>
    <t>O1000273</t>
  </si>
  <si>
    <t>C8477</t>
  </si>
  <si>
    <t>S870</t>
  </si>
  <si>
    <t>O1000274</t>
  </si>
  <si>
    <t>C3431</t>
  </si>
  <si>
    <t>S934</t>
  </si>
  <si>
    <t>O1000275</t>
  </si>
  <si>
    <t>C1253</t>
  </si>
  <si>
    <t>O1000276</t>
  </si>
  <si>
    <t>C4265</t>
  </si>
  <si>
    <t>S352</t>
  </si>
  <si>
    <t>O1000277</t>
  </si>
  <si>
    <t>C1436</t>
  </si>
  <si>
    <t>S794</t>
  </si>
  <si>
    <t>O1000278</t>
  </si>
  <si>
    <t>C5317</t>
  </si>
  <si>
    <t>S259</t>
  </si>
  <si>
    <t>O1000279</t>
  </si>
  <si>
    <t>C5501</t>
  </si>
  <si>
    <t>S588</t>
  </si>
  <si>
    <t>O1000280</t>
  </si>
  <si>
    <t>C1556</t>
  </si>
  <si>
    <t>O1000281</t>
  </si>
  <si>
    <t>C8849</t>
  </si>
  <si>
    <t>S289</t>
  </si>
  <si>
    <t>O1000282</t>
  </si>
  <si>
    <t>C9951</t>
  </si>
  <si>
    <t>S307</t>
  </si>
  <si>
    <t>O1000283</t>
  </si>
  <si>
    <t>C9176</t>
  </si>
  <si>
    <t>S931</t>
  </si>
  <si>
    <t>O1000284</t>
  </si>
  <si>
    <t>C9957</t>
  </si>
  <si>
    <t>S442</t>
  </si>
  <si>
    <t>O1000285</t>
  </si>
  <si>
    <t>C5263</t>
  </si>
  <si>
    <t>S205</t>
  </si>
  <si>
    <t>O1000286</t>
  </si>
  <si>
    <t>C1060</t>
  </si>
  <si>
    <t>S770</t>
  </si>
  <si>
    <t>O1000287</t>
  </si>
  <si>
    <t>C2259</t>
  </si>
  <si>
    <t>S954</t>
  </si>
  <si>
    <t>O1000288</t>
  </si>
  <si>
    <t>C5024</t>
  </si>
  <si>
    <t>S511</t>
  </si>
  <si>
    <t>O1000289</t>
  </si>
  <si>
    <t>C7303</t>
  </si>
  <si>
    <t>S295</t>
  </si>
  <si>
    <t>O1000290</t>
  </si>
  <si>
    <t>C1289</t>
  </si>
  <si>
    <t>O1000291</t>
  </si>
  <si>
    <t>C4025</t>
  </si>
  <si>
    <t>S258</t>
  </si>
  <si>
    <t>O1000292</t>
  </si>
  <si>
    <t>S262</t>
  </si>
  <si>
    <t>O1000293</t>
  </si>
  <si>
    <t>C4099</t>
  </si>
  <si>
    <t>S942</t>
  </si>
  <si>
    <t>O1000294</t>
  </si>
  <si>
    <t>C1136</t>
  </si>
  <si>
    <t>S425</t>
  </si>
  <si>
    <t>O1000295</t>
  </si>
  <si>
    <t>C3730</t>
  </si>
  <si>
    <t>S256</t>
  </si>
  <si>
    <t>O1000296</t>
  </si>
  <si>
    <t>C4953</t>
  </si>
  <si>
    <t>S611</t>
  </si>
  <si>
    <t>O1000297</t>
  </si>
  <si>
    <t>C3986</t>
  </si>
  <si>
    <t>S815</t>
  </si>
  <si>
    <t>O1000298</t>
  </si>
  <si>
    <t>C5328</t>
  </si>
  <si>
    <t>S806</t>
  </si>
  <si>
    <t>O1000299</t>
  </si>
  <si>
    <t>C5041</t>
  </si>
  <si>
    <t>S939</t>
  </si>
  <si>
    <t>O1000300</t>
  </si>
  <si>
    <t>C6749</t>
  </si>
  <si>
    <t>S914</t>
  </si>
  <si>
    <t>O1000301</t>
  </si>
  <si>
    <t>C7019</t>
  </si>
  <si>
    <t>S948</t>
  </si>
  <si>
    <t>O1000302</t>
  </si>
  <si>
    <t>C6162</t>
  </si>
  <si>
    <t>O1000303</t>
  </si>
  <si>
    <t>C4910</t>
  </si>
  <si>
    <t>S478</t>
  </si>
  <si>
    <t>O1000304</t>
  </si>
  <si>
    <t>C8208</t>
  </si>
  <si>
    <t>S235</t>
  </si>
  <si>
    <t>O1000305</t>
  </si>
  <si>
    <t>C5106</t>
  </si>
  <si>
    <t>S609</t>
  </si>
  <si>
    <t>O1000306</t>
  </si>
  <si>
    <t>C2734</t>
  </si>
  <si>
    <t>O1000307</t>
  </si>
  <si>
    <t>C5402</t>
  </si>
  <si>
    <t>S240</t>
  </si>
  <si>
    <t>O1000308</t>
  </si>
  <si>
    <t>C3039</t>
  </si>
  <si>
    <t>S780</t>
  </si>
  <si>
    <t>O1000309</t>
  </si>
  <si>
    <t>C1880</t>
  </si>
  <si>
    <t>S504</t>
  </si>
  <si>
    <t>O1000310</t>
  </si>
  <si>
    <t>C5408</t>
  </si>
  <si>
    <t>S679</t>
  </si>
  <si>
    <t>O1000311</t>
  </si>
  <si>
    <t>C1884</t>
  </si>
  <si>
    <t>S620</t>
  </si>
  <si>
    <t>O1000312</t>
  </si>
  <si>
    <t>C2013</t>
  </si>
  <si>
    <t>O1000313</t>
  </si>
  <si>
    <t>C4927</t>
  </si>
  <si>
    <t>S840</t>
  </si>
  <si>
    <t>O1000314</t>
  </si>
  <si>
    <t>C1464</t>
  </si>
  <si>
    <t>S662</t>
  </si>
  <si>
    <t>O1000315</t>
  </si>
  <si>
    <t>C5755</t>
  </si>
  <si>
    <t>O1000316</t>
  </si>
  <si>
    <t>C7376</t>
  </si>
  <si>
    <t>S723</t>
  </si>
  <si>
    <t>O1000317</t>
  </si>
  <si>
    <t>S200</t>
  </si>
  <si>
    <t>O1000318</t>
  </si>
  <si>
    <t>C1866</t>
  </si>
  <si>
    <t>O1000319</t>
  </si>
  <si>
    <t>C9816</t>
  </si>
  <si>
    <t>S892</t>
  </si>
  <si>
    <t>O1000320</t>
  </si>
  <si>
    <t>C8794</t>
  </si>
  <si>
    <t>S384</t>
  </si>
  <si>
    <t>O1000321</t>
  </si>
  <si>
    <t>C8452</t>
  </si>
  <si>
    <t>S327</t>
  </si>
  <si>
    <t>O1000322</t>
  </si>
  <si>
    <t>C7495</t>
  </si>
  <si>
    <t>O1000323</t>
  </si>
  <si>
    <t>C5699</t>
  </si>
  <si>
    <t>S374</t>
  </si>
  <si>
    <t>O1000324</t>
  </si>
  <si>
    <t>C7723</t>
  </si>
  <si>
    <t>S144</t>
  </si>
  <si>
    <t>O1000325</t>
  </si>
  <si>
    <t>C7872</t>
  </si>
  <si>
    <t>O1000326</t>
  </si>
  <si>
    <t>C4343</t>
  </si>
  <si>
    <t>O1000327</t>
  </si>
  <si>
    <t>C3241</t>
  </si>
  <si>
    <t>S361</t>
  </si>
  <si>
    <t>O1000328</t>
  </si>
  <si>
    <t>C1170</t>
  </si>
  <si>
    <t>O1000329</t>
  </si>
  <si>
    <t>C6639</t>
  </si>
  <si>
    <t>S747</t>
  </si>
  <si>
    <t>O1000330</t>
  </si>
  <si>
    <t>C7443</t>
  </si>
  <si>
    <t>S343</t>
  </si>
  <si>
    <t>O1000331</t>
  </si>
  <si>
    <t>C9052</t>
  </si>
  <si>
    <t>O1000332</t>
  </si>
  <si>
    <t>C4690</t>
  </si>
  <si>
    <t>S167</t>
  </si>
  <si>
    <t>O1000333</t>
  </si>
  <si>
    <t>C9252</t>
  </si>
  <si>
    <t>O1000334</t>
  </si>
  <si>
    <t>C8026</t>
  </si>
  <si>
    <t>O1000335</t>
  </si>
  <si>
    <t>C6482</t>
  </si>
  <si>
    <t>S862</t>
  </si>
  <si>
    <t>O1000336</t>
  </si>
  <si>
    <t>C1516</t>
  </si>
  <si>
    <t>S381</t>
  </si>
  <si>
    <t>O1000337</t>
  </si>
  <si>
    <t>C3978</t>
  </si>
  <si>
    <t>S323</t>
  </si>
  <si>
    <t>O1000338</t>
  </si>
  <si>
    <t>C6008</t>
  </si>
  <si>
    <t>S852</t>
  </si>
  <si>
    <t>O1000339</t>
  </si>
  <si>
    <t>C1304</t>
  </si>
  <si>
    <t>O1000340</t>
  </si>
  <si>
    <t>C7219</t>
  </si>
  <si>
    <t>O1000341</t>
  </si>
  <si>
    <t>C7662</t>
  </si>
  <si>
    <t>S175</t>
  </si>
  <si>
    <t>O1000342</t>
  </si>
  <si>
    <t>C4507</t>
  </si>
  <si>
    <t>S652</t>
  </si>
  <si>
    <t>O1000343</t>
  </si>
  <si>
    <t>C4835</t>
  </si>
  <si>
    <t>S219</t>
  </si>
  <si>
    <t>O1000344</t>
  </si>
  <si>
    <t>S187</t>
  </si>
  <si>
    <t>O1000345</t>
  </si>
  <si>
    <t>C7942</t>
  </si>
  <si>
    <t>S966</t>
  </si>
  <si>
    <t>O1000346</t>
  </si>
  <si>
    <t>C6449</t>
  </si>
  <si>
    <t>S890</t>
  </si>
  <si>
    <t>O1000347</t>
  </si>
  <si>
    <t>C4093</t>
  </si>
  <si>
    <t>S519</t>
  </si>
  <si>
    <t>O1000348</t>
  </si>
  <si>
    <t>C3748</t>
  </si>
  <si>
    <t>O1000349</t>
  </si>
  <si>
    <t>C5771</t>
  </si>
  <si>
    <t>O1000350</t>
  </si>
  <si>
    <t>C1492</t>
  </si>
  <si>
    <t>O1000351</t>
  </si>
  <si>
    <t>C9070</t>
  </si>
  <si>
    <t>S528</t>
  </si>
  <si>
    <t>O1000352</t>
  </si>
  <si>
    <t>C1656</t>
  </si>
  <si>
    <t>S329</t>
  </si>
  <si>
    <t>O1000353</t>
  </si>
  <si>
    <t>C4596</t>
  </si>
  <si>
    <t>S399</t>
  </si>
  <si>
    <t>O1000354</t>
  </si>
  <si>
    <t>C3227</t>
  </si>
  <si>
    <t>S998</t>
  </si>
  <si>
    <t>O1000355</t>
  </si>
  <si>
    <t>C8534</t>
  </si>
  <si>
    <t>S878</t>
  </si>
  <si>
    <t>O1000356</t>
  </si>
  <si>
    <t>C9707</t>
  </si>
  <si>
    <t>S470</t>
  </si>
  <si>
    <t>O1000357</t>
  </si>
  <si>
    <t>C7403</t>
  </si>
  <si>
    <t>O1000358</t>
  </si>
  <si>
    <t>C6021</t>
  </si>
  <si>
    <t>O1000359</t>
  </si>
  <si>
    <t>C4312</t>
  </si>
  <si>
    <t>S320</t>
  </si>
  <si>
    <t>O1000360</t>
  </si>
  <si>
    <t>C2551</t>
  </si>
  <si>
    <t>S339</t>
  </si>
  <si>
    <t>O1000361</t>
  </si>
  <si>
    <t>C8790</t>
  </si>
  <si>
    <t>O1000362</t>
  </si>
  <si>
    <t>C6564</t>
  </si>
  <si>
    <t>S458</t>
  </si>
  <si>
    <t>O1000363</t>
  </si>
  <si>
    <t>S138</t>
  </si>
  <si>
    <t>O1000364</t>
  </si>
  <si>
    <t>C1247</t>
  </si>
  <si>
    <t>O1000365</t>
  </si>
  <si>
    <t>C5516</t>
  </si>
  <si>
    <t>S672</t>
  </si>
  <si>
    <t>O1000366</t>
  </si>
  <si>
    <t>C3199</t>
  </si>
  <si>
    <t>S441</t>
  </si>
  <si>
    <t>O1000367</t>
  </si>
  <si>
    <t>C5149</t>
  </si>
  <si>
    <t>O1000368</t>
  </si>
  <si>
    <t>C9783</t>
  </si>
  <si>
    <t>S857</t>
  </si>
  <si>
    <t>O1000369</t>
  </si>
  <si>
    <t>C7887</t>
  </si>
  <si>
    <t>O1000370</t>
  </si>
  <si>
    <t>C1401</t>
  </si>
  <si>
    <t>O1000371</t>
  </si>
  <si>
    <t>C2694</t>
  </si>
  <si>
    <t>S695</t>
  </si>
  <si>
    <t>O1000372</t>
  </si>
  <si>
    <t>C5585</t>
  </si>
  <si>
    <t>O1000373</t>
  </si>
  <si>
    <t>C6553</t>
  </si>
  <si>
    <t>S567</t>
  </si>
  <si>
    <t>O1000374</t>
  </si>
  <si>
    <t>C6375</t>
  </si>
  <si>
    <t>S740</t>
  </si>
  <si>
    <t>O1000375</t>
  </si>
  <si>
    <t>C2677</t>
  </si>
  <si>
    <t>S804</t>
  </si>
  <si>
    <t>O1000376</t>
  </si>
  <si>
    <t>C3760</t>
  </si>
  <si>
    <t>O1000377</t>
  </si>
  <si>
    <t>C3869</t>
  </si>
  <si>
    <t>O1000378</t>
  </si>
  <si>
    <t>C2973</t>
  </si>
  <si>
    <t>O1000379</t>
  </si>
  <si>
    <t>C8727</t>
  </si>
  <si>
    <t>S394</t>
  </si>
  <si>
    <t>O1000380</t>
  </si>
  <si>
    <t>C7570</t>
  </si>
  <si>
    <t>S751</t>
  </si>
  <si>
    <t>O1000381</t>
  </si>
  <si>
    <t>C6714</t>
  </si>
  <si>
    <t>O1000382</t>
  </si>
  <si>
    <t>C5663</t>
  </si>
  <si>
    <t>S273</t>
  </si>
  <si>
    <t>O1000383</t>
  </si>
  <si>
    <t>C8597</t>
  </si>
  <si>
    <t>O1000384</t>
  </si>
  <si>
    <t>C7939</t>
  </si>
  <si>
    <t>S661</t>
  </si>
  <si>
    <t>O1000385</t>
  </si>
  <si>
    <t>C8056</t>
  </si>
  <si>
    <t>S548</t>
  </si>
  <si>
    <t>O1000386</t>
  </si>
  <si>
    <t>C2380</t>
  </si>
  <si>
    <t>S971</t>
  </si>
  <si>
    <t>O1000387</t>
  </si>
  <si>
    <t>C9907</t>
  </si>
  <si>
    <t>S775</t>
  </si>
  <si>
    <t>O1000388</t>
  </si>
  <si>
    <t>C2155</t>
  </si>
  <si>
    <t>O1000389</t>
  </si>
  <si>
    <t>C8969</t>
  </si>
  <si>
    <t>S975</t>
  </si>
  <si>
    <t>O1000390</t>
  </si>
  <si>
    <t>C8045</t>
  </si>
  <si>
    <t>S387</t>
  </si>
  <si>
    <t>O1000391</t>
  </si>
  <si>
    <t>C5359</t>
  </si>
  <si>
    <t>S910</t>
  </si>
  <si>
    <t>O1000392</t>
  </si>
  <si>
    <t>C8293</t>
  </si>
  <si>
    <t>S209</t>
  </si>
  <si>
    <t>O1000393</t>
  </si>
  <si>
    <t>C9716</t>
  </si>
  <si>
    <t>S832</t>
  </si>
  <si>
    <t>O1000394</t>
  </si>
  <si>
    <t>C4084</t>
  </si>
  <si>
    <t>S222</t>
  </si>
  <si>
    <t>O1000395</t>
  </si>
  <si>
    <t>C9132</t>
  </si>
  <si>
    <t>S644</t>
  </si>
  <si>
    <t>O1000396</t>
  </si>
  <si>
    <t>C4450</t>
  </si>
  <si>
    <t>O1000397</t>
  </si>
  <si>
    <t>C9509</t>
  </si>
  <si>
    <t>S623</t>
  </si>
  <si>
    <t>O1000398</t>
  </si>
  <si>
    <t>C1609</t>
  </si>
  <si>
    <t>O1000399</t>
  </si>
  <si>
    <t>C7277</t>
  </si>
  <si>
    <t>O1000400</t>
  </si>
  <si>
    <t>C2865</t>
  </si>
  <si>
    <t>S855</t>
  </si>
  <si>
    <t>O1000401</t>
  </si>
  <si>
    <t>C5839</t>
  </si>
  <si>
    <t>O1000402</t>
  </si>
  <si>
    <t>C1940</t>
  </si>
  <si>
    <t>S430</t>
  </si>
  <si>
    <t>O1000403</t>
  </si>
  <si>
    <t>C7562</t>
  </si>
  <si>
    <t>S549</t>
  </si>
  <si>
    <t>O1000404</t>
  </si>
  <si>
    <t>C2794</t>
  </si>
  <si>
    <t>O1000405</t>
  </si>
  <si>
    <t>C3781</t>
  </si>
  <si>
    <t>S100</t>
  </si>
  <si>
    <t>O1000406</t>
  </si>
  <si>
    <t>C8990</t>
  </si>
  <si>
    <t>S483</t>
  </si>
  <si>
    <t>O1000407</t>
  </si>
  <si>
    <t>C5788</t>
  </si>
  <si>
    <t>S758</t>
  </si>
  <si>
    <t>O1000408</t>
  </si>
  <si>
    <t>C8353</t>
  </si>
  <si>
    <t>S894</t>
  </si>
  <si>
    <t>O1000409</t>
  </si>
  <si>
    <t>C9768</t>
  </si>
  <si>
    <t>S260</t>
  </si>
  <si>
    <t>O1000410</t>
  </si>
  <si>
    <t>C6081</t>
  </si>
  <si>
    <t>S634</t>
  </si>
  <si>
    <t>O1000411</t>
  </si>
  <si>
    <t>C2432</t>
  </si>
  <si>
    <t>S265</t>
  </si>
  <si>
    <t>O1000412</t>
  </si>
  <si>
    <t>S208</t>
  </si>
  <si>
    <t>O1000413</t>
  </si>
  <si>
    <t>C2191</t>
  </si>
  <si>
    <t>S773</t>
  </si>
  <si>
    <t>O1000414</t>
  </si>
  <si>
    <t>O1000415</t>
  </si>
  <si>
    <t>C2882</t>
  </si>
  <si>
    <t>S590</t>
  </si>
  <si>
    <t>O1000416</t>
  </si>
  <si>
    <t>C8131</t>
  </si>
  <si>
    <t>O1000417</t>
  </si>
  <si>
    <t>C5972</t>
  </si>
  <si>
    <t>S223</t>
  </si>
  <si>
    <t>O1000418</t>
  </si>
  <si>
    <t>C4410</t>
  </si>
  <si>
    <t>S298</t>
  </si>
  <si>
    <t>O1000419</t>
  </si>
  <si>
    <t>C2118</t>
  </si>
  <si>
    <t>S495</t>
  </si>
  <si>
    <t>O1000420</t>
  </si>
  <si>
    <t>C4441</t>
  </si>
  <si>
    <t>O1000421</t>
  </si>
  <si>
    <t>C8983</t>
  </si>
  <si>
    <t>S994</t>
  </si>
  <si>
    <t>O1000422</t>
  </si>
  <si>
    <t>C5261</t>
  </si>
  <si>
    <t>O1000423</t>
  </si>
  <si>
    <t>C5524</t>
  </si>
  <si>
    <t>S867</t>
  </si>
  <si>
    <t>O1000424</t>
  </si>
  <si>
    <t>C8424</t>
  </si>
  <si>
    <t>O1000425</t>
  </si>
  <si>
    <t>C9407</t>
  </si>
  <si>
    <t>O1000426</t>
  </si>
  <si>
    <t>C9223</t>
  </si>
  <si>
    <t>S964</t>
  </si>
  <si>
    <t>O1000427</t>
  </si>
  <si>
    <t>C5419</t>
  </si>
  <si>
    <t>S685</t>
  </si>
  <si>
    <t>O1000428</t>
  </si>
  <si>
    <t>C6781</t>
  </si>
  <si>
    <t>S131</t>
  </si>
  <si>
    <t>O1000429</t>
  </si>
  <si>
    <t>C2954</t>
  </si>
  <si>
    <t>S407</t>
  </si>
  <si>
    <t>O1000430</t>
  </si>
  <si>
    <t>C4119</t>
  </si>
  <si>
    <t>S180</t>
  </si>
  <si>
    <t>O1000431</t>
  </si>
  <si>
    <t>C6570</t>
  </si>
  <si>
    <t>S255</t>
  </si>
  <si>
    <t>O1000432</t>
  </si>
  <si>
    <t>C9285</t>
  </si>
  <si>
    <t>O1000433</t>
  </si>
  <si>
    <t>C6970</t>
  </si>
  <si>
    <t>S784</t>
  </si>
  <si>
    <t>O1000434</t>
  </si>
  <si>
    <t>C2798</t>
  </si>
  <si>
    <t>S319</t>
  </si>
  <si>
    <t>O1000435</t>
  </si>
  <si>
    <t>C8189</t>
  </si>
  <si>
    <t>O1000436</t>
  </si>
  <si>
    <t>C7621</t>
  </si>
  <si>
    <t>S186</t>
  </si>
  <si>
    <t>O1000437</t>
  </si>
  <si>
    <t>C4133</t>
  </si>
  <si>
    <t>S409</t>
  </si>
  <si>
    <t>O1000438</t>
  </si>
  <si>
    <t>C5348</t>
  </si>
  <si>
    <t>S417</t>
  </si>
  <si>
    <t>O1000439</t>
  </si>
  <si>
    <t>C4529</t>
  </si>
  <si>
    <t>S833</t>
  </si>
  <si>
    <t>O1000440</t>
  </si>
  <si>
    <t>C7057</t>
  </si>
  <si>
    <t>O1000441</t>
  </si>
  <si>
    <t>C7230</t>
  </si>
  <si>
    <t>S527</t>
  </si>
  <si>
    <t>O1000442</t>
  </si>
  <si>
    <t>C5286</t>
  </si>
  <si>
    <t>O1000443</t>
  </si>
  <si>
    <t>S800</t>
  </si>
  <si>
    <t>O1000444</t>
  </si>
  <si>
    <t>C5885</t>
  </si>
  <si>
    <t>S330</t>
  </si>
  <si>
    <t>O1000445</t>
  </si>
  <si>
    <t>C3480</t>
  </si>
  <si>
    <t>O1000446</t>
  </si>
  <si>
    <t>C6942</t>
  </si>
  <si>
    <t>S846</t>
  </si>
  <si>
    <t>O1000447</t>
  </si>
  <si>
    <t>C6161</t>
  </si>
  <si>
    <t>S184</t>
  </si>
  <si>
    <t>O1000448</t>
  </si>
  <si>
    <t>C4104</t>
  </si>
  <si>
    <t>S251</t>
  </si>
  <si>
    <t>O1000449</t>
  </si>
  <si>
    <t>S778</t>
  </si>
  <si>
    <t>O1000450</t>
  </si>
  <si>
    <t>C5430</t>
  </si>
  <si>
    <t>S657</t>
  </si>
  <si>
    <t>O1000451</t>
  </si>
  <si>
    <t>C6265</t>
  </si>
  <si>
    <t>S969</t>
  </si>
  <si>
    <t>O1000452</t>
  </si>
  <si>
    <t>C1172</t>
  </si>
  <si>
    <t>O1000453</t>
  </si>
  <si>
    <t>C1271</t>
  </si>
  <si>
    <t>O1000454</t>
  </si>
  <si>
    <t>C3183</t>
  </si>
  <si>
    <t>S949</t>
  </si>
  <si>
    <t>O1000455</t>
  </si>
  <si>
    <t>C4254</t>
  </si>
  <si>
    <t>S885</t>
  </si>
  <si>
    <t>O1000456</t>
  </si>
  <si>
    <t>C2172</t>
  </si>
  <si>
    <t>O1000457</t>
  </si>
  <si>
    <t>C3908</t>
  </si>
  <si>
    <t>S486</t>
  </si>
  <si>
    <t>O1000458</t>
  </si>
  <si>
    <t>C4013</t>
  </si>
  <si>
    <t>S808</t>
  </si>
  <si>
    <t>O1000459</t>
  </si>
  <si>
    <t>C3752</t>
  </si>
  <si>
    <t>O1000460</t>
  </si>
  <si>
    <t>C1874</t>
  </si>
  <si>
    <t>O1000461</t>
  </si>
  <si>
    <t>C7451</t>
  </si>
  <si>
    <t>O1000462</t>
  </si>
  <si>
    <t>C5467</t>
  </si>
  <si>
    <t>O1000463</t>
  </si>
  <si>
    <t>C4256</t>
  </si>
  <si>
    <t>S342</t>
  </si>
  <si>
    <t>O1000464</t>
  </si>
  <si>
    <t>C8514</t>
  </si>
  <si>
    <t>O1000465</t>
  </si>
  <si>
    <t>C9055</t>
  </si>
  <si>
    <t>S735</t>
  </si>
  <si>
    <t>O1000466</t>
  </si>
  <si>
    <t>C8183</t>
  </si>
  <si>
    <t>S659</t>
  </si>
  <si>
    <t>O1000467</t>
  </si>
  <si>
    <t>C9742</t>
  </si>
  <si>
    <t>O1000468</t>
  </si>
  <si>
    <t>C9709</t>
  </si>
  <si>
    <t>O1000469</t>
  </si>
  <si>
    <t>C4798</t>
  </si>
  <si>
    <t>O1000470</t>
  </si>
  <si>
    <t>C8740</t>
  </si>
  <si>
    <t>O1000471</t>
  </si>
  <si>
    <t>C8744</t>
  </si>
  <si>
    <t>S185</t>
  </si>
  <si>
    <t>O1000472</t>
  </si>
  <si>
    <t>C6367</t>
  </si>
  <si>
    <t>S597</t>
  </si>
  <si>
    <t>O1000473</t>
  </si>
  <si>
    <t>C9364</t>
  </si>
  <si>
    <t>O1000474</t>
  </si>
  <si>
    <t>S313</t>
  </si>
  <si>
    <t>O1000475</t>
  </si>
  <si>
    <t>C7793</t>
  </si>
  <si>
    <t>S290</t>
  </si>
  <si>
    <t>O1000476</t>
  </si>
  <si>
    <t>C1615</t>
  </si>
  <si>
    <t>O1000477</t>
  </si>
  <si>
    <t>S730</t>
  </si>
  <si>
    <t>O1000478</t>
  </si>
  <si>
    <t>C9931</t>
  </si>
  <si>
    <t>S396</t>
  </si>
  <si>
    <t>O1000479</t>
  </si>
  <si>
    <t>C3137</t>
  </si>
  <si>
    <t>O1000480</t>
  </si>
  <si>
    <t>C2661</t>
  </si>
  <si>
    <t>O1000481</t>
  </si>
  <si>
    <t>C5043</t>
  </si>
  <si>
    <t>O1000482</t>
  </si>
  <si>
    <t>C5216</t>
  </si>
  <si>
    <t>O1000483</t>
  </si>
  <si>
    <t>C6584</t>
  </si>
  <si>
    <t>S410</t>
  </si>
  <si>
    <t>O1000484</t>
  </si>
  <si>
    <t>C2622</t>
  </si>
  <si>
    <t>O1000485</t>
  </si>
  <si>
    <t>O1000486</t>
  </si>
  <si>
    <t>C2765</t>
  </si>
  <si>
    <t>S669</t>
  </si>
  <si>
    <t>O1000487</t>
  </si>
  <si>
    <t>C7654</t>
  </si>
  <si>
    <t>S246</t>
  </si>
  <si>
    <t>O1000488</t>
  </si>
  <si>
    <t>S781</t>
  </si>
  <si>
    <t>O1000489</t>
  </si>
  <si>
    <t>C2651</t>
  </si>
  <si>
    <t>O1000490</t>
  </si>
  <si>
    <t>C4802</t>
  </si>
  <si>
    <t>O1000491</t>
  </si>
  <si>
    <t>C4895</t>
  </si>
  <si>
    <t>S408</t>
  </si>
  <si>
    <t>O1000492</t>
  </si>
  <si>
    <t>C8954</t>
  </si>
  <si>
    <t>S871</t>
  </si>
  <si>
    <t>O1000493</t>
  </si>
  <si>
    <t>C5700</t>
  </si>
  <si>
    <t>S117</t>
  </si>
  <si>
    <t>O1000494</t>
  </si>
  <si>
    <t>C7264</t>
  </si>
  <si>
    <t>O1000495</t>
  </si>
  <si>
    <t>C9624</t>
  </si>
  <si>
    <t>O1000496</t>
  </si>
  <si>
    <t>C9892</t>
  </si>
  <si>
    <t>S977</t>
  </si>
  <si>
    <t>O1000497</t>
  </si>
  <si>
    <t>C6377</t>
  </si>
  <si>
    <t>S192</t>
  </si>
  <si>
    <t>O1000498</t>
  </si>
  <si>
    <t>C8665</t>
  </si>
  <si>
    <t>O1000499</t>
  </si>
  <si>
    <t>C1941</t>
  </si>
  <si>
    <t>S228</t>
  </si>
  <si>
    <t>O1000500</t>
  </si>
  <si>
    <t>C7874</t>
  </si>
  <si>
    <t>O1000501</t>
  </si>
  <si>
    <t>C8693</t>
  </si>
  <si>
    <t>S247</t>
  </si>
  <si>
    <t>O1000502</t>
  </si>
  <si>
    <t>C4296</t>
  </si>
  <si>
    <t>O1000503</t>
  </si>
  <si>
    <t>C3820</t>
  </si>
  <si>
    <t>S750</t>
  </si>
  <si>
    <t>O1000504</t>
  </si>
  <si>
    <t>C2100</t>
  </si>
  <si>
    <t>S120</t>
  </si>
  <si>
    <t>O1000505</t>
  </si>
  <si>
    <t>C8852</t>
  </si>
  <si>
    <t>S655</t>
  </si>
  <si>
    <t>O1000506</t>
  </si>
  <si>
    <t>C4432</t>
  </si>
  <si>
    <t>S906</t>
  </si>
  <si>
    <t>O1000507</t>
  </si>
  <si>
    <t>C3030</t>
  </si>
  <si>
    <t>S829</t>
  </si>
  <si>
    <t>O1000508</t>
  </si>
  <si>
    <t>C8236</t>
  </si>
  <si>
    <t>S141</t>
  </si>
  <si>
    <t>O1000509</t>
  </si>
  <si>
    <t>C8933</t>
  </si>
  <si>
    <t>S424</t>
  </si>
  <si>
    <t>O1000510</t>
  </si>
  <si>
    <t>C1783</t>
  </si>
  <si>
    <t>S119</t>
  </si>
  <si>
    <t>O1000511</t>
  </si>
  <si>
    <t>C5722</t>
  </si>
  <si>
    <t>S481</t>
  </si>
  <si>
    <t>O1000512</t>
  </si>
  <si>
    <t>C4454</t>
  </si>
  <si>
    <t>O1000513</t>
  </si>
  <si>
    <t>C4354</t>
  </si>
  <si>
    <t>O1000514</t>
  </si>
  <si>
    <t>C2577</t>
  </si>
  <si>
    <t>S843</t>
  </si>
  <si>
    <t>O1000515</t>
  </si>
  <si>
    <t>C5226</t>
  </si>
  <si>
    <t>O1000516</t>
  </si>
  <si>
    <t>C3002</t>
  </si>
  <si>
    <t>S767</t>
  </si>
  <si>
    <t>O1000517</t>
  </si>
  <si>
    <t>S367</t>
  </si>
  <si>
    <t>O1000518</t>
  </si>
  <si>
    <t>C6530</t>
  </si>
  <si>
    <t>S703</t>
  </si>
  <si>
    <t>O1000519</t>
  </si>
  <si>
    <t>C8866</t>
  </si>
  <si>
    <t>S115</t>
  </si>
  <si>
    <t>O1000520</t>
  </si>
  <si>
    <t>C8841</t>
  </si>
  <si>
    <t>S326</t>
  </si>
  <si>
    <t>O1000521</t>
  </si>
  <si>
    <t>C9622</t>
  </si>
  <si>
    <t>O1000522</t>
  </si>
  <si>
    <t>C3095</t>
  </si>
  <si>
    <t>O1000523</t>
  </si>
  <si>
    <t>C3821</t>
  </si>
  <si>
    <t>O1000524</t>
  </si>
  <si>
    <t>C1115</t>
  </si>
  <si>
    <t>O1000525</t>
  </si>
  <si>
    <t>C6335</t>
  </si>
  <si>
    <t>S629</t>
  </si>
  <si>
    <t>O1000526</t>
  </si>
  <si>
    <t>C9574</t>
  </si>
  <si>
    <t>S129</t>
  </si>
  <si>
    <t>O1000527</t>
  </si>
  <si>
    <t>C7710</t>
  </si>
  <si>
    <t>S579</t>
  </si>
  <si>
    <t>O1000528</t>
  </si>
  <si>
    <t>C3334</t>
  </si>
  <si>
    <t>O1000529</t>
  </si>
  <si>
    <t>C9738</t>
  </si>
  <si>
    <t>S839</t>
  </si>
  <si>
    <t>O1000530</t>
  </si>
  <si>
    <t>C2165</t>
  </si>
  <si>
    <t>O1000531</t>
  </si>
  <si>
    <t>C9697</t>
  </si>
  <si>
    <t>S595</t>
  </si>
  <si>
    <t>O1000532</t>
  </si>
  <si>
    <t>C8851</t>
  </si>
  <si>
    <t>O1000533</t>
  </si>
  <si>
    <t>C6747</t>
  </si>
  <si>
    <t>S753</t>
  </si>
  <si>
    <t>O1000534</t>
  </si>
  <si>
    <t>C6044</t>
  </si>
  <si>
    <t>O1000535</t>
  </si>
  <si>
    <t>C5033</t>
  </si>
  <si>
    <t>O1000536</t>
  </si>
  <si>
    <t>O1000537</t>
  </si>
  <si>
    <t>C7547</t>
  </si>
  <si>
    <t>O1000538</t>
  </si>
  <si>
    <t>C8466</t>
  </si>
  <si>
    <t>S667</t>
  </si>
  <si>
    <t>O1000539</t>
  </si>
  <si>
    <t>C6907</t>
  </si>
  <si>
    <t>S437</t>
  </si>
  <si>
    <t>O1000540</t>
  </si>
  <si>
    <t>C4388</t>
  </si>
  <si>
    <t>O1000541</t>
  </si>
  <si>
    <t>C1162</t>
  </si>
  <si>
    <t>O1000542</t>
  </si>
  <si>
    <t>C1067</t>
  </si>
  <si>
    <t>O1000543</t>
  </si>
  <si>
    <t>C4351</t>
  </si>
  <si>
    <t>S874</t>
  </si>
  <si>
    <t>O1000544</t>
  </si>
  <si>
    <t>C5229</t>
  </si>
  <si>
    <t>O1000545</t>
  </si>
  <si>
    <t>C8460</t>
  </si>
  <si>
    <t>O1000546</t>
  </si>
  <si>
    <t>C3655</t>
  </si>
  <si>
    <t>O1000547</t>
  </si>
  <si>
    <t>C5816</t>
  </si>
  <si>
    <t>O1000548</t>
  </si>
  <si>
    <t>C9032</t>
  </si>
  <si>
    <t>S917</t>
  </si>
  <si>
    <t>O1000549</t>
  </si>
  <si>
    <t>C7271</t>
  </si>
  <si>
    <t>S544</t>
  </si>
  <si>
    <t>O1000550</t>
  </si>
  <si>
    <t>C9215</t>
  </si>
  <si>
    <t>S281</t>
  </si>
  <si>
    <t>O1000551</t>
  </si>
  <si>
    <t>C3461</t>
  </si>
  <si>
    <t>S535</t>
  </si>
  <si>
    <t>O1000552</t>
  </si>
  <si>
    <t>C9250</t>
  </si>
  <si>
    <t>O1000553</t>
  </si>
  <si>
    <t>C8471</t>
  </si>
  <si>
    <t>S963</t>
  </si>
  <si>
    <t>O1000554</t>
  </si>
  <si>
    <t>C4521</t>
  </si>
  <si>
    <t>S960</t>
  </si>
  <si>
    <t>O1000555</t>
  </si>
  <si>
    <t>C1741</t>
  </si>
  <si>
    <t>S694</t>
  </si>
  <si>
    <t>O1000556</t>
  </si>
  <si>
    <t>C9175</t>
  </si>
  <si>
    <t>S746</t>
  </si>
  <si>
    <t>O1000557</t>
  </si>
  <si>
    <t>C9826</t>
  </si>
  <si>
    <t>O1000558</t>
  </si>
  <si>
    <t>C5052</t>
  </si>
  <si>
    <t>O1000559</t>
  </si>
  <si>
    <t>C6332</t>
  </si>
  <si>
    <t>O1000560</t>
  </si>
  <si>
    <t>C1264</t>
  </si>
  <si>
    <t>S951</t>
  </si>
  <si>
    <t>O1000561</t>
  </si>
  <si>
    <t>C1716</t>
  </si>
  <si>
    <t>S213</t>
  </si>
  <si>
    <t>O1000562</t>
  </si>
  <si>
    <t>C4881</t>
  </si>
  <si>
    <t>O1000563</t>
  </si>
  <si>
    <t>C3148</t>
  </si>
  <si>
    <t>O1000564</t>
  </si>
  <si>
    <t>C1226</t>
  </si>
  <si>
    <t>O1000565</t>
  </si>
  <si>
    <t>C4951</t>
  </si>
  <si>
    <t>S194</t>
  </si>
  <si>
    <t>O1000566</t>
  </si>
  <si>
    <t>C2511</t>
  </si>
  <si>
    <t>S397</t>
  </si>
  <si>
    <t>O1000567</t>
  </si>
  <si>
    <t>C8947</t>
  </si>
  <si>
    <t>O1000568</t>
  </si>
  <si>
    <t>C3007</t>
  </si>
  <si>
    <t>S961</t>
  </si>
  <si>
    <t>O1000569</t>
  </si>
  <si>
    <t>C7141</t>
  </si>
  <si>
    <t>O1000570</t>
  </si>
  <si>
    <t>C4402</t>
  </si>
  <si>
    <t>S729</t>
  </si>
  <si>
    <t>O1000571</t>
  </si>
  <si>
    <t>C1977</t>
  </si>
  <si>
    <t>S109</t>
  </si>
  <si>
    <t>O1000572</t>
  </si>
  <si>
    <t>C2547</t>
  </si>
  <si>
    <t>S896</t>
  </si>
  <si>
    <t>O1000573</t>
  </si>
  <si>
    <t>C2978</t>
  </si>
  <si>
    <t>S647</t>
  </si>
  <si>
    <t>O1000574</t>
  </si>
  <si>
    <t>C9687</t>
  </si>
  <si>
    <t>O1000575</t>
  </si>
  <si>
    <t>C2184</t>
  </si>
  <si>
    <t>S512</t>
  </si>
  <si>
    <t>O1000576</t>
  </si>
  <si>
    <t>S444</t>
  </si>
  <si>
    <t>O1000577</t>
  </si>
  <si>
    <t>C2982</t>
  </si>
  <si>
    <t>S798</t>
  </si>
  <si>
    <t>O1000578</t>
  </si>
  <si>
    <t>C2961</t>
  </si>
  <si>
    <t>S569</t>
  </si>
  <si>
    <t>O1000579</t>
  </si>
  <si>
    <t>C5453</t>
  </si>
  <si>
    <t>S395</t>
  </si>
  <si>
    <t>O1000580</t>
  </si>
  <si>
    <t>C1539</t>
  </si>
  <si>
    <t>O1000581</t>
  </si>
  <si>
    <t>C8467</t>
  </si>
  <si>
    <t>O1000582</t>
  </si>
  <si>
    <t>C7505</t>
  </si>
  <si>
    <t>S521</t>
  </si>
  <si>
    <t>O1000583</t>
  </si>
  <si>
    <t>C7601</t>
  </si>
  <si>
    <t>S944</t>
  </si>
  <si>
    <t>O1000584</t>
  </si>
  <si>
    <t>O1000585</t>
  </si>
  <si>
    <t>C5423</t>
  </si>
  <si>
    <t>S600</t>
  </si>
  <si>
    <t>O1000586</t>
  </si>
  <si>
    <t>C8654</t>
  </si>
  <si>
    <t>O1000587</t>
  </si>
  <si>
    <t>C2928</t>
  </si>
  <si>
    <t>O1000588</t>
  </si>
  <si>
    <t>C4310</t>
  </si>
  <si>
    <t>O1000589</t>
  </si>
  <si>
    <t>C8137</t>
  </si>
  <si>
    <t>O1000590</t>
  </si>
  <si>
    <t>C4125</t>
  </si>
  <si>
    <t>S680</t>
  </si>
  <si>
    <t>O1000591</t>
  </si>
  <si>
    <t>C1926</t>
  </si>
  <si>
    <t>S907</t>
  </si>
  <si>
    <t>O1000592</t>
  </si>
  <si>
    <t>C4427</t>
  </si>
  <si>
    <t>O1000593</t>
  </si>
  <si>
    <t>C4103</t>
  </si>
  <si>
    <t>S170</t>
  </si>
  <si>
    <t>O1000594</t>
  </si>
  <si>
    <t>C7233</t>
  </si>
  <si>
    <t>S709</t>
  </si>
  <si>
    <t>O1000595</t>
  </si>
  <si>
    <t>C1636</t>
  </si>
  <si>
    <t>S732</t>
  </si>
  <si>
    <t>O1000596</t>
  </si>
  <si>
    <t>C5607</t>
  </si>
  <si>
    <t>S841</t>
  </si>
  <si>
    <t>O1000597</t>
  </si>
  <si>
    <t>C6272</t>
  </si>
  <si>
    <t>S591</t>
  </si>
  <si>
    <t>O1000598</t>
  </si>
  <si>
    <t>C1555</t>
  </si>
  <si>
    <t>O1000599</t>
  </si>
  <si>
    <t>C3836</t>
  </si>
  <si>
    <t>S188</t>
  </si>
  <si>
    <t>O1000600</t>
  </si>
  <si>
    <t>C1091</t>
  </si>
  <si>
    <t>O1000601</t>
  </si>
  <si>
    <t>C5387</t>
  </si>
  <si>
    <t>O1000602</t>
  </si>
  <si>
    <t>C5925</t>
  </si>
  <si>
    <t>S177</t>
  </si>
  <si>
    <t>O1000603</t>
  </si>
  <si>
    <t>C7305</t>
  </si>
  <si>
    <t>S373</t>
  </si>
  <si>
    <t>O1000604</t>
  </si>
  <si>
    <t>C8072</t>
  </si>
  <si>
    <t>S413</t>
  </si>
  <si>
    <t>O1000605</t>
  </si>
  <si>
    <t>C5054</t>
  </si>
  <si>
    <t>S721</t>
  </si>
  <si>
    <t>O1000606</t>
  </si>
  <si>
    <t>C1860</t>
  </si>
  <si>
    <t>S745</t>
  </si>
  <si>
    <t>O1000607</t>
  </si>
  <si>
    <t>C3906</t>
  </si>
  <si>
    <t>S377</t>
  </si>
  <si>
    <t>O1000608</t>
  </si>
  <si>
    <t>C7921</t>
  </si>
  <si>
    <t>S726</t>
  </si>
  <si>
    <t>O1000609</t>
  </si>
  <si>
    <t>C7800</t>
  </si>
  <si>
    <t>S699</t>
  </si>
  <si>
    <t>O1000610</t>
  </si>
  <si>
    <t>C2710</t>
  </si>
  <si>
    <t>S471</t>
  </si>
  <si>
    <t>O1000611</t>
  </si>
  <si>
    <t>C9551</t>
  </si>
  <si>
    <t>S537</t>
  </si>
  <si>
    <t>O1000612</t>
  </si>
  <si>
    <t>C9346</t>
  </si>
  <si>
    <t>S978</t>
  </si>
  <si>
    <t>O1000613</t>
  </si>
  <si>
    <t>C6075</t>
  </si>
  <si>
    <t>O1000614</t>
  </si>
  <si>
    <t>C3117</t>
  </si>
  <si>
    <t>O1000615</t>
  </si>
  <si>
    <t>C5980</t>
  </si>
  <si>
    <t>S541</t>
  </si>
  <si>
    <t>O1000616</t>
  </si>
  <si>
    <t>C1500</t>
  </si>
  <si>
    <t>S950</t>
  </si>
  <si>
    <t>O1000617</t>
  </si>
  <si>
    <t>C8054</t>
  </si>
  <si>
    <t>S574</t>
  </si>
  <si>
    <t>O1000618</t>
  </si>
  <si>
    <t>C2763</t>
  </si>
  <si>
    <t>S201</t>
  </si>
  <si>
    <t>O1000619</t>
  </si>
  <si>
    <t>S400</t>
  </si>
  <si>
    <t>O1000620</t>
  </si>
  <si>
    <t>C6107</t>
  </si>
  <si>
    <t>S500</t>
  </si>
  <si>
    <t>O1000621</t>
  </si>
  <si>
    <t>C6145</t>
  </si>
  <si>
    <t>O1000622</t>
  </si>
  <si>
    <t>C3211</t>
  </si>
  <si>
    <t>O1000623</t>
  </si>
  <si>
    <t>C9396</t>
  </si>
  <si>
    <t>O1000624</t>
  </si>
  <si>
    <t>C2280</t>
  </si>
  <si>
    <t>S631</t>
  </si>
  <si>
    <t>O1000625</t>
  </si>
  <si>
    <t>C4540</t>
  </si>
  <si>
    <t>O1000626</t>
  </si>
  <si>
    <t>S884</t>
  </si>
  <si>
    <t>O1000627</t>
  </si>
  <si>
    <t>C9994</t>
  </si>
  <si>
    <t>S334</t>
  </si>
  <si>
    <t>O1000628</t>
  </si>
  <si>
    <t>C7537</t>
  </si>
  <si>
    <t>O1000629</t>
  </si>
  <si>
    <t>C2328</t>
  </si>
  <si>
    <t>O1000630</t>
  </si>
  <si>
    <t>C9021</t>
  </si>
  <si>
    <t>O1000631</t>
  </si>
  <si>
    <t>C7638</t>
  </si>
  <si>
    <t>O1000632</t>
  </si>
  <si>
    <t>O1000633</t>
  </si>
  <si>
    <t>C9197</t>
  </si>
  <si>
    <t>O1000634</t>
  </si>
  <si>
    <t>C6724</t>
  </si>
  <si>
    <t>O1000635</t>
  </si>
  <si>
    <t>C1582</t>
  </si>
  <si>
    <t>S196</t>
  </si>
  <si>
    <t>O1000636</t>
  </si>
  <si>
    <t>S149</t>
  </si>
  <si>
    <t>O1000637</t>
  </si>
  <si>
    <t>C3899</t>
  </si>
  <si>
    <t>O1000638</t>
  </si>
  <si>
    <t>C8379</t>
  </si>
  <si>
    <t>O1000639</t>
  </si>
  <si>
    <t>C5612</t>
  </si>
  <si>
    <t>S640</t>
  </si>
  <si>
    <t>O1000640</t>
  </si>
  <si>
    <t>C2640</t>
  </si>
  <si>
    <t>S649</t>
  </si>
  <si>
    <t>O1000641</t>
  </si>
  <si>
    <t>C4160</t>
  </si>
  <si>
    <t>O1000642</t>
  </si>
  <si>
    <t>C9612</t>
  </si>
  <si>
    <t>O1000643</t>
  </si>
  <si>
    <t>C6947</t>
  </si>
  <si>
    <t>S972</t>
  </si>
  <si>
    <t>O1000644</t>
  </si>
  <si>
    <t>C6096</t>
  </si>
  <si>
    <t>S929</t>
  </si>
  <si>
    <t>O1000645</t>
  </si>
  <si>
    <t>C1268</t>
  </si>
  <si>
    <t>S876</t>
  </si>
  <si>
    <t>O1000646</t>
  </si>
  <si>
    <t>C6427</t>
  </si>
  <si>
    <t>O1000647</t>
  </si>
  <si>
    <t>C2585</t>
  </si>
  <si>
    <t>S238</t>
  </si>
  <si>
    <t>O1000648</t>
  </si>
  <si>
    <t>C2261</t>
  </si>
  <si>
    <t>O1000649</t>
  </si>
  <si>
    <t>C9191</t>
  </si>
  <si>
    <t>O1000650</t>
  </si>
  <si>
    <t>C4307</t>
  </si>
  <si>
    <t>O1000651</t>
  </si>
  <si>
    <t>C9614</t>
  </si>
  <si>
    <t>S585</t>
  </si>
  <si>
    <t>O1000652</t>
  </si>
  <si>
    <t>C8692</t>
  </si>
  <si>
    <t>O1000653</t>
  </si>
  <si>
    <t>C8788</t>
  </si>
  <si>
    <t>O1000654</t>
  </si>
  <si>
    <t>C4442</t>
  </si>
  <si>
    <t>O1000655</t>
  </si>
  <si>
    <t>C4147</t>
  </si>
  <si>
    <t>O1000656</t>
  </si>
  <si>
    <t>C5636</t>
  </si>
  <si>
    <t>O1000657</t>
  </si>
  <si>
    <t>C6534</t>
  </si>
  <si>
    <t>O1000658</t>
  </si>
  <si>
    <t>C6542</t>
  </si>
  <si>
    <t>O1000659</t>
  </si>
  <si>
    <t>C6376</t>
  </si>
  <si>
    <t>O1000660</t>
  </si>
  <si>
    <t>S341</t>
  </si>
  <si>
    <t>O1000661</t>
  </si>
  <si>
    <t>C2289</t>
  </si>
  <si>
    <t>S731</t>
  </si>
  <si>
    <t>O1000662</t>
  </si>
  <si>
    <t>C2876</t>
  </si>
  <si>
    <t>S193</t>
  </si>
  <si>
    <t>O1000663</t>
  </si>
  <si>
    <t>C3739</t>
  </si>
  <si>
    <t>O1000664</t>
  </si>
  <si>
    <t>C9967</t>
  </si>
  <si>
    <t>S439</t>
  </si>
  <si>
    <t>O1000665</t>
  </si>
  <si>
    <t>O1000666</t>
  </si>
  <si>
    <t>C7119</t>
  </si>
  <si>
    <t>S491</t>
  </si>
  <si>
    <t>O1000667</t>
  </si>
  <si>
    <t>C4478</t>
  </si>
  <si>
    <t>O1000668</t>
  </si>
  <si>
    <t>C8498</t>
  </si>
  <si>
    <t>S653</t>
  </si>
  <si>
    <t>O1000669</t>
  </si>
  <si>
    <t>C4371</t>
  </si>
  <si>
    <t>O1000670</t>
  </si>
  <si>
    <t>C1374</t>
  </si>
  <si>
    <t>O1000671</t>
  </si>
  <si>
    <t>C1774</t>
  </si>
  <si>
    <t>S645</t>
  </si>
  <si>
    <t>O1000672</t>
  </si>
  <si>
    <t>C9526</t>
  </si>
  <si>
    <t>S432</t>
  </si>
  <si>
    <t>O1000673</t>
  </si>
  <si>
    <t>C9954</t>
  </si>
  <si>
    <t>O1000674</t>
  </si>
  <si>
    <t>C9430</t>
  </si>
  <si>
    <t>S269</t>
  </si>
  <si>
    <t>O1000675</t>
  </si>
  <si>
    <t>C4102</t>
  </si>
  <si>
    <t>S959</t>
  </si>
  <si>
    <t>O1000676</t>
  </si>
  <si>
    <t>C9186</t>
  </si>
  <si>
    <t>O1000677</t>
  </si>
  <si>
    <t>C5918</t>
  </si>
  <si>
    <t>O1000678</t>
  </si>
  <si>
    <t>C3673</t>
  </si>
  <si>
    <t>O1000679</t>
  </si>
  <si>
    <t>C2048</t>
  </si>
  <si>
    <t>S769</t>
  </si>
  <si>
    <t>O1000680</t>
  </si>
  <si>
    <t>C5154</t>
  </si>
  <si>
    <t>S952</t>
  </si>
  <si>
    <t>O1000681</t>
  </si>
  <si>
    <t>C3564</t>
  </si>
  <si>
    <t>O1000682</t>
  </si>
  <si>
    <t>S760</t>
  </si>
  <si>
    <t>O1000683</t>
  </si>
  <si>
    <t>C9119</t>
  </si>
  <si>
    <t>O1000684</t>
  </si>
  <si>
    <t>C1087</t>
  </si>
  <si>
    <t>S434</t>
  </si>
  <si>
    <t>O1000685</t>
  </si>
  <si>
    <t>C3301</t>
  </si>
  <si>
    <t>O1000686</t>
  </si>
  <si>
    <t>C2936</t>
  </si>
  <si>
    <t>O1000687</t>
  </si>
  <si>
    <t>C3066</t>
  </si>
  <si>
    <t>O1000688</t>
  </si>
  <si>
    <t>C7763</t>
  </si>
  <si>
    <t>O1000689</t>
  </si>
  <si>
    <t>C6318</t>
  </si>
  <si>
    <t>O1000690</t>
  </si>
  <si>
    <t>C3562</t>
  </si>
  <si>
    <t>O1000691</t>
  </si>
  <si>
    <t>C7083</t>
  </si>
  <si>
    <t>S826</t>
  </si>
  <si>
    <t>O1000692</t>
  </si>
  <si>
    <t>C6352</t>
  </si>
  <si>
    <t>O1000693</t>
  </si>
  <si>
    <t>C7354</t>
  </si>
  <si>
    <t>O1000694</t>
  </si>
  <si>
    <t>C8006</t>
  </si>
  <si>
    <t>S708</t>
  </si>
  <si>
    <t>O1000695</t>
  </si>
  <si>
    <t>C5001</t>
  </si>
  <si>
    <t>S691</t>
  </si>
  <si>
    <t>O1000696</t>
  </si>
  <si>
    <t>C4842</t>
  </si>
  <si>
    <t>S266</t>
  </si>
  <si>
    <t>O1000697</t>
  </si>
  <si>
    <t>C3953</t>
  </si>
  <si>
    <t>S252</t>
  </si>
  <si>
    <t>O1000698</t>
  </si>
  <si>
    <t>C1879</t>
  </si>
  <si>
    <t>O1000699</t>
  </si>
  <si>
    <t>C6987</t>
  </si>
  <si>
    <t>S488</t>
  </si>
  <si>
    <t>O1000700</t>
  </si>
  <si>
    <t>C5868</t>
  </si>
  <si>
    <t>S997</t>
  </si>
  <si>
    <t>O1000701</t>
  </si>
  <si>
    <t>C6914</t>
  </si>
  <si>
    <t>S821</t>
  </si>
  <si>
    <t>O1000702</t>
  </si>
  <si>
    <t>O1000703</t>
  </si>
  <si>
    <t>C4755</t>
  </si>
  <si>
    <t>S147</t>
  </si>
  <si>
    <t>O1000704</t>
  </si>
  <si>
    <t>C2590</t>
  </si>
  <si>
    <t>S706</t>
  </si>
  <si>
    <t>O1000705</t>
  </si>
  <si>
    <t>C7085</t>
  </si>
  <si>
    <t>O1000706</t>
  </si>
  <si>
    <t>C9053</t>
  </si>
  <si>
    <t>S494</t>
  </si>
  <si>
    <t>O1000707</t>
  </si>
  <si>
    <t>C1011</t>
  </si>
  <si>
    <t>O1000708</t>
  </si>
  <si>
    <t>C2429</t>
  </si>
  <si>
    <t>O1000709</t>
  </si>
  <si>
    <t>C9378</t>
  </si>
  <si>
    <t>O1000710</t>
  </si>
  <si>
    <t>C1647</t>
  </si>
  <si>
    <t>S346</t>
  </si>
  <si>
    <t>O1000711</t>
  </si>
  <si>
    <t>C1856</t>
  </si>
  <si>
    <t>S683</t>
  </si>
  <si>
    <t>O1000712</t>
  </si>
  <si>
    <t>C8162</t>
  </si>
  <si>
    <t>S383</t>
  </si>
  <si>
    <t>O1000713</t>
  </si>
  <si>
    <t>C2895</t>
  </si>
  <si>
    <t>O1000714</t>
  </si>
  <si>
    <t>C3661</t>
  </si>
  <si>
    <t>S920</t>
  </si>
  <si>
    <t>O1000715</t>
  </si>
  <si>
    <t>C8905</t>
  </si>
  <si>
    <t>S596</t>
  </si>
  <si>
    <t>O1000716</t>
  </si>
  <si>
    <t>C4212</t>
  </si>
  <si>
    <t>O1000717</t>
  </si>
  <si>
    <t>C2181</t>
  </si>
  <si>
    <t>S280</t>
  </si>
  <si>
    <t>O1000718</t>
  </si>
  <si>
    <t>C3897</t>
  </si>
  <si>
    <t>O1000719</t>
  </si>
  <si>
    <t>C7929</t>
  </si>
  <si>
    <t>O1000720</t>
  </si>
  <si>
    <t>C7966</t>
  </si>
  <si>
    <t>O1000721</t>
  </si>
  <si>
    <t>C9746</t>
  </si>
  <si>
    <t>O1000722</t>
  </si>
  <si>
    <t>C5598</t>
  </si>
  <si>
    <t>S168</t>
  </si>
  <si>
    <t>O1000723</t>
  </si>
  <si>
    <t>C1554</t>
  </si>
  <si>
    <t>O1000724</t>
  </si>
  <si>
    <t>C8330</t>
  </si>
  <si>
    <t>S515</t>
  </si>
  <si>
    <t>O1000725</t>
  </si>
  <si>
    <t>C8116</t>
  </si>
  <si>
    <t>O1000726</t>
  </si>
  <si>
    <t>C5207</t>
  </si>
  <si>
    <t>S624</t>
  </si>
  <si>
    <t>O1000727</t>
  </si>
  <si>
    <t>C8122</t>
  </si>
  <si>
    <t>O1000728</t>
  </si>
  <si>
    <t>C2700</t>
  </si>
  <si>
    <t>S539</t>
  </si>
  <si>
    <t>O1000729</t>
  </si>
  <si>
    <t>C5440</t>
  </si>
  <si>
    <t>O1000730</t>
  </si>
  <si>
    <t>C1675</t>
  </si>
  <si>
    <t>O1000731</t>
  </si>
  <si>
    <t>C2208</t>
  </si>
  <si>
    <t>S433</t>
  </si>
  <si>
    <t>O1000732</t>
  </si>
  <si>
    <t>C7424</t>
  </si>
  <si>
    <t>S912</t>
  </si>
  <si>
    <t>O1000733</t>
  </si>
  <si>
    <t>C7595</t>
  </si>
  <si>
    <t>O1000734</t>
  </si>
  <si>
    <t>C1254</t>
  </si>
  <si>
    <t>O1000735</t>
  </si>
  <si>
    <t>C7745</t>
  </si>
  <si>
    <t>S955</t>
  </si>
  <si>
    <t>O1000736</t>
  </si>
  <si>
    <t>C3829</t>
  </si>
  <si>
    <t>O1000737</t>
  </si>
  <si>
    <t>C9303</t>
  </si>
  <si>
    <t>S382</t>
  </si>
  <si>
    <t>O1000738</t>
  </si>
  <si>
    <t>C5214</t>
  </si>
  <si>
    <t>O1000739</t>
  </si>
  <si>
    <t>C6397</t>
  </si>
  <si>
    <t>O1000740</t>
  </si>
  <si>
    <t>C9817</t>
  </si>
  <si>
    <t>O1000741</t>
  </si>
  <si>
    <t>C4458</t>
  </si>
  <si>
    <t>S984</t>
  </si>
  <si>
    <t>O1000742</t>
  </si>
  <si>
    <t>C6879</t>
  </si>
  <si>
    <t>O1000743</t>
  </si>
  <si>
    <t>C5863</t>
  </si>
  <si>
    <t>O1000744</t>
  </si>
  <si>
    <t>C3063</t>
  </si>
  <si>
    <t>S626</t>
  </si>
  <si>
    <t>O1000745</t>
  </si>
  <si>
    <t>C1921</t>
  </si>
  <si>
    <t>O1000746</t>
  </si>
  <si>
    <t>C8415</t>
  </si>
  <si>
    <t>O1000747</t>
  </si>
  <si>
    <t>O1000748</t>
  </si>
  <si>
    <t>C9254</t>
  </si>
  <si>
    <t>S838</t>
  </si>
  <si>
    <t>O1000749</t>
  </si>
  <si>
    <t>C9139</t>
  </si>
  <si>
    <t>S979</t>
  </si>
  <si>
    <t>O1000750</t>
  </si>
  <si>
    <t>C5029</t>
  </si>
  <si>
    <t>O1000751</t>
  </si>
  <si>
    <t>C1414</t>
  </si>
  <si>
    <t>O1000752</t>
  </si>
  <si>
    <t>C7883</t>
  </si>
  <si>
    <t>S153</t>
  </si>
  <si>
    <t>O1000753</t>
  </si>
  <si>
    <t>C9621</t>
  </si>
  <si>
    <t>O1000754</t>
  </si>
  <si>
    <t>C2076</t>
  </si>
  <si>
    <t>S275</t>
  </si>
  <si>
    <t>O1000755</t>
  </si>
  <si>
    <t>C6667</t>
  </si>
  <si>
    <t>O1000756</t>
  </si>
  <si>
    <t>C5062</t>
  </si>
  <si>
    <t>S365</t>
  </si>
  <si>
    <t>O1000757</t>
  </si>
  <si>
    <t>C6032</t>
  </si>
  <si>
    <t>O1000758</t>
  </si>
  <si>
    <t>C8166</t>
  </si>
  <si>
    <t>O1000759</t>
  </si>
  <si>
    <t>C5428</t>
  </si>
  <si>
    <t>S436</t>
  </si>
  <si>
    <t>O1000760</t>
  </si>
  <si>
    <t>C2124</t>
  </si>
  <si>
    <t>S895</t>
  </si>
  <si>
    <t>O1000761</t>
  </si>
  <si>
    <t>C7940</t>
  </si>
  <si>
    <t>O1000762</t>
  </si>
  <si>
    <t>C2229</t>
  </si>
  <si>
    <t>S534</t>
  </si>
  <si>
    <t>O1000763</t>
  </si>
  <si>
    <t>C2768</t>
  </si>
  <si>
    <t>O1000764</t>
  </si>
  <si>
    <t>S632</t>
  </si>
  <si>
    <t>O1000765</t>
  </si>
  <si>
    <t>C9844</t>
  </si>
  <si>
    <t>S765</t>
  </si>
  <si>
    <t>O1000766</t>
  </si>
  <si>
    <t>S197</t>
  </si>
  <si>
    <t>O1000767</t>
  </si>
  <si>
    <t>C9587</t>
  </si>
  <si>
    <t>O1000768</t>
  </si>
  <si>
    <t>C2447</t>
  </si>
  <si>
    <t>O1000769</t>
  </si>
  <si>
    <t>C1690</t>
  </si>
  <si>
    <t>O1000770</t>
  </si>
  <si>
    <t>C5797</t>
  </si>
  <si>
    <t>O1000771</t>
  </si>
  <si>
    <t>C6416</t>
  </si>
  <si>
    <t>S682</t>
  </si>
  <si>
    <t>O1000772</t>
  </si>
  <si>
    <t>C1313</t>
  </si>
  <si>
    <t>O1000773</t>
  </si>
  <si>
    <t>C2706</t>
  </si>
  <si>
    <t>S355</t>
  </si>
  <si>
    <t>O1000774</t>
  </si>
  <si>
    <t>C1703</t>
  </si>
  <si>
    <t>S627</t>
  </si>
  <si>
    <t>O1000775</t>
  </si>
  <si>
    <t>C6260</t>
  </si>
  <si>
    <t>S980</t>
  </si>
  <si>
    <t>O1000776</t>
  </si>
  <si>
    <t>C4240</t>
  </si>
  <si>
    <t>S641</t>
  </si>
  <si>
    <t>O1000777</t>
  </si>
  <si>
    <t>C5608</t>
  </si>
  <si>
    <t>O1000778</t>
  </si>
  <si>
    <t>C7900</t>
  </si>
  <si>
    <t>S496</t>
  </si>
  <si>
    <t>O1000779</t>
  </si>
  <si>
    <t>C4456</t>
  </si>
  <si>
    <t>O1000780</t>
  </si>
  <si>
    <t>C1359</t>
  </si>
  <si>
    <t>O1000781</t>
  </si>
  <si>
    <t>C9881</t>
  </si>
  <si>
    <t>O1000782</t>
  </si>
  <si>
    <t>S126</t>
  </si>
  <si>
    <t>O1000783</t>
  </si>
  <si>
    <t>C8687</t>
  </si>
  <si>
    <t>O1000784</t>
  </si>
  <si>
    <t>C2237</t>
  </si>
  <si>
    <t>O1000785</t>
  </si>
  <si>
    <t>C6559</t>
  </si>
  <si>
    <t>O1000786</t>
  </si>
  <si>
    <t>C9997</t>
  </si>
  <si>
    <t>S638</t>
  </si>
  <si>
    <t>O1000787</t>
  </si>
  <si>
    <t>C3966</t>
  </si>
  <si>
    <t>O1000788</t>
  </si>
  <si>
    <t>C1505</t>
  </si>
  <si>
    <t>O1000789</t>
  </si>
  <si>
    <t>C3132</t>
  </si>
  <si>
    <t>S587</t>
  </si>
  <si>
    <t>O1000790</t>
  </si>
  <si>
    <t>C3468</t>
  </si>
  <si>
    <t>O1000791</t>
  </si>
  <si>
    <t>C3158</t>
  </si>
  <si>
    <t>O1000792</t>
  </si>
  <si>
    <t>C1293</t>
  </si>
  <si>
    <t>S136</t>
  </si>
  <si>
    <t>O1000793</t>
  </si>
  <si>
    <t>C2773</t>
  </si>
  <si>
    <t>O1000794</t>
  </si>
  <si>
    <t>C6191</t>
  </si>
  <si>
    <t>S296</t>
  </si>
  <si>
    <t>O1000795</t>
  </si>
  <si>
    <t>C3830</t>
  </si>
  <si>
    <t>O1000796</t>
  </si>
  <si>
    <t>C4429</t>
  </si>
  <si>
    <t>O1000797</t>
  </si>
  <si>
    <t>C4772</t>
  </si>
  <si>
    <t>O1000798</t>
  </si>
  <si>
    <t>C7817</t>
  </si>
  <si>
    <t>O1000799</t>
  </si>
  <si>
    <t>C3342</t>
  </si>
  <si>
    <t>O1000800</t>
  </si>
  <si>
    <t>C7782</t>
  </si>
  <si>
    <t>O1000801</t>
  </si>
  <si>
    <t>C9444</t>
  </si>
  <si>
    <t>O1000802</t>
  </si>
  <si>
    <t>C7673</t>
  </si>
  <si>
    <t>O1000803</t>
  </si>
  <si>
    <t>C9733</t>
  </si>
  <si>
    <t>O1000804</t>
  </si>
  <si>
    <t>C1082</t>
  </si>
  <si>
    <t>O1000805</t>
  </si>
  <si>
    <t>C7360</t>
  </si>
  <si>
    <t>O1000806</t>
  </si>
  <si>
    <t>C6967</t>
  </si>
  <si>
    <t>O1000807</t>
  </si>
  <si>
    <t>C2035</t>
  </si>
  <si>
    <t>O1000808</t>
  </si>
  <si>
    <t>C8504</t>
  </si>
  <si>
    <t>O1000809</t>
  </si>
  <si>
    <t>C6680</t>
  </si>
  <si>
    <t>S158</t>
  </si>
  <si>
    <t>O1000810</t>
  </si>
  <si>
    <t>C4942</t>
  </si>
  <si>
    <t>S793</t>
  </si>
  <si>
    <t>O1000811</t>
  </si>
  <si>
    <t>C4646</t>
  </si>
  <si>
    <t>S301</t>
  </si>
  <si>
    <t>O1000812</t>
  </si>
  <si>
    <t>C2125</t>
  </si>
  <si>
    <t>S658</t>
  </si>
  <si>
    <t>O1000813</t>
  </si>
  <si>
    <t>S654</t>
  </si>
  <si>
    <t>O1000814</t>
  </si>
  <si>
    <t>C2080</t>
  </si>
  <si>
    <t>S733</t>
  </si>
  <si>
    <t>O1000815</t>
  </si>
  <si>
    <t>C2060</t>
  </si>
  <si>
    <t>S774</t>
  </si>
  <si>
    <t>O1000816</t>
  </si>
  <si>
    <t>C6147</t>
  </si>
  <si>
    <t>O1000817</t>
  </si>
  <si>
    <t>C8608</t>
  </si>
  <si>
    <t>O1000818</t>
  </si>
  <si>
    <t>C8455</t>
  </si>
  <si>
    <t>O1000819</t>
  </si>
  <si>
    <t>C6655</t>
  </si>
  <si>
    <t>S102</t>
  </si>
  <si>
    <t>O1000820</t>
  </si>
  <si>
    <t>C9678</t>
  </si>
  <si>
    <t>O1000821</t>
  </si>
  <si>
    <t>C4767</t>
  </si>
  <si>
    <t>S210</t>
  </si>
  <si>
    <t>O1000822</t>
  </si>
  <si>
    <t>C2480</t>
  </si>
  <si>
    <t>O1000823</t>
  </si>
  <si>
    <t>C3887</t>
  </si>
  <si>
    <t>O1000824</t>
  </si>
  <si>
    <t>C1542</t>
  </si>
  <si>
    <t>O1000825</t>
  </si>
  <si>
    <t>C8016</t>
  </si>
  <si>
    <t>O1000826</t>
  </si>
  <si>
    <t>O1000827</t>
  </si>
  <si>
    <t>O1000828</t>
  </si>
  <si>
    <t>C5180</t>
  </si>
  <si>
    <t>O1000829</t>
  </si>
  <si>
    <t>C3662</t>
  </si>
  <si>
    <t>S372</t>
  </si>
  <si>
    <t>O1000830</t>
  </si>
  <si>
    <t>C8524</t>
  </si>
  <si>
    <t>O1000831</t>
  </si>
  <si>
    <t>C1733</t>
  </si>
  <si>
    <t>S422</t>
  </si>
  <si>
    <t>O1000832</t>
  </si>
  <si>
    <t>C2453</t>
  </si>
  <si>
    <t>O1000833</t>
  </si>
  <si>
    <t>C4113</t>
  </si>
  <si>
    <t>O1000834</t>
  </si>
  <si>
    <t>C8462</t>
  </si>
  <si>
    <t>O1000835</t>
  </si>
  <si>
    <t>C7316</t>
  </si>
  <si>
    <t>O1000836</t>
  </si>
  <si>
    <t>C8227</t>
  </si>
  <si>
    <t>S575</t>
  </si>
  <si>
    <t>O1000837</t>
  </si>
  <si>
    <t>C9065</t>
  </si>
  <si>
    <t>S741</t>
  </si>
  <si>
    <t>O1000838</t>
  </si>
  <si>
    <t>C8120</t>
  </si>
  <si>
    <t>O1000839</t>
  </si>
  <si>
    <t>C1720</t>
  </si>
  <si>
    <t>S466</t>
  </si>
  <si>
    <t>O1000840</t>
  </si>
  <si>
    <t>C4320</t>
  </si>
  <si>
    <t>O1000841</t>
  </si>
  <si>
    <t>C7282</t>
  </si>
  <si>
    <t>O1000842</t>
  </si>
  <si>
    <t>C9209</t>
  </si>
  <si>
    <t>O1000843</t>
  </si>
  <si>
    <t>C9598</t>
  </si>
  <si>
    <t>S351</t>
  </si>
  <si>
    <t>O1000844</t>
  </si>
  <si>
    <t>C8160</t>
  </si>
  <si>
    <t>S463</t>
  </si>
  <si>
    <t>O1000845</t>
  </si>
  <si>
    <t>C4776</t>
  </si>
  <si>
    <t>O1000846</t>
  </si>
  <si>
    <t>C6550</t>
  </si>
  <si>
    <t>S276</t>
  </si>
  <si>
    <t>O1000847</t>
  </si>
  <si>
    <t>C5336</t>
  </si>
  <si>
    <t>O1000848</t>
  </si>
  <si>
    <t>C4769</t>
  </si>
  <si>
    <t>O1000849</t>
  </si>
  <si>
    <t>C4536</t>
  </si>
  <si>
    <t>S497</t>
  </si>
  <si>
    <t>O1000850</t>
  </si>
  <si>
    <t>C2260</t>
  </si>
  <si>
    <t>S230</t>
  </si>
  <si>
    <t>O1000851</t>
  </si>
  <si>
    <t>C6501</t>
  </si>
  <si>
    <t>O1000852</t>
  </si>
  <si>
    <t>C2956</t>
  </si>
  <si>
    <t>O1000853</t>
  </si>
  <si>
    <t>C3406</t>
  </si>
  <si>
    <t>S286</t>
  </si>
  <si>
    <t>O1000854</t>
  </si>
  <si>
    <t>C6084</t>
  </si>
  <si>
    <t>O1000855</t>
  </si>
  <si>
    <t>C4193</t>
  </si>
  <si>
    <t>O1000856</t>
  </si>
  <si>
    <t>C7124</t>
  </si>
  <si>
    <t>O1000857</t>
  </si>
  <si>
    <t>C5367</t>
  </si>
  <si>
    <t>O1000858</t>
  </si>
  <si>
    <t>C8610</t>
  </si>
  <si>
    <t>O1000859</t>
  </si>
  <si>
    <t>C5909</t>
  </si>
  <si>
    <t>O1000860</t>
  </si>
  <si>
    <t>C2269</t>
  </si>
  <si>
    <t>O1000861</t>
  </si>
  <si>
    <t>C8612</t>
  </si>
  <si>
    <t>S848</t>
  </si>
  <si>
    <t>O1000862</t>
  </si>
  <si>
    <t>C2739</t>
  </si>
  <si>
    <t>O1000863</t>
  </si>
  <si>
    <t>C7821</t>
  </si>
  <si>
    <t>S452</t>
  </si>
  <si>
    <t>O1000864</t>
  </si>
  <si>
    <t>C4081</t>
  </si>
  <si>
    <t>O1000865</t>
  </si>
  <si>
    <t>C9470</t>
  </si>
  <si>
    <t>S748</t>
  </si>
  <si>
    <t>O1000866</t>
  </si>
  <si>
    <t>C9606</t>
  </si>
  <si>
    <t>O1000867</t>
  </si>
  <si>
    <t>C9460</t>
  </si>
  <si>
    <t>O1000868</t>
  </si>
  <si>
    <t>C9455</t>
  </si>
  <si>
    <t>O1000869</t>
  </si>
  <si>
    <t>C7324</t>
  </si>
  <si>
    <t>O1000870</t>
  </si>
  <si>
    <t>C4622</t>
  </si>
  <si>
    <t>S559</t>
  </si>
  <si>
    <t>O1000871</t>
  </si>
  <si>
    <t>C4822</t>
  </si>
  <si>
    <t>O1000872</t>
  </si>
  <si>
    <t>C4447</t>
  </si>
  <si>
    <t>O1000873</t>
  </si>
  <si>
    <t>C5547</t>
  </si>
  <si>
    <t>S686</t>
  </si>
  <si>
    <t>O1000874</t>
  </si>
  <si>
    <t>C9751</t>
  </si>
  <si>
    <t>O1000875</t>
  </si>
  <si>
    <t>C3993</t>
  </si>
  <si>
    <t>S182</t>
  </si>
  <si>
    <t>O1000876</t>
  </si>
  <si>
    <t>C3553</t>
  </si>
  <si>
    <t>O1000877</t>
  </si>
  <si>
    <t>O1000878</t>
  </si>
  <si>
    <t>C1187</t>
  </si>
  <si>
    <t>O1000879</t>
  </si>
  <si>
    <t>C2524</t>
  </si>
  <si>
    <t>S526</t>
  </si>
  <si>
    <t>O1000880</t>
  </si>
  <si>
    <t>O1000881</t>
  </si>
  <si>
    <t>C1713</t>
  </si>
  <si>
    <t>O1000882</t>
  </si>
  <si>
    <t>C2588</t>
  </si>
  <si>
    <t>O1000883</t>
  </si>
  <si>
    <t>C5502</t>
  </si>
  <si>
    <t>O1000884</t>
  </si>
  <si>
    <t>C1296</t>
  </si>
  <si>
    <t>O1000885</t>
  </si>
  <si>
    <t>C2816</t>
  </si>
  <si>
    <t>O1000886</t>
  </si>
  <si>
    <t>C1643</t>
  </si>
  <si>
    <t>O1000887</t>
  </si>
  <si>
    <t>C1013</t>
  </si>
  <si>
    <t>S402</t>
  </si>
  <si>
    <t>O1000888</t>
  </si>
  <si>
    <t>C4645</t>
  </si>
  <si>
    <t>O1000889</t>
  </si>
  <si>
    <t>C7757</t>
  </si>
  <si>
    <t>S796</t>
  </si>
  <si>
    <t>O1000890</t>
  </si>
  <si>
    <t>C3311</t>
  </si>
  <si>
    <t>S336</t>
  </si>
  <si>
    <t>O1000891</t>
  </si>
  <si>
    <t>C6036</t>
  </si>
  <si>
    <t>O1000892</t>
  </si>
  <si>
    <t>C5864</t>
  </si>
  <si>
    <t>O1000893</t>
  </si>
  <si>
    <t>C9064</t>
  </si>
  <si>
    <t>O1000894</t>
  </si>
  <si>
    <t>C9582</t>
  </si>
  <si>
    <t>O1000895</t>
  </si>
  <si>
    <t>C1272</t>
  </si>
  <si>
    <t>S925</t>
  </si>
  <si>
    <t>O1000896</t>
  </si>
  <si>
    <t>C8832</t>
  </si>
  <si>
    <t>S325</t>
  </si>
  <si>
    <t>O1000897</t>
  </si>
  <si>
    <t>C1506</t>
  </si>
  <si>
    <t>O1000898</t>
  </si>
  <si>
    <t>C3968</t>
  </si>
  <si>
    <t>S514</t>
  </si>
  <si>
    <t>O1000899</t>
  </si>
  <si>
    <t>S719</t>
  </si>
  <si>
    <t>O1000900</t>
  </si>
  <si>
    <t>C2221</t>
  </si>
  <si>
    <t>S220</t>
  </si>
  <si>
    <t>O1000901</t>
  </si>
  <si>
    <t>C8020</t>
  </si>
  <si>
    <t>O1000902</t>
  </si>
  <si>
    <t>S991</t>
  </si>
  <si>
    <t>O1000903</t>
  </si>
  <si>
    <t>C7381</t>
  </si>
  <si>
    <t>O1000904</t>
  </si>
  <si>
    <t>C6426</t>
  </si>
  <si>
    <t>S288</t>
  </si>
  <si>
    <t>O1000905</t>
  </si>
  <si>
    <t>C4201</t>
  </si>
  <si>
    <t>S337</t>
  </si>
  <si>
    <t>O1000906</t>
  </si>
  <si>
    <t>C8049</t>
  </si>
  <si>
    <t>O1000907</t>
  </si>
  <si>
    <t>C6905</t>
  </si>
  <si>
    <t>S718</t>
  </si>
  <si>
    <t>O1000908</t>
  </si>
  <si>
    <t>C2185</t>
  </si>
  <si>
    <t>O1000909</t>
  </si>
  <si>
    <t>C3927</t>
  </si>
  <si>
    <t>S847</t>
  </si>
  <si>
    <t>O1000910</t>
  </si>
  <si>
    <t>C5213</t>
  </si>
  <si>
    <t>S385</t>
  </si>
  <si>
    <t>O1000911</t>
  </si>
  <si>
    <t>C2321</t>
  </si>
  <si>
    <t>O1000912</t>
  </si>
  <si>
    <t>C4180</t>
  </si>
  <si>
    <t>O1000913</t>
  </si>
  <si>
    <t>C2965</t>
  </si>
  <si>
    <t>S599</t>
  </si>
  <si>
    <t>O1000914</t>
  </si>
  <si>
    <t>C2460</t>
  </si>
  <si>
    <t>S911</t>
  </si>
  <si>
    <t>O1000915</t>
  </si>
  <si>
    <t>C7289</t>
  </si>
  <si>
    <t>S229</t>
  </si>
  <si>
    <t>O1000916</t>
  </si>
  <si>
    <t>C3732</t>
  </si>
  <si>
    <t>O1000917</t>
  </si>
  <si>
    <t>C8210</t>
  </si>
  <si>
    <t>O1000918</t>
  </si>
  <si>
    <t>S830</t>
  </si>
  <si>
    <t>O1000919</t>
  </si>
  <si>
    <t>C2198</t>
  </si>
  <si>
    <t>O1000920</t>
  </si>
  <si>
    <t>C7967</t>
  </si>
  <si>
    <t>O1000921</t>
  </si>
  <si>
    <t>C4158</t>
  </si>
  <si>
    <t>O1000922</t>
  </si>
  <si>
    <t>C7334</t>
  </si>
  <si>
    <t>O1000923</t>
  </si>
  <si>
    <t>S130</t>
  </si>
  <si>
    <t>O1000924</t>
  </si>
  <si>
    <t>O1000925</t>
  </si>
  <si>
    <t>C6474</t>
  </si>
  <si>
    <t>S445</t>
  </si>
  <si>
    <t>O1000926</t>
  </si>
  <si>
    <t>C5526</t>
  </si>
  <si>
    <t>O1000927</t>
  </si>
  <si>
    <t>S371</t>
  </si>
  <si>
    <t>O1000928</t>
  </si>
  <si>
    <t>C2617</t>
  </si>
  <si>
    <t>O1000929</t>
  </si>
  <si>
    <t>C2448</t>
  </si>
  <si>
    <t>S621</t>
  </si>
  <si>
    <t>O1000930</t>
  </si>
  <si>
    <t>C5436</t>
  </si>
  <si>
    <t>O1000931</t>
  </si>
  <si>
    <t>C4892</t>
  </si>
  <si>
    <t>O1000932</t>
  </si>
  <si>
    <t>C4829</t>
  </si>
  <si>
    <t>O1000933</t>
  </si>
  <si>
    <t>C7329</t>
  </si>
  <si>
    <t>S520</t>
  </si>
  <si>
    <t>O1000934</t>
  </si>
  <si>
    <t>S311</t>
  </si>
  <si>
    <t>O1000935</t>
  </si>
  <si>
    <t>C7630</t>
  </si>
  <si>
    <t>S967</t>
  </si>
  <si>
    <t>O1000936</t>
  </si>
  <si>
    <t>C2616</t>
  </si>
  <si>
    <t>S982</t>
  </si>
  <si>
    <t>O1000937</t>
  </si>
  <si>
    <t>O1000938</t>
  </si>
  <si>
    <t>C5208</t>
  </si>
  <si>
    <t>S571</t>
  </si>
  <si>
    <t>O1000939</t>
  </si>
  <si>
    <t>C9659</t>
  </si>
  <si>
    <t>O1000940</t>
  </si>
  <si>
    <t>C4471</t>
  </si>
  <si>
    <t>S165</t>
  </si>
  <si>
    <t>O1000941</t>
  </si>
  <si>
    <t>C4726</t>
  </si>
  <si>
    <t>S133</t>
  </si>
  <si>
    <t>O1000942</t>
  </si>
  <si>
    <t>C5669</t>
  </si>
  <si>
    <t>S340</t>
  </si>
  <si>
    <t>O1000943</t>
  </si>
  <si>
    <t>C3813</t>
  </si>
  <si>
    <t>O1000944</t>
  </si>
  <si>
    <t>C3415</t>
  </si>
  <si>
    <t>O1000945</t>
  </si>
  <si>
    <t>C6860</t>
  </si>
  <si>
    <t>O1000946</t>
  </si>
  <si>
    <t>C7917</t>
  </si>
  <si>
    <t>O1000947</t>
  </si>
  <si>
    <t>C7602</t>
  </si>
  <si>
    <t>O1000948</t>
  </si>
  <si>
    <t>S904</t>
  </si>
  <si>
    <t>O1000949</t>
  </si>
  <si>
    <t>C5849</t>
  </si>
  <si>
    <t>O1000950</t>
  </si>
  <si>
    <t>C4808</t>
  </si>
  <si>
    <t>S941</t>
  </si>
  <si>
    <t>O1000951</t>
  </si>
  <si>
    <t>C2022</t>
  </si>
  <si>
    <t>O1000952</t>
  </si>
  <si>
    <t>C8568</t>
  </si>
  <si>
    <t>O1000953</t>
  </si>
  <si>
    <t>C8101</t>
  </si>
  <si>
    <t>O1000954</t>
  </si>
  <si>
    <t>C8649</t>
  </si>
  <si>
    <t>S427</t>
  </si>
  <si>
    <t>O1000955</t>
  </si>
  <si>
    <t>C2747</t>
  </si>
  <si>
    <t>O1000956</t>
  </si>
  <si>
    <t>O1000957</t>
  </si>
  <si>
    <t>C7492</t>
  </si>
  <si>
    <t>O1000958</t>
  </si>
  <si>
    <t>S316</t>
  </si>
  <si>
    <t>O1000959</t>
  </si>
  <si>
    <t>O1000960</t>
  </si>
  <si>
    <t>C9446</t>
  </si>
  <si>
    <t>O1000961</t>
  </si>
  <si>
    <t>C3745</t>
  </si>
  <si>
    <t>O1000962</t>
  </si>
  <si>
    <t>C1722</t>
  </si>
  <si>
    <t>O1000963</t>
  </si>
  <si>
    <t>C7538</t>
  </si>
  <si>
    <t>O1000964</t>
  </si>
  <si>
    <t>C7991</t>
  </si>
  <si>
    <t>O1000965</t>
  </si>
  <si>
    <t>C4358</t>
  </si>
  <si>
    <t>O1000966</t>
  </si>
  <si>
    <t>C2821</t>
  </si>
  <si>
    <t>O1000967</t>
  </si>
  <si>
    <t>C9466</t>
  </si>
  <si>
    <t>O1000968</t>
  </si>
  <si>
    <t>C6447</t>
  </si>
  <si>
    <t>S462</t>
  </si>
  <si>
    <t>O1000969</t>
  </si>
  <si>
    <t>C1815</t>
  </si>
  <si>
    <t>S221</t>
  </si>
  <si>
    <t>O1000970</t>
  </si>
  <si>
    <t>O1000971</t>
  </si>
  <si>
    <t>C9025</t>
  </si>
  <si>
    <t>O1000972</t>
  </si>
  <si>
    <t>C2787</t>
  </si>
  <si>
    <t>O1000973</t>
  </si>
  <si>
    <t>C8062</t>
  </si>
  <si>
    <t>O1000974</t>
  </si>
  <si>
    <t>C2799</t>
  </si>
  <si>
    <t>O1000975</t>
  </si>
  <si>
    <t>C7135</t>
  </si>
  <si>
    <t>O1000976</t>
  </si>
  <si>
    <t>C8094</t>
  </si>
  <si>
    <t>O1000977</t>
  </si>
  <si>
    <t>C5076</t>
  </si>
  <si>
    <t>S856</t>
  </si>
  <si>
    <t>O1000978</t>
  </si>
  <si>
    <t>C2702</t>
  </si>
  <si>
    <t>O1000979</t>
  </si>
  <si>
    <t>C5645</t>
  </si>
  <si>
    <t>S473</t>
  </si>
  <si>
    <t>O1000980</t>
  </si>
  <si>
    <t>C6374</t>
  </si>
  <si>
    <t>O1000981</t>
  </si>
  <si>
    <t>C3217</t>
  </si>
  <si>
    <t>O1000982</t>
  </si>
  <si>
    <t>C8091</t>
  </si>
  <si>
    <t>O1000983</t>
  </si>
  <si>
    <t>C5206</t>
  </si>
  <si>
    <t>S202</t>
  </si>
  <si>
    <t>O1000984</t>
  </si>
  <si>
    <t>C9972</t>
  </si>
  <si>
    <t>O1000985</t>
  </si>
  <si>
    <t>C9459</t>
  </si>
  <si>
    <t>O1000986</t>
  </si>
  <si>
    <t>C6842</t>
  </si>
  <si>
    <t>O1000987</t>
  </si>
  <si>
    <t>C7528</t>
  </si>
  <si>
    <t>O1000988</t>
  </si>
  <si>
    <t>C6104</t>
  </si>
  <si>
    <t>O1000989</t>
  </si>
  <si>
    <t>C6968</t>
  </si>
  <si>
    <t>O1000990</t>
  </si>
  <si>
    <t>C6189</t>
  </si>
  <si>
    <t>S684</t>
  </si>
  <si>
    <t>O1000991</t>
  </si>
  <si>
    <t>C1236</t>
  </si>
  <si>
    <t>O1000992</t>
  </si>
  <si>
    <t>C1910</t>
  </si>
  <si>
    <t>O1000993</t>
  </si>
  <si>
    <t>O1000994</t>
  </si>
  <si>
    <t>O1000995</t>
  </si>
  <si>
    <t>C7666</t>
  </si>
  <si>
    <t>O1000996</t>
  </si>
  <si>
    <t>C9301</t>
  </si>
  <si>
    <t>O1000997</t>
  </si>
  <si>
    <t>C8254</t>
  </si>
  <si>
    <t>O1000998</t>
  </si>
  <si>
    <t>C1354</t>
  </si>
  <si>
    <t>S928</t>
  </si>
  <si>
    <t>O1000999</t>
  </si>
  <si>
    <t>C3295</t>
  </si>
  <si>
    <t>S485</t>
  </si>
  <si>
    <t>Product ID</t>
  </si>
  <si>
    <t>OFF-PA-10000174</t>
  </si>
  <si>
    <t>OFF-BI-10004094</t>
  </si>
  <si>
    <t>OFF-LA-10003223</t>
  </si>
  <si>
    <t>OFF-ST-10002743</t>
  </si>
  <si>
    <t>OFF-AR-10003478</t>
  </si>
  <si>
    <t>FUR-CH-10004063</t>
  </si>
  <si>
    <t>OFF-AR-10001662</t>
  </si>
  <si>
    <t>OFF-AR-10002399</t>
  </si>
  <si>
    <t>OFF-BI-10004632</t>
  </si>
  <si>
    <t>OFF-FA-10001883</t>
  </si>
  <si>
    <t>OFF-PA-10000955</t>
  </si>
  <si>
    <t>OFF-PA-10002005</t>
  </si>
  <si>
    <t>TEC-PH-10004539</t>
  </si>
  <si>
    <t>TEC-PH-10004977</t>
  </si>
  <si>
    <t>FUR-FU-10004864</t>
  </si>
  <si>
    <t>OFF-BI-10003708</t>
  </si>
  <si>
    <t>OFF-AR-10004078</t>
  </si>
  <si>
    <t>TEC-AC-10001266</t>
  </si>
  <si>
    <t>FUR-FU-10000965</t>
  </si>
  <si>
    <t>OFF-LA-10004272</t>
  </si>
  <si>
    <t>FUR-FU-10000010</t>
  </si>
  <si>
    <t>FUR-BO-10003034</t>
  </si>
  <si>
    <t>FUR-CH-10000422</t>
  </si>
  <si>
    <t>OFF-AR-10003514</t>
  </si>
  <si>
    <t>OFF-BI-10003476</t>
  </si>
  <si>
    <t>OFF-BI-10004187</t>
  </si>
  <si>
    <t>OFF-EN-10001532</t>
  </si>
  <si>
    <t>OFF-EN-10001990</t>
  </si>
  <si>
    <t>OFF-PA-10002947</t>
  </si>
  <si>
    <t>OFF-ST-10000025</t>
  </si>
  <si>
    <t>OFF-ST-10000078</t>
  </si>
  <si>
    <t>TEC-AC-10003174</t>
  </si>
  <si>
    <t>FUR-BO-10003433</t>
  </si>
  <si>
    <t>TEC-AC-10003628</t>
  </si>
  <si>
    <t>FUR-FU-10001095</t>
  </si>
  <si>
    <t>OFF-BI-10001575</t>
  </si>
  <si>
    <t>OFF-LA-10001074</t>
  </si>
  <si>
    <t>TEC-PH-10004614</t>
  </si>
  <si>
    <t>OFF-AP-10000692</t>
  </si>
  <si>
    <t>FUR-BO-10001972</t>
  </si>
  <si>
    <t>OFF-BI-10003676</t>
  </si>
  <si>
    <t>OFF-EN-10002504</t>
  </si>
  <si>
    <t>OFF-PA-10000659</t>
  </si>
  <si>
    <t>FUR-CH-10002331</t>
  </si>
  <si>
    <t>FUR-FU-10002268</t>
  </si>
  <si>
    <t>FUR-FU-10002918</t>
  </si>
  <si>
    <t>FUR-FU-10003194</t>
  </si>
  <si>
    <t>OFF-AP-10002311</t>
  </si>
  <si>
    <t>OFF-AR-10002375</t>
  </si>
  <si>
    <t>OFF-AR-10003811</t>
  </si>
  <si>
    <t>OFF-AR-10004456</t>
  </si>
  <si>
    <t>OFF-BI-10000605</t>
  </si>
  <si>
    <t>OFF-BI-10003091</t>
  </si>
  <si>
    <t>OFF-BI-10004364</t>
  </si>
  <si>
    <t>OFF-EN-10001539</t>
  </si>
  <si>
    <t>OFF-PA-10002893</t>
  </si>
  <si>
    <t>OFF-ST-10000760</t>
  </si>
  <si>
    <t>OFF-ST-10003123</t>
  </si>
  <si>
    <t>TEC-PH-10001061</t>
  </si>
  <si>
    <t>FUR-FU-10001889</t>
  </si>
  <si>
    <t>FUR-FU-10001025</t>
  </si>
  <si>
    <t>FUR-FU-10002445</t>
  </si>
  <si>
    <t>FUR-FU-10002960</t>
  </si>
  <si>
    <t>OFF-PA-10002689</t>
  </si>
  <si>
    <t>TEC-PH-10001300</t>
  </si>
  <si>
    <t>OFF-FA-10003467</t>
  </si>
  <si>
    <t>OFF-PA-10001804</t>
  </si>
  <si>
    <t>FUR-BO-10004409</t>
  </si>
  <si>
    <t>FUR-FU-10001847</t>
  </si>
  <si>
    <t>FUR-FU-10004587</t>
  </si>
  <si>
    <t>OFF-BI-10001758</t>
  </si>
  <si>
    <t>OFF-PA-10000380</t>
  </si>
  <si>
    <t>OFF-PA-10003072</t>
  </si>
  <si>
    <t>OFF-ST-10004337</t>
  </si>
  <si>
    <t>TEC-PH-10002103</t>
  </si>
  <si>
    <t>TEC-PH-10004833</t>
  </si>
  <si>
    <t>FUR-TA-10003469</t>
  </si>
  <si>
    <t>OFF-AR-10003179</t>
  </si>
  <si>
    <t>OFF-ST-10003692</t>
  </si>
  <si>
    <t>OFF-BI-10000343</t>
  </si>
  <si>
    <t>OFF-PA-10001204</t>
  </si>
  <si>
    <t>OFF-ST-10000991</t>
  </si>
  <si>
    <t>FUR-BO-10003966</t>
  </si>
  <si>
    <t>TEC-AC-10001432</t>
  </si>
  <si>
    <t>OFF-BI-10000666</t>
  </si>
  <si>
    <t>OFF-FA-10001843</t>
  </si>
  <si>
    <t>TEC-PH-10002890</t>
  </si>
  <si>
    <t>OFF-BI-10002827</t>
  </si>
  <si>
    <t>OFF-BI-10004593</t>
  </si>
  <si>
    <t>OFF-BI-10004230</t>
  </si>
  <si>
    <t>OFF-PA-10000350</t>
  </si>
  <si>
    <t>OFF-BI-10001196</t>
  </si>
  <si>
    <t>OFF-LA-10002787</t>
  </si>
  <si>
    <t>TEC-PH-10001615</t>
  </si>
  <si>
    <t>TEC-PH-10003645</t>
  </si>
  <si>
    <t>OFF-ST-10001558</t>
  </si>
  <si>
    <t>TEC-AC-10000710</t>
  </si>
  <si>
    <t>FUR-FU-10002111</t>
  </si>
  <si>
    <t>FUR-CH-10001146</t>
  </si>
  <si>
    <t>FUR-FU-10002298</t>
  </si>
  <si>
    <t>FUR-TA-10003715</t>
  </si>
  <si>
    <t>OFF-BI-10003291</t>
  </si>
  <si>
    <t>OFF-BI-10004654</t>
  </si>
  <si>
    <t>OFF-BI-10004728</t>
  </si>
  <si>
    <t>OFF-LA-10004853</t>
  </si>
  <si>
    <t>OFF-ST-10002583</t>
  </si>
  <si>
    <t>FUR-CH-10000225</t>
  </si>
  <si>
    <t>OFF-AP-10001293</t>
  </si>
  <si>
    <t>OFF-PA-10000466</t>
  </si>
  <si>
    <t>OFF-SU-10000157</t>
  </si>
  <si>
    <t>TEC-AC-10000736</t>
  </si>
  <si>
    <t>OFF-BI-10001031</t>
  </si>
  <si>
    <t>OFF-AP-10001303</t>
  </si>
  <si>
    <t>OFF-BI-10002012</t>
  </si>
  <si>
    <t>OFF-AR-10003631</t>
  </si>
  <si>
    <t>FUR-FU-10002396</t>
  </si>
  <si>
    <t>OFF-ST-10000321</t>
  </si>
  <si>
    <t>FUR-FU-10000221</t>
  </si>
  <si>
    <t>OFF-PA-10003363</t>
  </si>
  <si>
    <t>TEC-AC-10001284</t>
  </si>
  <si>
    <t>OFF-PA-10001800</t>
  </si>
  <si>
    <t>OFF-BI-10000320</t>
  </si>
  <si>
    <t>OFF-LA-10004425</t>
  </si>
  <si>
    <t>OFF-PA-10000069</t>
  </si>
  <si>
    <t>OFF-AR-10003560</t>
  </si>
  <si>
    <t>FUR-CH-10000863</t>
  </si>
  <si>
    <t>FUR-CH-10001270</t>
  </si>
  <si>
    <t>FUR-TA-10001866</t>
  </si>
  <si>
    <t>OFF-FA-10004395</t>
  </si>
  <si>
    <t>OFF-PA-10003036</t>
  </si>
  <si>
    <t>OFF-ST-10001469</t>
  </si>
  <si>
    <t>TEC-PH-10003655</t>
  </si>
  <si>
    <t>OFF-PA-10000327</t>
  </si>
  <si>
    <t>OFF-PA-10000587</t>
  </si>
  <si>
    <t>TEC-AC-10004353</t>
  </si>
  <si>
    <t>FUR-TA-10002958</t>
  </si>
  <si>
    <t>OFF-AP-10002534</t>
  </si>
  <si>
    <t>OFF-BI-10003429</t>
  </si>
  <si>
    <t>OFF-LA-10000305</t>
  </si>
  <si>
    <t>OFF-ST-10002486</t>
  </si>
  <si>
    <t>TEC-PH-10004700</t>
  </si>
  <si>
    <t>OFF-AR-10001374</t>
  </si>
  <si>
    <t>OFF-ST-10001370</t>
  </si>
  <si>
    <t>OFF-AR-10000588</t>
  </si>
  <si>
    <t>OFF-BI-10001617</t>
  </si>
  <si>
    <t>OFF-PA-10001878</t>
  </si>
  <si>
    <t>OFF-SU-10000381</t>
  </si>
  <si>
    <t>TEC-AC-10002001</t>
  </si>
  <si>
    <t>FUR-CH-10002780</t>
  </si>
  <si>
    <t>FUR-CH-10004477</t>
  </si>
  <si>
    <t>FUR-CH-10004495</t>
  </si>
  <si>
    <t>OFF-AR-10000390</t>
  </si>
  <si>
    <t>OFF-AR-10001427</t>
  </si>
  <si>
    <t>OFF-BI-10004224</t>
  </si>
  <si>
    <t>OFF-ST-10000934</t>
  </si>
  <si>
    <t>OFF-ST-10002344</t>
  </si>
  <si>
    <t>OFF-AR-10001044</t>
  </si>
  <si>
    <t>OFF-PA-10002259</t>
  </si>
  <si>
    <t>FUR-FU-10003981</t>
  </si>
  <si>
    <t>OFF-AP-10002578</t>
  </si>
  <si>
    <t>OFF-AR-10001770</t>
  </si>
  <si>
    <t>OFF-FA-10001561</t>
  </si>
  <si>
    <t>OFF-PA-10000213</t>
  </si>
  <si>
    <t>OFF-PA-10002137</t>
  </si>
  <si>
    <t>TEC-PH-10000984</t>
  </si>
  <si>
    <t>FUR-FU-10001979</t>
  </si>
  <si>
    <t>FUR-CH-10003379</t>
  </si>
  <si>
    <t>OFF-AR-10003723</t>
  </si>
  <si>
    <t>OFF-BI-10003007</t>
  </si>
  <si>
    <t>OFF-PA-10000176</t>
  </si>
  <si>
    <t>OFF-PA-10001215</t>
  </si>
  <si>
    <t>OFF-ST-10000736</t>
  </si>
  <si>
    <t>OFF-ST-10003221</t>
  </si>
  <si>
    <t>TEC-AC-10004877</t>
  </si>
  <si>
    <t>TEC-MA-10003626</t>
  </si>
  <si>
    <t>FUR-FU-10001756</t>
  </si>
  <si>
    <t>OFF-BI-10000773</t>
  </si>
  <si>
    <t>OFF-BI-10001543</t>
  </si>
  <si>
    <t>OFF-PA-10002120</t>
  </si>
  <si>
    <t>OFF-ST-10001490</t>
  </si>
  <si>
    <t>TEC-PH-10002415</t>
  </si>
  <si>
    <t>FUR-TA-10001950</t>
  </si>
  <si>
    <t>FUR-TA-10003473</t>
  </si>
  <si>
    <t>FUR-TA-10004175</t>
  </si>
  <si>
    <t>OFF-AP-10001154</t>
  </si>
  <si>
    <t>OFF-AP-10003971</t>
  </si>
  <si>
    <t>OFF-AR-10003732</t>
  </si>
  <si>
    <t>OFF-AR-10003829</t>
  </si>
  <si>
    <t>OFF-BI-10000136</t>
  </si>
  <si>
    <t>OFF-BI-10000309</t>
  </si>
  <si>
    <t>OFF-PA-10000919</t>
  </si>
  <si>
    <t>OFF-PA-10002195</t>
  </si>
  <si>
    <t>OFF-PA-10002365</t>
  </si>
  <si>
    <t>OFF-PA-10002960</t>
  </si>
  <si>
    <t>OFF-PA-10003063</t>
  </si>
  <si>
    <t>OFF-PA-10003349</t>
  </si>
  <si>
    <t>OFF-PA-10003641</t>
  </si>
  <si>
    <t>FUR-BO-10004218</t>
  </si>
  <si>
    <t>FUR-FU-10001986</t>
  </si>
  <si>
    <t>FUR-FU-10004270</t>
  </si>
  <si>
    <t>FUR-FU-10004597</t>
  </si>
  <si>
    <t>OFF-AR-10003183</t>
  </si>
  <si>
    <t>OFF-FA-10003112</t>
  </si>
  <si>
    <t>TEC-MA-10001148</t>
  </si>
  <si>
    <t>TEC-MA-10002412</t>
  </si>
  <si>
    <t>FUR-FU-10002508</t>
  </si>
  <si>
    <t>OFF-LA-10000443</t>
  </si>
  <si>
    <t>OFF-ST-10000918</t>
  </si>
  <si>
    <t>TEC-AC-10002647</t>
  </si>
  <si>
    <t>TEC-PH-10004667</t>
  </si>
  <si>
    <t>FUR-FU-10001473</t>
  </si>
  <si>
    <t>OFF-AR-10001573</t>
  </si>
  <si>
    <t>OFF-AR-10004027</t>
  </si>
  <si>
    <t>OFF-AR-10004685</t>
  </si>
  <si>
    <t>OFF-BI-10001597</t>
  </si>
  <si>
    <t>OFF-LA-10004409</t>
  </si>
  <si>
    <t>OFF-LA-10004544</t>
  </si>
  <si>
    <t>OFF-PA-10000675</t>
  </si>
  <si>
    <t>OFF-ST-10002301</t>
  </si>
  <si>
    <t>TEC-PH-10000730</t>
  </si>
  <si>
    <t>FUR-CH-10001482</t>
  </si>
  <si>
    <t>OFF-BI-10002735</t>
  </si>
  <si>
    <t>OFF-BI-10004410</t>
  </si>
  <si>
    <t>OFF-PA-10002581</t>
  </si>
  <si>
    <t>OFF-LA-10004484</t>
  </si>
  <si>
    <t>OFF-ST-10000585</t>
  </si>
  <si>
    <t>TEC-PH-10003484</t>
  </si>
  <si>
    <t>FUR-FU-10002813</t>
  </si>
  <si>
    <t>OFF-PA-10004948</t>
  </si>
  <si>
    <t>FUR-CH-10002439</t>
  </si>
  <si>
    <t>OFF-AR-10000034</t>
  </si>
  <si>
    <t>OFF-AR-10003338</t>
  </si>
  <si>
    <t>TEC-AC-10002558</t>
  </si>
  <si>
    <t>OFF-AR-10004272</t>
  </si>
  <si>
    <t>OFF-LA-10001982</t>
  </si>
  <si>
    <t>TEC-AC-10002323</t>
  </si>
  <si>
    <t>TEC-PH-10004100</t>
  </si>
  <si>
    <t>FUR-TA-10000198</t>
  </si>
  <si>
    <t>FUR-TA-10003954</t>
  </si>
  <si>
    <t>OFF-EN-10001509</t>
  </si>
  <si>
    <t>TEC-PH-10003273</t>
  </si>
  <si>
    <t>FUR-TA-10001889</t>
  </si>
  <si>
    <t>FUR-BO-10001337</t>
  </si>
  <si>
    <t>FUR-CH-10002304</t>
  </si>
  <si>
    <t>OFF-AR-10001231</t>
  </si>
  <si>
    <t>OFF-AR-10001915</t>
  </si>
  <si>
    <t>OFF-EN-10002230</t>
  </si>
  <si>
    <t>OFF-LA-10002312</t>
  </si>
  <si>
    <t>OFF-ST-10001511</t>
  </si>
  <si>
    <t>OFF-ST-10002957</t>
  </si>
  <si>
    <t>TEC-PH-10001819</t>
  </si>
  <si>
    <t>FUR-CH-10002965</t>
  </si>
  <si>
    <t>OFF-AP-10002765</t>
  </si>
  <si>
    <t>OFF-BI-10001097</t>
  </si>
  <si>
    <t>OFF-BI-10001636</t>
  </si>
  <si>
    <t>OFF-BI-10002071</t>
  </si>
  <si>
    <t>OFF-BI-10003529</t>
  </si>
  <si>
    <t>OFF-BI-10004390</t>
  </si>
  <si>
    <t>TEC-AC-10004901</t>
  </si>
  <si>
    <t>OFF-BI-10000042</t>
  </si>
  <si>
    <t>OFF-BI-10000145</t>
  </si>
  <si>
    <t>OFF-ST-10000636</t>
  </si>
  <si>
    <t>FUR-FU-10003192</t>
  </si>
  <si>
    <t>OFF-AP-10003842</t>
  </si>
  <si>
    <t>OFF-PA-10001593</t>
  </si>
  <si>
    <t>OFF-PA-10002986</t>
  </si>
  <si>
    <t>OFF-PA-10004248</t>
  </si>
  <si>
    <t>TEC-PH-10001128</t>
  </si>
  <si>
    <t>OFF-EN-10001415</t>
  </si>
  <si>
    <t>FUR-FU-10004020</t>
  </si>
  <si>
    <t>OFF-AR-10001955</t>
  </si>
  <si>
    <t>OFF-BI-10004140</t>
  </si>
  <si>
    <t>OFF-LA-10001641</t>
  </si>
  <si>
    <t>OFF-PA-10003797</t>
  </si>
  <si>
    <t>OFF-ST-10004180</t>
  </si>
  <si>
    <t>TEC-AC-10002926</t>
  </si>
  <si>
    <t>OFF-AR-10000127</t>
  </si>
  <si>
    <t>OFF-AR-10002952</t>
  </si>
  <si>
    <t>OFF-AR-10004757</t>
  </si>
  <si>
    <t>OFF-BI-10002852</t>
  </si>
  <si>
    <t>OFF-BI-10004209</t>
  </si>
  <si>
    <t>OFF-PA-10004071</t>
  </si>
  <si>
    <t>OFF-ST-10001031</t>
  </si>
  <si>
    <t>OFF-ST-10003455</t>
  </si>
  <si>
    <t>OFF-SU-10002881</t>
  </si>
  <si>
    <t>FUR-FU-10000747</t>
  </si>
  <si>
    <t>FUR-FU-10001918</t>
  </si>
  <si>
    <t>FUR-TA-10000688</t>
  </si>
  <si>
    <t>FUR-TA-10001039</t>
  </si>
  <si>
    <t>OFF-AR-10001725</t>
  </si>
  <si>
    <t>OFF-BI-10002794</t>
  </si>
  <si>
    <t>OFF-BI-10003719</t>
  </si>
  <si>
    <t>OFF-PA-10001977</t>
  </si>
  <si>
    <t>OFF-PA-10003309</t>
  </si>
  <si>
    <t>OFF-SU-10004498</t>
  </si>
  <si>
    <t>TEC-AC-10003441</t>
  </si>
  <si>
    <t>TEC-AC-10004171</t>
  </si>
  <si>
    <t>TEC-AC-10004659</t>
  </si>
  <si>
    <t>FUR-FU-10004415</t>
  </si>
  <si>
    <t>OFF-PA-10000100</t>
  </si>
  <si>
    <t>OFF-PA-10003441</t>
  </si>
  <si>
    <t>TEC-PH-10004922</t>
  </si>
  <si>
    <t>FUR-TA-10001086</t>
  </si>
  <si>
    <t>FUR-TA-10003748</t>
  </si>
  <si>
    <t>FUR-TA-10004442</t>
  </si>
  <si>
    <t>OFF-FA-10000611</t>
  </si>
  <si>
    <t>OFF-PA-10004733</t>
  </si>
  <si>
    <t>TEC-AC-10001908</t>
  </si>
  <si>
    <t>OFF-BI-10004817</t>
  </si>
  <si>
    <t>OFF-FA-10001332</t>
  </si>
  <si>
    <t>OFF-PA-10000029</t>
  </si>
  <si>
    <t>OFF-ST-10000876</t>
  </si>
  <si>
    <t>TEC-AC-10001874</t>
  </si>
  <si>
    <t>TEC-AC-10003399</t>
  </si>
  <si>
    <t>TEC-PH-10000586</t>
  </si>
  <si>
    <t>TEC-PH-10001835</t>
  </si>
  <si>
    <t>OFF-AR-10002987</t>
  </si>
  <si>
    <t>OFF-BI-10002764</t>
  </si>
  <si>
    <t>OFF-PA-10000289</t>
  </si>
  <si>
    <t>TEC-PH-10000576</t>
  </si>
  <si>
    <t>TEC-PH-10001557</t>
  </si>
  <si>
    <t>OFF-AR-10000122</t>
  </si>
  <si>
    <t>OFF-BI-10003656</t>
  </si>
  <si>
    <t>OFF-FA-10002780</t>
  </si>
  <si>
    <t>OFF-LA-10002368</t>
  </si>
  <si>
    <t>TEC-PH-10000702</t>
  </si>
  <si>
    <t>FUR-FU-10004091</t>
  </si>
  <si>
    <t>OFF-AP-10000240</t>
  </si>
  <si>
    <t>FUR-CH-10002602</t>
  </si>
  <si>
    <t>OFF-AR-10000657</t>
  </si>
  <si>
    <t>OFF-AR-10001868</t>
  </si>
  <si>
    <t>OFF-EN-10000056</t>
  </si>
  <si>
    <t>OFF-FA-10000134</t>
  </si>
  <si>
    <t>TEC-AC-10000474</t>
  </si>
  <si>
    <t>TEC-MA-10002859</t>
  </si>
  <si>
    <t>FUR-FU-10004017</t>
  </si>
  <si>
    <t>OFF-BI-10003638</t>
  </si>
  <si>
    <t>OFF-PA-10001569</t>
  </si>
  <si>
    <t>FUR-FU-10000409</t>
  </si>
  <si>
    <t>FUR-TA-10001705</t>
  </si>
  <si>
    <t>OFF-ST-10004634</t>
  </si>
  <si>
    <t>OFF-BI-10002976</t>
  </si>
  <si>
    <t>OFF-ST-10002574</t>
  </si>
  <si>
    <t>OFF-BI-10004970</t>
  </si>
  <si>
    <t>OFF-EN-10004773</t>
  </si>
  <si>
    <t>FUR-FU-10002191</t>
  </si>
  <si>
    <t>OFF-BI-10004876</t>
  </si>
  <si>
    <t>FUR-CH-10003973</t>
  </si>
  <si>
    <t>FUR-FU-10003708</t>
  </si>
  <si>
    <t>OFF-AP-10001391</t>
  </si>
  <si>
    <t>OFF-AR-10002221</t>
  </si>
  <si>
    <t>OFF-PA-10003543</t>
  </si>
  <si>
    <t>TEC-PH-10004531</t>
  </si>
  <si>
    <t>FUR-CH-10004886</t>
  </si>
  <si>
    <t>OFF-AR-10003504</t>
  </si>
  <si>
    <t>OFF-BI-10001525</t>
  </si>
  <si>
    <t>OFF-AR-10004752</t>
  </si>
  <si>
    <t>OFF-BI-10001628</t>
  </si>
  <si>
    <t>OFF-LA-10000452</t>
  </si>
  <si>
    <t>OFF-LA-10001613</t>
  </si>
  <si>
    <t>OFF-ST-10000877</t>
  </si>
  <si>
    <t>OFF-ST-10001128</t>
  </si>
  <si>
    <t>OFF-ST-10002214</t>
  </si>
  <si>
    <t>TEC-PH-10001459</t>
  </si>
  <si>
    <t>FUR-CH-10001394</t>
  </si>
  <si>
    <t>FUR-FU-10001424</t>
  </si>
  <si>
    <t>OFF-ST-10000798</t>
  </si>
  <si>
    <t>TEC-PH-10000376</t>
  </si>
  <si>
    <t>OFF-AR-10004010</t>
  </si>
  <si>
    <t>TEC-AC-10002550</t>
  </si>
  <si>
    <t>TEC-CO-10004202</t>
  </si>
  <si>
    <t>OFF-BI-10003981</t>
  </si>
  <si>
    <t>OFF-BI-10004828</t>
  </si>
  <si>
    <t>OFF-LA-10002195</t>
  </si>
  <si>
    <t>FUR-FU-10001852</t>
  </si>
  <si>
    <t>OFF-AP-10000696</t>
  </si>
  <si>
    <t>OFF-BI-10001294</t>
  </si>
  <si>
    <t>OFF-FA-10000840</t>
  </si>
  <si>
    <t>OFF-AR-10003651</t>
  </si>
  <si>
    <t>OFF-PA-10000474</t>
  </si>
  <si>
    <t>OFF-PA-10001363</t>
  </si>
  <si>
    <t>OFF-PA-10003016</t>
  </si>
  <si>
    <t>OFF-ST-10003442</t>
  </si>
  <si>
    <t>OFF-AR-10001897</t>
  </si>
  <si>
    <t>OFF-BI-10003684</t>
  </si>
  <si>
    <t>FUR-CH-10004675</t>
  </si>
  <si>
    <t>OFF-AR-10002578</t>
  </si>
  <si>
    <t>OFF-BI-10001078</t>
  </si>
  <si>
    <t>TEC-CO-10001449</t>
  </si>
  <si>
    <t>OFF-LA-10003121</t>
  </si>
  <si>
    <t>OFF-ST-10000107</t>
  </si>
  <si>
    <t>TEC-AC-10000109</t>
  </si>
  <si>
    <t>FUR-BO-10004467</t>
  </si>
  <si>
    <t>FUR-CH-10002320</t>
  </si>
  <si>
    <t>OFF-AR-10000716</t>
  </si>
  <si>
    <t>OFF-EN-10001434</t>
  </si>
  <si>
    <t>OFF-PA-10004353</t>
  </si>
  <si>
    <t>OFF-SU-10004737</t>
  </si>
  <si>
    <t>TEC-PH-10001817</t>
  </si>
  <si>
    <t>TEC-PH-10003988</t>
  </si>
  <si>
    <t>FUR-CH-10000015</t>
  </si>
  <si>
    <t>FUR-FU-10000723</t>
  </si>
  <si>
    <t>OFF-AP-10004249</t>
  </si>
  <si>
    <t>OFF-BI-10002026</t>
  </si>
  <si>
    <t>TEC-AC-10001013</t>
  </si>
  <si>
    <t>TEC-AC-10001465</t>
  </si>
  <si>
    <t>TEC-PH-10002597</t>
  </si>
  <si>
    <t>FUR-TA-10002228</t>
  </si>
  <si>
    <t>OFF-BI-10004519</t>
  </si>
  <si>
    <t>OFF-FA-10002815</t>
  </si>
  <si>
    <t>TEC-AC-10002800</t>
  </si>
  <si>
    <t>FUR-FU-10004306</t>
  </si>
  <si>
    <t>TEC-AC-10002217</t>
  </si>
  <si>
    <t>FUR-FU-10000308</t>
  </si>
  <si>
    <t>OFF-PA-10001526</t>
  </si>
  <si>
    <t>TEC-PH-10002885</t>
  </si>
  <si>
    <t>OFF-BI-10001249</t>
  </si>
  <si>
    <t>FUR-FU-10000076</t>
  </si>
  <si>
    <t>FUR-FU-10003489</t>
  </si>
  <si>
    <t>OFF-AP-10000124</t>
  </si>
  <si>
    <t>OFF-AR-10004511</t>
  </si>
  <si>
    <t>TEC-AC-10004227</t>
  </si>
  <si>
    <t>TEC-MA-10003176</t>
  </si>
  <si>
    <t>FUR-CH-10003396</t>
  </si>
  <si>
    <t>OFF-BI-10000977</t>
  </si>
  <si>
    <t>OFF-BI-10001071</t>
  </si>
  <si>
    <t>OFF-BI-10003925</t>
  </si>
  <si>
    <t>OFF-EN-10003134</t>
  </si>
  <si>
    <t>OFF-PA-10001560</t>
  </si>
  <si>
    <t>OFF-PA-10003022</t>
  </si>
  <si>
    <t>TEC-PH-10001530</t>
  </si>
  <si>
    <t>TEC-PH-10002660</t>
  </si>
  <si>
    <t>TEC-PH-10003171</t>
  </si>
  <si>
    <t>OFF-AP-10002118</t>
  </si>
  <si>
    <t>OFF-AR-10001246</t>
  </si>
  <si>
    <t>OFF-BI-10000829</t>
  </si>
  <si>
    <t>OFF-BI-10000848</t>
  </si>
  <si>
    <t>OFF-PA-10003177</t>
  </si>
  <si>
    <t>OFF-SU-10003002</t>
  </si>
  <si>
    <t>TEC-PH-10003092</t>
  </si>
  <si>
    <t>OFF-PA-10002319</t>
  </si>
  <si>
    <t>FUR-FU-10002553</t>
  </si>
  <si>
    <t>OFF-AP-10001394</t>
  </si>
  <si>
    <t>OFF-PA-10001471</t>
  </si>
  <si>
    <t>FUR-BO-10000362</t>
  </si>
  <si>
    <t>FUR-CH-10000988</t>
  </si>
  <si>
    <t>FUR-CH-10003981</t>
  </si>
  <si>
    <t>OFF-ST-10001837</t>
  </si>
  <si>
    <t>TEC-PH-10000441</t>
  </si>
  <si>
    <t>TEC-PH-10002726</t>
  </si>
  <si>
    <t>FUR-TA-10002607</t>
  </si>
  <si>
    <t>OFF-BI-10004139</t>
  </si>
  <si>
    <t>OFF-ST-10001809</t>
  </si>
  <si>
    <t>TEC-AC-10001606</t>
  </si>
  <si>
    <t>TEC-PH-10000486</t>
  </si>
  <si>
    <t>OFF-BI-10003876</t>
  </si>
  <si>
    <t>TEC-PH-10001552</t>
  </si>
  <si>
    <t>FUR-TA-10001539</t>
  </si>
  <si>
    <t>OFF-AP-10001005</t>
  </si>
  <si>
    <t>OFF-BI-10004233</t>
  </si>
  <si>
    <t>OFF-PA-10001622</t>
  </si>
  <si>
    <t>OFF-PA-10001712</t>
  </si>
  <si>
    <t>TEC-PH-10003505</t>
  </si>
  <si>
    <t>TEC-PH-10002538</t>
  </si>
  <si>
    <t>TEC-PH-10002680</t>
  </si>
  <si>
    <t>FUR-FU-10001935</t>
  </si>
  <si>
    <t>OFF-AP-10002945</t>
  </si>
  <si>
    <t>OFF-AP-10004859</t>
  </si>
  <si>
    <t>OFF-AR-10002135</t>
  </si>
  <si>
    <t>OFF-BI-10001072</t>
  </si>
  <si>
    <t>OFF-BI-10001765</t>
  </si>
  <si>
    <t>OFF-PA-10000061</t>
  </si>
  <si>
    <t>OFF-PA-10004082</t>
  </si>
  <si>
    <t>OFF-ST-10002276</t>
  </si>
  <si>
    <t>TEC-PH-10002563</t>
  </si>
  <si>
    <t>FUR-FU-10000246</t>
  </si>
  <si>
    <t>OFF-BI-10001658</t>
  </si>
  <si>
    <t>TEC-PH-10001425</t>
  </si>
  <si>
    <t>FUR-FU-10001475</t>
  </si>
  <si>
    <t>FUR-TA-10004086</t>
  </si>
  <si>
    <t>OFF-EN-10004459</t>
  </si>
  <si>
    <t>OFF-LA-10001771</t>
  </si>
  <si>
    <t>FUR-BO-10003272</t>
  </si>
  <si>
    <t>FUR-FU-10002878</t>
  </si>
  <si>
    <t>OFF-AP-10001626</t>
  </si>
  <si>
    <t>OFF-PA-10001685</t>
  </si>
  <si>
    <t>FUR-TA-10003238</t>
  </si>
  <si>
    <t>OFF-AR-10002656</t>
  </si>
  <si>
    <t>OFF-BI-10002557</t>
  </si>
  <si>
    <t>OFF-BI-10003982</t>
  </si>
  <si>
    <t>OFF-EN-10000461</t>
  </si>
  <si>
    <t>OFF-SU-10001664</t>
  </si>
  <si>
    <t>FUR-TA-10002041</t>
  </si>
  <si>
    <t>FUR-CH-10002647</t>
  </si>
  <si>
    <t>FUR-CH-10002758</t>
  </si>
  <si>
    <t>OFF-ST-10003470</t>
  </si>
  <si>
    <t>FUR-FU-10001487</t>
  </si>
  <si>
    <t>FUR-FU-10002685</t>
  </si>
  <si>
    <t>FUR-TA-10004534</t>
  </si>
  <si>
    <t>OFF-AP-10002892</t>
  </si>
  <si>
    <t>OFF-AR-10001953</t>
  </si>
  <si>
    <t>OFF-AR-10002335</t>
  </si>
  <si>
    <t>OFF-AR-10002833</t>
  </si>
  <si>
    <t>OFF-AR-10003752</t>
  </si>
  <si>
    <t>OFF-BI-10003910</t>
  </si>
  <si>
    <t>OFF-SU-10001225</t>
  </si>
  <si>
    <t>TEC-AC-10000303</t>
  </si>
  <si>
    <t>TEC-PH-10002033</t>
  </si>
  <si>
    <t>TEC-PH-10002275</t>
  </si>
  <si>
    <t>OFF-LA-10003930</t>
  </si>
  <si>
    <t>FUR-BO-10000711</t>
  </si>
  <si>
    <t>FUR-TA-10001520</t>
  </si>
  <si>
    <t>OFF-BI-10002706</t>
  </si>
  <si>
    <t>OFF-PA-10001952</t>
  </si>
  <si>
    <t>OFF-AR-10003772</t>
  </si>
  <si>
    <t>OFF-EN-10003286</t>
  </si>
  <si>
    <t>OFF-BI-10004995</t>
  </si>
  <si>
    <t>OFF-FA-10000624</t>
  </si>
  <si>
    <t>OFF-PA-10001725</t>
  </si>
  <si>
    <t>TEC-MA-10000423</t>
  </si>
  <si>
    <t>TEC-PH-10000215</t>
  </si>
  <si>
    <t>OFF-PA-10000167</t>
  </si>
  <si>
    <t>FUR-BO-10001608</t>
  </si>
  <si>
    <t>OFF-AR-10003469</t>
  </si>
  <si>
    <t>OFF-BI-10000756</t>
  </si>
  <si>
    <t>OFF-PA-10001166</t>
  </si>
  <si>
    <t>OFF-ST-10004123</t>
  </si>
  <si>
    <t>TEC-MA-10001972</t>
  </si>
  <si>
    <t>TEC-PH-10000369</t>
  </si>
  <si>
    <t>FUR-FU-10000550</t>
  </si>
  <si>
    <t>FUR-FU-10004071</t>
  </si>
  <si>
    <t>OFF-AP-10003860</t>
  </si>
  <si>
    <t>OFF-AR-10001919</t>
  </si>
  <si>
    <t>OFF-AR-10003056</t>
  </si>
  <si>
    <t>OFF-BI-10000069</t>
  </si>
  <si>
    <t>OFF-BI-10001116</t>
  </si>
  <si>
    <t>OFF-BI-10002931</t>
  </si>
  <si>
    <t>OFF-PA-10003883</t>
  </si>
  <si>
    <t>OFF-ST-10002444</t>
  </si>
  <si>
    <t>TEC-MA-10004521</t>
  </si>
  <si>
    <t>TEC-PH-10001578</t>
  </si>
  <si>
    <t>TEC-PH-10003963</t>
  </si>
  <si>
    <t>FUR-CH-10000454</t>
  </si>
  <si>
    <t>FUR-CH-10004698</t>
  </si>
  <si>
    <t>OFF-BI-10001553</t>
  </si>
  <si>
    <t>OFF-ST-10001097</t>
  </si>
  <si>
    <t>TEC-AC-10004114</t>
  </si>
  <si>
    <t>TEC-PH-10004093</t>
  </si>
  <si>
    <t>OFF-AR-10002766</t>
  </si>
  <si>
    <t>OFF-SU-10002522</t>
  </si>
  <si>
    <t>TEC-AC-10000158</t>
  </si>
  <si>
    <t>FUR-FU-10001731</t>
  </si>
  <si>
    <t>FUR-TA-10004147</t>
  </si>
  <si>
    <t>OFF-AR-10000475</t>
  </si>
  <si>
    <t>TEC-PH-10002115</t>
  </si>
  <si>
    <t>OFF-BI-10003094</t>
  </si>
  <si>
    <t>OFF-FA-10003495</t>
  </si>
  <si>
    <t>OFF-PA-10000304</t>
  </si>
  <si>
    <t>OFF-PA-10003395</t>
  </si>
  <si>
    <t>OFF-AR-10003405</t>
  </si>
  <si>
    <t>OFF-BI-10000174</t>
  </si>
  <si>
    <t>OFF-AR-10001026</t>
  </si>
  <si>
    <t>OFF-AR-10004582</t>
  </si>
  <si>
    <t>OFF-BI-10002867</t>
  </si>
  <si>
    <t>OFF-BI-10004528</t>
  </si>
  <si>
    <t>OFF-PA-10001144</t>
  </si>
  <si>
    <t>OFF-BI-10000546</t>
  </si>
  <si>
    <t>OFF-BI-10003355</t>
  </si>
  <si>
    <t>TEC-PH-10004586</t>
  </si>
  <si>
    <t>TEC-PH-10002923</t>
  </si>
  <si>
    <t>OFF-PA-10004734</t>
  </si>
  <si>
    <t>FUR-FU-10001591</t>
  </si>
  <si>
    <t>OFF-BI-10001670</t>
  </si>
  <si>
    <t>OFF-BI-10001787</t>
  </si>
  <si>
    <t>OFF-LA-10001934</t>
  </si>
  <si>
    <t>OFF-ST-10000563</t>
  </si>
  <si>
    <t>OFF-ST-10001522</t>
  </si>
  <si>
    <t>TEC-AC-10003911</t>
  </si>
  <si>
    <t>FUR-CH-10000155</t>
  </si>
  <si>
    <t>TEC-CO-10001046</t>
  </si>
  <si>
    <t>FUR-CH-10002880</t>
  </si>
  <si>
    <t>FUR-FU-10003039</t>
  </si>
  <si>
    <t>OFF-AR-10003251</t>
  </si>
  <si>
    <t>OFF-BI-10002609</t>
  </si>
  <si>
    <t>OFF-LA-10004559</t>
  </si>
  <si>
    <t>OFF-PA-10002245</t>
  </si>
  <si>
    <t>OFF-ST-10001505</t>
  </si>
  <si>
    <t>FUR-FU-10000629</t>
  </si>
  <si>
    <t>OFF-BI-10002954</t>
  </si>
  <si>
    <t>OFF-LA-10001175</t>
  </si>
  <si>
    <t>OFF-PA-10000552</t>
  </si>
  <si>
    <t>OFF-PA-10001970</t>
  </si>
  <si>
    <t>TEC-PH-10000895</t>
  </si>
  <si>
    <t>TEC-PH-10003885</t>
  </si>
  <si>
    <t>TEC-PH-10004912</t>
  </si>
  <si>
    <t>FUR-CH-10001797</t>
  </si>
  <si>
    <t>FUR-CH-10002126</t>
  </si>
  <si>
    <t>FUR-TA-10004575</t>
  </si>
  <si>
    <t>OFF-AR-10003158</t>
  </si>
  <si>
    <t>OFF-BI-10003314</t>
  </si>
  <si>
    <t>TEC-AC-10002857</t>
  </si>
  <si>
    <t>TEC-PH-10000439</t>
  </si>
  <si>
    <t>FUR-TA-10002855</t>
  </si>
  <si>
    <t>FUR-FU-10001057</t>
  </si>
  <si>
    <t>OFF-AP-10000576</t>
  </si>
  <si>
    <t>OFF-AR-10004999</t>
  </si>
  <si>
    <t>OFF-BI-10001098</t>
  </si>
  <si>
    <t>TEC-PH-10002070</t>
  </si>
  <si>
    <t>TEC-PH-10002583</t>
  </si>
  <si>
    <t>OFF-FA-10000304</t>
  </si>
  <si>
    <t>TEC-AC-10003709</t>
  </si>
  <si>
    <t>FUR-CH-10002372</t>
  </si>
  <si>
    <t>OFF-BI-10002103</t>
  </si>
  <si>
    <t>FUR-TA-10004152</t>
  </si>
  <si>
    <t>OFF-BI-10001759</t>
  </si>
  <si>
    <t>OFF-BI-10002160</t>
  </si>
  <si>
    <t>OFF-BI-10003694</t>
  </si>
  <si>
    <t>FUR-CH-10002024</t>
  </si>
  <si>
    <t>FUR-FU-10003577</t>
  </si>
  <si>
    <t>FUR-FU-10003724</t>
  </si>
  <si>
    <t>OFF-AR-10003481</t>
  </si>
  <si>
    <t>OFF-BI-10001982</t>
  </si>
  <si>
    <t>OFF-BI-10002498</t>
  </si>
  <si>
    <t>OFF-PA-10000418</t>
  </si>
  <si>
    <t>OFF-PA-10002230</t>
  </si>
  <si>
    <t>OFF-PA-10003971</t>
  </si>
  <si>
    <t>OFF-PA-10004569</t>
  </si>
  <si>
    <t>OFF-ST-10003306</t>
  </si>
  <si>
    <t>TEC-AC-10000023</t>
  </si>
  <si>
    <t>FUR-CH-10001215</t>
  </si>
  <si>
    <t>FUR-CH-10004997</t>
  </si>
  <si>
    <t>OFF-AR-10002067</t>
  </si>
  <si>
    <t>OFF-BI-10000494</t>
  </si>
  <si>
    <t>OFF-EN-10003567</t>
  </si>
  <si>
    <t>FUR-TA-10004767</t>
  </si>
  <si>
    <t>OFF-AR-10002053</t>
  </si>
  <si>
    <t>OFF-AR-10003190</t>
  </si>
  <si>
    <t>OFF-ST-10003058</t>
  </si>
  <si>
    <t>TEC-AC-10002567</t>
  </si>
  <si>
    <t>OFF-AR-10000658</t>
  </si>
  <si>
    <t>OFF-SU-10004664</t>
  </si>
  <si>
    <t>TEC-AC-10001314</t>
  </si>
  <si>
    <t>TEC-AC-10002076</t>
  </si>
  <si>
    <t>TEC-AC-10002167</t>
  </si>
  <si>
    <t>FUR-FU-10004351</t>
  </si>
  <si>
    <t>OFF-ST-10001228</t>
  </si>
  <si>
    <t>OFF-SU-10000151</t>
  </si>
  <si>
    <t>FUR-CH-10000553</t>
  </si>
  <si>
    <t>FUR-CH-10003312</t>
  </si>
  <si>
    <t>FUR-FU-10000719</t>
  </si>
  <si>
    <t>FUR-FU-10004018</t>
  </si>
  <si>
    <t>FUR-FU-10004666</t>
  </si>
  <si>
    <t>OFF-AP-10003281</t>
  </si>
  <si>
    <t>OFF-BI-10001524</t>
  </si>
  <si>
    <t>OFF-BI-10001679</t>
  </si>
  <si>
    <t>OFF-LA-10002762</t>
  </si>
  <si>
    <t>OFF-ST-10004804</t>
  </si>
  <si>
    <t>TEC-AC-10002006</t>
  </si>
  <si>
    <t>TEC-AC-10004814</t>
  </si>
  <si>
    <t>TEC-PH-10001363</t>
  </si>
  <si>
    <t>OFF-PA-10002709</t>
  </si>
  <si>
    <t>TEC-AC-10002842</t>
  </si>
  <si>
    <t>FUR-FU-10003623</t>
  </si>
  <si>
    <t>OFF-EN-10000781</t>
  </si>
  <si>
    <t>OFF-FA-10000621</t>
  </si>
  <si>
    <t>FUR-BO-10002916</t>
  </si>
  <si>
    <t>OFF-BI-10004506</t>
  </si>
  <si>
    <t>OFF-FA-10000992</t>
  </si>
  <si>
    <t>OFF-LA-10000240</t>
  </si>
  <si>
    <t>OFF-PA-10002377</t>
  </si>
  <si>
    <t>OFF-ST-10002011</t>
  </si>
  <si>
    <t>TEC-AC-10003237</t>
  </si>
  <si>
    <t>FUR-TA-10004289</t>
  </si>
  <si>
    <t>OFF-AP-10003622</t>
  </si>
  <si>
    <t>OFF-PA-10001019</t>
  </si>
  <si>
    <t>OFF-PA-10001289</t>
  </si>
  <si>
    <t>OFF-SU-10002537</t>
  </si>
  <si>
    <t>OFF-AP-10001271</t>
  </si>
  <si>
    <t>OFF-AP-10003590</t>
  </si>
  <si>
    <t>OFF-AR-10000896</t>
  </si>
  <si>
    <t>OFF-PA-10000806</t>
  </si>
  <si>
    <t>OFF-ST-10002289</t>
  </si>
  <si>
    <t>TEC-AC-10002473</t>
  </si>
  <si>
    <t>TEC-PH-10002310</t>
  </si>
  <si>
    <t>FUR-CH-10002335</t>
  </si>
  <si>
    <t>FUR-CH-10003817</t>
  </si>
  <si>
    <t>FUR-TA-10001307</t>
  </si>
  <si>
    <t>OFF-AR-10004165</t>
  </si>
  <si>
    <t>OFF-AR-10004602</t>
  </si>
  <si>
    <t>TEC-AC-10004510</t>
  </si>
  <si>
    <t>TEC-PH-10002468</t>
  </si>
  <si>
    <t>TEC-AC-10004571</t>
  </si>
  <si>
    <t>FUR-BO-10000468</t>
  </si>
  <si>
    <t>FUR-FU-10001602</t>
  </si>
  <si>
    <t>FUR-FU-10002088</t>
  </si>
  <si>
    <t>OFF-AP-10002495</t>
  </si>
  <si>
    <t>OFF-AP-10004708</t>
  </si>
  <si>
    <t>OFF-EN-10002500</t>
  </si>
  <si>
    <t>OFF-ST-10000532</t>
  </si>
  <si>
    <t>TEC-AC-10001767</t>
  </si>
  <si>
    <t>TEC-CO-10001571</t>
  </si>
  <si>
    <t>TEC-CO-10004115</t>
  </si>
  <si>
    <t>TEC-PH-10002398</t>
  </si>
  <si>
    <t>OFF-AP-10004336</t>
  </si>
  <si>
    <t>OFF-AR-10004587</t>
  </si>
  <si>
    <t>OFF-BI-10001718</t>
  </si>
  <si>
    <t>OFF-BI-10004600</t>
  </si>
  <si>
    <t>OFF-FA-10004838</t>
  </si>
  <si>
    <t>OFF-LA-10000262</t>
  </si>
  <si>
    <t>OFF-PA-10001667</t>
  </si>
  <si>
    <t>OFF-PA-10001937</t>
  </si>
  <si>
    <t>TEC-PH-10000038</t>
  </si>
  <si>
    <t>FUR-FU-10003691</t>
  </si>
  <si>
    <t>OFF-AR-10003903</t>
  </si>
  <si>
    <t>OFF-FA-10004854</t>
  </si>
  <si>
    <t>OFF-ST-10004459</t>
  </si>
  <si>
    <t>OFF-AP-10002403</t>
  </si>
  <si>
    <t>OFF-AR-10004344</t>
  </si>
  <si>
    <t>OFF-BI-10000138</t>
  </si>
  <si>
    <t>OFF-BI-10002854</t>
  </si>
  <si>
    <t>OFF-PA-10000295</t>
  </si>
  <si>
    <t>OFF-SU-10000432</t>
  </si>
  <si>
    <t>TEC-PH-10003691</t>
  </si>
  <si>
    <t>FUR-CH-10003833</t>
  </si>
  <si>
    <t>OFF-AP-10003287</t>
  </si>
  <si>
    <t>OFF-BI-10001989</t>
  </si>
  <si>
    <t>OFF-BI-10002309</t>
  </si>
  <si>
    <t>OFF-PA-10000312</t>
  </si>
  <si>
    <t>OFF-FA-10002676</t>
  </si>
  <si>
    <t>OFF-PA-10000595</t>
  </si>
  <si>
    <t>OFF-PA-10001639</t>
  </si>
  <si>
    <t>TEC-AC-10000844</t>
  </si>
  <si>
    <t>OFF-AR-10004930</t>
  </si>
  <si>
    <t>OFF-BI-10000632</t>
  </si>
  <si>
    <t>OFF-SU-10004768</t>
  </si>
  <si>
    <t>OFF-BI-10001359</t>
  </si>
  <si>
    <t>OFF-PA-10000246</t>
  </si>
  <si>
    <t>OFF-AR-10002804</t>
  </si>
  <si>
    <t>OFF-PA-10001846</t>
  </si>
  <si>
    <t>OFF-SU-10003936</t>
  </si>
  <si>
    <t>FUR-FU-10003274</t>
  </si>
  <si>
    <t>OFF-PA-10000019</t>
  </si>
  <si>
    <t>OFF-PA-10001125</t>
  </si>
  <si>
    <t>OFF-PA-10001837</t>
  </si>
  <si>
    <t>OFF-PA-10001934</t>
  </si>
  <si>
    <t>OFF-PA-10003936</t>
  </si>
  <si>
    <t>OFF-PA-10004530</t>
  </si>
  <si>
    <t>OFF-SU-10004661</t>
  </si>
  <si>
    <t>TEC-PH-10000149</t>
  </si>
  <si>
    <t>FUR-FU-10004586</t>
  </si>
  <si>
    <t>OFF-BI-10002799</t>
  </si>
  <si>
    <t>FUR-FU-10000771</t>
  </si>
  <si>
    <t>OFF-BI-10002133</t>
  </si>
  <si>
    <t>OFF-BI-10002225</t>
  </si>
  <si>
    <t>OFF-BI-10004141</t>
  </si>
  <si>
    <t>OFF-EN-10002600</t>
  </si>
  <si>
    <t>OFF-PA-10004965</t>
  </si>
  <si>
    <t>OFF-PA-10004983</t>
  </si>
  <si>
    <t>OFF-ST-10004258</t>
  </si>
  <si>
    <t>TEC-AC-10002399</t>
  </si>
  <si>
    <t>OFF-AR-10003770</t>
  </si>
  <si>
    <t>OFF-PA-10002160</t>
  </si>
  <si>
    <t>OFF-PA-10002659</t>
  </si>
  <si>
    <t>FUR-FU-10002456</t>
  </si>
  <si>
    <t>FUR-TA-10003569</t>
  </si>
  <si>
    <t>OFF-BI-10002215</t>
  </si>
  <si>
    <t>TEC-PH-10000455</t>
  </si>
  <si>
    <t>TEC-PH-10001949</t>
  </si>
  <si>
    <t>FUR-TA-10001857</t>
  </si>
  <si>
    <t>OFF-EN-10001749</t>
  </si>
  <si>
    <t>OFF-PA-10003001</t>
  </si>
  <si>
    <t>OFF-PA-10004475</t>
  </si>
  <si>
    <t>OFF-BI-10002432</t>
  </si>
  <si>
    <t>TEC-AC-10001635</t>
  </si>
  <si>
    <t>OFF-AR-10004042</t>
  </si>
  <si>
    <t>OFF-BI-10002949</t>
  </si>
  <si>
    <t>OFF-BI-10004716</t>
  </si>
  <si>
    <t>OFF-PA-10004100</t>
  </si>
  <si>
    <t>FUR-FU-10002116</t>
  </si>
  <si>
    <t>Office Supplies</t>
  </si>
  <si>
    <t>Technology</t>
  </si>
  <si>
    <t>Sub-Category</t>
  </si>
  <si>
    <t>Paper</t>
  </si>
  <si>
    <t>Binders</t>
  </si>
  <si>
    <t>Labels</t>
  </si>
  <si>
    <t>Storage</t>
  </si>
  <si>
    <t>Art</t>
  </si>
  <si>
    <t>Chairs</t>
  </si>
  <si>
    <t>Fasteners</t>
  </si>
  <si>
    <t>Phones</t>
  </si>
  <si>
    <t>Furnishings</t>
  </si>
  <si>
    <t>Accessories</t>
  </si>
  <si>
    <t>Bookcases</t>
  </si>
  <si>
    <t>Envelopes</t>
  </si>
  <si>
    <t>Appliances</t>
  </si>
  <si>
    <t>Tables</t>
  </si>
  <si>
    <t>Supplies</t>
  </si>
  <si>
    <t>Machines</t>
  </si>
  <si>
    <t>Copiers</t>
  </si>
  <si>
    <t>Product Name</t>
  </si>
  <si>
    <t>Message Book, Wirebound, Four 5 1/2" X 4" Forms/Pg., 200 Dupl. Sets/Book</t>
  </si>
  <si>
    <t>GBC Standard Plastic Binding Systems Combs</t>
  </si>
  <si>
    <t>Avery 508</t>
  </si>
  <si>
    <t>SAFCO Boltless Steel Shelving</t>
  </si>
  <si>
    <t>Avery Hi-Liter EverBold Pen Style Fluorescent Highlighters, 4/Pack</t>
  </si>
  <si>
    <t>Global Deluxe High-Back Manager's Chair</t>
  </si>
  <si>
    <t>Rogers Handheld Barrel Pencil Sharpener</t>
  </si>
  <si>
    <t>Dixon Prang Watercolor Pencils, 10-Color Set with Brush</t>
  </si>
  <si>
    <t>Ibico Hi-Tech Manual Binding System</t>
  </si>
  <si>
    <t>Alliance Super-Size Bands, Assorted Sizes</t>
  </si>
  <si>
    <t>Southworth 25% Cotton Granite Paper &amp; Envelopes</t>
  </si>
  <si>
    <t>Xerox 225</t>
  </si>
  <si>
    <t>Wireless Extenders zBoost YX545 SOHO Signal Booster</t>
  </si>
  <si>
    <t>GE 30524EE4</t>
  </si>
  <si>
    <t>Howard Miller 14-1/2" Diameter Chrome Round Wall Clock</t>
  </si>
  <si>
    <t>Acco Four Pocket Poly Ring Binder with Label Holder, Smoke, 1"</t>
  </si>
  <si>
    <t>Newell 312</t>
  </si>
  <si>
    <t>Memorex Micro Travel Drive 8 GB</t>
  </si>
  <si>
    <t>Howard Miller 11-1/2" Diameter Ridgewood Wall Clock</t>
  </si>
  <si>
    <t>Avery 482</t>
  </si>
  <si>
    <t>DAX Value U-Channel Document Frames, Easel Back</t>
  </si>
  <si>
    <t>O'Sullivan Elevations Bookcase, Cherry Finish</t>
  </si>
  <si>
    <t>Global Highback Leather Tilter in Burgundy</t>
  </si>
  <si>
    <t>4009 Highlighters by Sanford</t>
  </si>
  <si>
    <t>Avery Metallic Poly Binders</t>
  </si>
  <si>
    <t>3-ring staple pack</t>
  </si>
  <si>
    <t>Brown Kraft Recycled Envelopes</t>
  </si>
  <si>
    <t>Staple envelope</t>
  </si>
  <si>
    <t>Xerox 1923</t>
  </si>
  <si>
    <t>Fellowes Stor/Drawer Steel Plus Storage Drawers</t>
  </si>
  <si>
    <t>Tennsco 6- and 18-Compartment Lockers</t>
  </si>
  <si>
    <t>Plantronics S12 Corded Telephone Headset System</t>
  </si>
  <si>
    <t>Sauder Cornerstone Collection Library</t>
  </si>
  <si>
    <t>Logitech 910-002974 M325 Wireless Mouse for Web Scrolling</t>
  </si>
  <si>
    <t>DAX Black Cherry Wood-Tone Poster Frame</t>
  </si>
  <si>
    <t>GBC Linen Binding Covers</t>
  </si>
  <si>
    <t>Round Specialty Laser Printer Labels</t>
  </si>
  <si>
    <t>AT&amp;T 841000 Phone</t>
  </si>
  <si>
    <t>Fellowes Mighty 8 Compact Surge Protector</t>
  </si>
  <si>
    <t>O'Sullivan 4-Shelf Bookcase in Odessa Pine</t>
  </si>
  <si>
    <t>GBC Standard Recycled Report Covers, Clear Plastic Sheets</t>
  </si>
  <si>
    <t>Tyvek  Top-Opening Peel &amp; Seel Envelopes, Plain White</t>
  </si>
  <si>
    <t>TOPS Carbonless Receipt Book, Four 2-3/4 x 7-1/4 Money Receipts per Page</t>
  </si>
  <si>
    <t>Hon 4700 Series Mobuis Mid-Back Task Chairs with Adjustable Arms</t>
  </si>
  <si>
    <t>Ultra Door Push Plate</t>
  </si>
  <si>
    <t>Eldon ClusterMat Chair Mat with Cordless Antistatic Protection</t>
  </si>
  <si>
    <t>Eldon Expressions Desk Accessory, Wood Pencil Holder, Oak</t>
  </si>
  <si>
    <t>Holmes Replacement Filter for HEPA Air Cleaner, Very Large Room, HEPA Filter</t>
  </si>
  <si>
    <t>Newell 351</t>
  </si>
  <si>
    <t>Newell 327</t>
  </si>
  <si>
    <t>Panasonic KP-4ABK Battery-Operated Pencil Sharpener</t>
  </si>
  <si>
    <t>Acco Pressboard Covers with Storage Hooks, 9 1/2" x 11", Executive Red</t>
  </si>
  <si>
    <t>GBC DocuBind TL200 Manual Binding Machine</t>
  </si>
  <si>
    <t>Storex Dura Pro Binders</t>
  </si>
  <si>
    <t>Wirebound Service Call Books, 5 1/2" x 4"</t>
  </si>
  <si>
    <t>Eldon Fold 'N Roll Cart System</t>
  </si>
  <si>
    <t>Fellowes Bases and Tops For Staxonsteel/High-Stak Systems</t>
  </si>
  <si>
    <t>Apple iPhone 5C</t>
  </si>
  <si>
    <t>Ultra Door Pull Handle</t>
  </si>
  <si>
    <t>Eldon Imàge Series Desk Accessories, Clear</t>
  </si>
  <si>
    <t>DAX Two-Tone Rosewood/Black Document Frame, Desktop, 5 x 7</t>
  </si>
  <si>
    <t>Eldon 200 Class Desk Accessories, Burgundy</t>
  </si>
  <si>
    <t>Weyerhaeuser First Choice Laser/Copy Paper (20Lb. and 88 Bright)</t>
  </si>
  <si>
    <t>iKross Bluetooth Portable Keyboard + Cell Phone Stand Holder + Brush for Apple iPhone 5S 5C 5, 4S 4</t>
  </si>
  <si>
    <t>Alliance Big Bands Rubber Bands, 12/Pack</t>
  </si>
  <si>
    <t>Xerox 195</t>
  </si>
  <si>
    <t>Safco Value Mate Series Steel Bookcases, Baked Enamel Finish on Steel, Gray</t>
  </si>
  <si>
    <t>Eldon Image Series Black Desk Accessories</t>
  </si>
  <si>
    <t>GE General Use Halogen Bulbs, 100 Watts, 1 Bulb per Pack</t>
  </si>
  <si>
    <t>Wilson Jones 14 Line Acrylic Coated Pressboard Data Binders</t>
  </si>
  <si>
    <t>REDIFORM Incoming/Outgoing Call Register, 11" X 8 1/2", 100 Messages</t>
  </si>
  <si>
    <t>Eureka Recycled Copy Paper 8 1/2" x 11", Ream</t>
  </si>
  <si>
    <t>SAFCO Commercial Wire Shelving, 72h</t>
  </si>
  <si>
    <t>Jabra SPEAK 410</t>
  </si>
  <si>
    <t>Macally Suction Cup Mount</t>
  </si>
  <si>
    <t>Balt Split Level Computer Training Table</t>
  </si>
  <si>
    <t>Dixon Ticonderoga Core-Lock Colored Pencils</t>
  </si>
  <si>
    <t>Recycled Steel Personal File for Hanging File Folders</t>
  </si>
  <si>
    <t>Pressboard Covers with Storage Hooks, 9 1/2" x 11", Light Blue</t>
  </si>
  <si>
    <t>Xerox 1972</t>
  </si>
  <si>
    <t>Space Solutions HD Industrial Steel Shelving.</t>
  </si>
  <si>
    <t>Sauder Facets Collection Library, Sky Alder Finish</t>
  </si>
  <si>
    <t>Enermax Aurora Lite Keyboard</t>
  </si>
  <si>
    <t>Surelock Post Binders</t>
  </si>
  <si>
    <t>Staples</t>
  </si>
  <si>
    <t>AT&amp;T 17929 Lendline Telephone</t>
  </si>
  <si>
    <t>Avery Durable Poly Binders</t>
  </si>
  <si>
    <t>Ibico Laser Imprintable Binding System Covers</t>
  </si>
  <si>
    <t>GBC Recycled Grain Textured Covers</t>
  </si>
  <si>
    <t>Message Book, Standard Line "While You Were Out", 5 1/2" X 4", 200 Sets/Book</t>
  </si>
  <si>
    <t>Avery Flip-Chart Easel Binder, Black</t>
  </si>
  <si>
    <t>Avery 480</t>
  </si>
  <si>
    <t>AT&amp;T CL82213</t>
  </si>
  <si>
    <t>Aastra 57i VoIP phone</t>
  </si>
  <si>
    <t>Acco Perma 4000 Stacking Storage Drawers</t>
  </si>
  <si>
    <t>Maxell DVD-RAM Discs</t>
  </si>
  <si>
    <t>Master Caster Door Stop, Large Brown</t>
  </si>
  <si>
    <t>Global Value Mid-Back Manager's Chair, Gray</t>
  </si>
  <si>
    <t>Rubbermaid ClusterMat Chairmats, Mat Size- 66" x 60", Lip 20" x 11" -90 Degree Angle</t>
  </si>
  <si>
    <t>Hon 2111 Invitation Series Corner Table</t>
  </si>
  <si>
    <t>Wilson Jones Leather-Like Binders with DublLock Round Rings</t>
  </si>
  <si>
    <t>VariCap6 Expandable Binder</t>
  </si>
  <si>
    <t>Wilson Jones Turn Tabs Binder Tool for Ring Binders</t>
  </si>
  <si>
    <t>Avery 483</t>
  </si>
  <si>
    <t>Fellowes Neat Ideas Storage Cubes</t>
  </si>
  <si>
    <t>Global Geo Office Task Chair, Gray</t>
  </si>
  <si>
    <t>Belkin 8 Outlet Surge Protector</t>
  </si>
  <si>
    <t>Memo Book, 100 Message Capacity, 5 3/8” x 11”</t>
  </si>
  <si>
    <t>Compact Automatic Electric Letter Opener</t>
  </si>
  <si>
    <t>Logitech G600 MMO Gaming Mouse</t>
  </si>
  <si>
    <t>Pressboard Data Binders by Wilson Jones</t>
  </si>
  <si>
    <t>Holmes Cool Mist Humidifier for the Whole House with 8-Gallon Output per Day, Extended Life Filter</t>
  </si>
  <si>
    <t>Wilson Jones Easy Flow II Sheet Lifters</t>
  </si>
  <si>
    <t>Staples in misc. colors</t>
  </si>
  <si>
    <t>DAX Copper Panel Document Frame, 5 x 7 Size</t>
  </si>
  <si>
    <t>Akro Stacking Bins</t>
  </si>
  <si>
    <t>Master Caster Door Stop, Brown</t>
  </si>
  <si>
    <t>Xerox 204</t>
  </si>
  <si>
    <t>Enermax Briskie RF Wireless Keyboard and Mouse Combo</t>
  </si>
  <si>
    <t>Xerox 220</t>
  </si>
  <si>
    <t>GBC Plastic Binding Combs</t>
  </si>
  <si>
    <t>Staple-on labels</t>
  </si>
  <si>
    <t>TOPS 4 x 6 Fluorescent Color Memo Sheets, 500 Sheets per Pack</t>
  </si>
  <si>
    <t>Zebra Zazzle Fluorescent Highlighters</t>
  </si>
  <si>
    <t>Novimex Swivel Fabric Task Chair</t>
  </si>
  <si>
    <t>Harbour Creations Steel Folding Chair</t>
  </si>
  <si>
    <t>Bevis Round Conference Room Tables and Bases</t>
  </si>
  <si>
    <t>Plymouth Boxed Rubber Bands by Plymouth</t>
  </si>
  <si>
    <t>Black Print Carbonless 8 1/2" x 8 1/4" Rapid Memo Book</t>
  </si>
  <si>
    <t>Fellowes Bankers Box Recycled Super Stor/Drawer</t>
  </si>
  <si>
    <t>Sannysis Cute Owl Design Soft Skin Case Cover for Samsung Galaxy S4</t>
  </si>
  <si>
    <t>Xerox 1971</t>
  </si>
  <si>
    <t>Array Parchment Paper, Assorted Colors</t>
  </si>
  <si>
    <t>Hypercom P1300 Pinpad</t>
  </si>
  <si>
    <t>Bevis Oval Conference Table, Walnut</t>
  </si>
  <si>
    <t>3.6 Cubic Foot Counter Height Office Refrigerator</t>
  </si>
  <si>
    <t>Cardinal HOLDit! Binder Insert Strips,Extra Strips</t>
  </si>
  <si>
    <t>Avery 495</t>
  </si>
  <si>
    <t>Eldon Shelf Savers Cubes and Bins</t>
  </si>
  <si>
    <t>PowerGen Dual USB Car Charger</t>
  </si>
  <si>
    <t>BIC Brite Liner Highlighters, Chisel Tip</t>
  </si>
  <si>
    <t>Sensible Storage WireTech Storage Systems</t>
  </si>
  <si>
    <t>Newell 345</t>
  </si>
  <si>
    <t>GBC Wire Binding Combs</t>
  </si>
  <si>
    <t>Xerox 1891</t>
  </si>
  <si>
    <t>Acme Forged Steel Scissors with Black Enamel Handles</t>
  </si>
  <si>
    <t>Logitech Wireless Gaming Headset G930</t>
  </si>
  <si>
    <t>Office Star - Task Chair with Contemporary Loop Arms</t>
  </si>
  <si>
    <t>Global Push Button Manager's Chair, Indigo</t>
  </si>
  <si>
    <t>Global Leather and Oak Executive Chair, Black</t>
  </si>
  <si>
    <t>Newell Chalk Holder</t>
  </si>
  <si>
    <t>Newell 330</t>
  </si>
  <si>
    <t>Catalog Binders with Expanding Posts</t>
  </si>
  <si>
    <t>Contico 72"H Heavy-Duty Storage System</t>
  </si>
  <si>
    <t>Carina 42"Hx23 3/4"W Media Storage Unit</t>
  </si>
  <si>
    <t>BOSTON Ranger #55 Pencil Sharpener, Black</t>
  </si>
  <si>
    <t>Geographics Note Cards, Blank, White, 8 1/2" x 11"</t>
  </si>
  <si>
    <t>Eldon Wave Desk Accessories</t>
  </si>
  <si>
    <t>Fellowes Premier Superior Surge Suppressor, 10-Outlet, With Phone and Remote</t>
  </si>
  <si>
    <t>Economy #2 Pencils</t>
  </si>
  <si>
    <t>Stockwell Push Pins</t>
  </si>
  <si>
    <t>Xerox 198</t>
  </si>
  <si>
    <t>Southworth 100% Résumé Paper, 24lb.</t>
  </si>
  <si>
    <t>Panasonic KX-TG9471B</t>
  </si>
  <si>
    <t>Dana Halogen Swing-Arm Architect Lamp</t>
  </si>
  <si>
    <t>Global Commerce Series High-Back Swivel/Tilt Chairs</t>
  </si>
  <si>
    <t>Avery Hi-Liter Fluorescent Desk Style Markers</t>
  </si>
  <si>
    <t>Premium Transparent Presentation Covers, No Pattern/Clear, 8 1/2" x 11"</t>
  </si>
  <si>
    <t>Xerox 1887</t>
  </si>
  <si>
    <t>Xerox 1963</t>
  </si>
  <si>
    <t>Carina Double Wide Media Storage Towers in Natural &amp; Black</t>
  </si>
  <si>
    <t>Staple magnet</t>
  </si>
  <si>
    <t>Imation 30456 USB Flash Drive 8GB</t>
  </si>
  <si>
    <t>Hewlett-Packard Deskjet 6540 Color Inkjet Printer</t>
  </si>
  <si>
    <t>Eldon Expressions Desk Accessory, Wood Photo Frame, Mahogany</t>
  </si>
  <si>
    <t>Insertable Tab Post Binder Dividers</t>
  </si>
  <si>
    <t>GBC VeloBinder Manual Binding System</t>
  </si>
  <si>
    <t>Xerox 1889</t>
  </si>
  <si>
    <t>Hot File 7-Pocket, Floor Stand</t>
  </si>
  <si>
    <t>Polycom VoiceStation 500 Conference phone</t>
  </si>
  <si>
    <t>Balt Solid Wood Round Tables</t>
  </si>
  <si>
    <t>Bretford Rectangular Conference Table Tops</t>
  </si>
  <si>
    <t>Hon 30" x 60" Table with Locking Drawer</t>
  </si>
  <si>
    <t>Bionaire Personal Warm Mist Humidifier/Vaporizer</t>
  </si>
  <si>
    <t>Belkin 6 Outlet Metallic Surge Strip</t>
  </si>
  <si>
    <t>Newell 333</t>
  </si>
  <si>
    <t>Newell 35</t>
  </si>
  <si>
    <t>Avery Non-Stick Heavy Duty View Round Locking Ring Binders</t>
  </si>
  <si>
    <t>GBC Twin Loop Wire Binding Elements, 9/16" Spine, Black</t>
  </si>
  <si>
    <t>Xerox 1918</t>
  </si>
  <si>
    <t>Xerox 1966</t>
  </si>
  <si>
    <t>Xerox 1967</t>
  </si>
  <si>
    <t>Xerox 1926</t>
  </si>
  <si>
    <t>EcoTones Memo Sheets</t>
  </si>
  <si>
    <t>Xerox 1957</t>
  </si>
  <si>
    <t>Xerox 1909</t>
  </si>
  <si>
    <t>Bush Heritage Pine Collection 5-Shelf Bookcase, Albany Pine Finish, *Special Order</t>
  </si>
  <si>
    <t>Dana Fluorescent Magnifying Lamp, White, 36"</t>
  </si>
  <si>
    <t>Executive Impressions 13" Clairmont Wall Clock</t>
  </si>
  <si>
    <t>Eldon Cleatmat Chair Mats for Medium Pile Carpets</t>
  </si>
  <si>
    <t>Avery Fluorescent Highlighter Four-Color Set</t>
  </si>
  <si>
    <t>Swingline SM12-08 MicroCut Jam Free Shredder</t>
  </si>
  <si>
    <t>Cisco TelePresence System EX90 Videoconferencing Unit</t>
  </si>
  <si>
    <t>Document Clip Frames</t>
  </si>
  <si>
    <t>Avery 501</t>
  </si>
  <si>
    <t>Crate-A-Files</t>
  </si>
  <si>
    <t>Logitech Wireless Boombox Speaker - portable - wireless, wired</t>
  </si>
  <si>
    <t>Cisco 8x8 Inc. 6753i IP Business Phone System</t>
  </si>
  <si>
    <t>DAX Wood Document Frame</t>
  </si>
  <si>
    <t>American Pencil</t>
  </si>
  <si>
    <t>Binney &amp; Smith inkTank Erasable Desk Highlighter, Chisel Tip, Yellow, 12/Box</t>
  </si>
  <si>
    <t>Binney &amp; Smith Crayola Metallic Colored Pencils, 8-Color Set</t>
  </si>
  <si>
    <t>Wilson Jones Ledger-Size, Piano-Hinge Binder, 2", Blue</t>
  </si>
  <si>
    <t>Avery 492</t>
  </si>
  <si>
    <t>Avery 505</t>
  </si>
  <si>
    <t>Xerox 1919</t>
  </si>
  <si>
    <t>Tennsco Commercial Shelving</t>
  </si>
  <si>
    <t>Samsung Galaxy S4 Active</t>
  </si>
  <si>
    <t>Office Star - Mesh Screen back chair with Vinyl seat</t>
  </si>
  <si>
    <t>GBC Prestige Therm-A-Bind Covers</t>
  </si>
  <si>
    <t>C-Line Peel &amp; Stick Add-On Filing Pockets, 8-3/4 x 5-1/8, 10/Pack</t>
  </si>
  <si>
    <t>Xerox 1951</t>
  </si>
  <si>
    <t>Avery 476</t>
  </si>
  <si>
    <t>Economy Rollaway Files</t>
  </si>
  <si>
    <t>Ooma Telo VoIP Home Phone System</t>
  </si>
  <si>
    <t>DAX Contemporary Wood Frame with Silver Metal Mat, Desktop, 11 x 14 Size</t>
  </si>
  <si>
    <t>Xerox 190</t>
  </si>
  <si>
    <t>Iceberg Nesting Folding Chair, 19w x 6d x 43h</t>
  </si>
  <si>
    <t>BIC Brite Liner Grip Highlighters, Assorted, 5/Pack</t>
  </si>
  <si>
    <t>Eberhard Faber 3 1/2" Golf Pencils</t>
  </si>
  <si>
    <t>Imation Swivel Flash Drive USB flash drive - 8 GB</t>
  </si>
  <si>
    <t>Newell 308</t>
  </si>
  <si>
    <t>Smead Alpha-Z Color-Coded Name Labels First Letter Starter Set</t>
  </si>
  <si>
    <t>SanDisk Ultra 32 GB MicroSDHC Class 10 Memory Card</t>
  </si>
  <si>
    <t>Griffin GC17055 Auxiliary Audio Cable</t>
  </si>
  <si>
    <t>Chromcraft Bull-Nose Wood Oval Conference Tables &amp; Bases</t>
  </si>
  <si>
    <t>Hon 94000 Series Round Tables</t>
  </si>
  <si>
    <t>Poly String Tie Envelopes</t>
  </si>
  <si>
    <t>AT&amp;T TR1909W</t>
  </si>
  <si>
    <t>Bush Advantage Collection Racetrack Conference Table</t>
  </si>
  <si>
    <t>O'Sullivan Living Dimensions 2-Shelf Bookcases</t>
  </si>
  <si>
    <t>Global Stack Chair without Arms, Black</t>
  </si>
  <si>
    <t>Sanford EarthWrite Recycled Pencils, Medium Soft, #2</t>
  </si>
  <si>
    <t>Peel-Off China Markers</t>
  </si>
  <si>
    <t>Airmail Envelopes</t>
  </si>
  <si>
    <t>Avery 490</t>
  </si>
  <si>
    <t>Space Solutions Commercial Steel Shelving</t>
  </si>
  <si>
    <t>Sterilite Show Offs Storage Containers</t>
  </si>
  <si>
    <t>Innergie mMini Combo Duo USB Travel Charging Kit</t>
  </si>
  <si>
    <t>Global Leather Highback Executive Chair with Pneumatic Height Adjustment, Black</t>
  </si>
  <si>
    <t>Fellowes Advanced Computer Series Surge Protectors</t>
  </si>
  <si>
    <t>Avery Hole Reinforcements</t>
  </si>
  <si>
    <t>Ibico Plastic and Wire Spiral Binding Combs</t>
  </si>
  <si>
    <t>Fellowes Black Plastic Comb Bindings</t>
  </si>
  <si>
    <t>Avery Round Ring Poly Binders</t>
  </si>
  <si>
    <t>GBC DocuBind 200 Manual Binding Machine</t>
  </si>
  <si>
    <t>Kensington SlimBlade Notebook Wireless Mouse with Nano Receiver</t>
  </si>
  <si>
    <t>Pressboard Data Binder, Crimson, 12" X 8 1/2"</t>
  </si>
  <si>
    <t>Zipper Ring Binder Pockets</t>
  </si>
  <si>
    <t>Rogers Profile Extra Capacity Storage Tub</t>
  </si>
  <si>
    <t>Luxo Adjustable Task Clamp Lamp</t>
  </si>
  <si>
    <t>Euro-Pro Shark Turbo Vacuum</t>
  </si>
  <si>
    <t>Xerox 1947</t>
  </si>
  <si>
    <t>Xerox 1898</t>
  </si>
  <si>
    <t>Xerox 1990</t>
  </si>
  <si>
    <t>Motorola Droid Maxx</t>
  </si>
  <si>
    <t>Advantus Panel Wall Acrylic Frame</t>
  </si>
  <si>
    <t>Newell 319</t>
  </si>
  <si>
    <t>Avery Non-Stick Binders</t>
  </si>
  <si>
    <t>Avery 518</t>
  </si>
  <si>
    <t>Xerox 209</t>
  </si>
  <si>
    <t>Safco Commercial Shelving</t>
  </si>
  <si>
    <t>Logitech Wireless Marathon Mouse M705</t>
  </si>
  <si>
    <t>Newell 321</t>
  </si>
  <si>
    <t>Stanley Contemporary Battery Pencil Sharpeners</t>
  </si>
  <si>
    <t>Crayola Colored Pencils</t>
  </si>
  <si>
    <t>Ibico Standard Transparent Covers</t>
  </si>
  <si>
    <t>Fellowes Twister Kit, Gray/Clear, 3/pkg</t>
  </si>
  <si>
    <t>Eaton Premium Continuous-Feed Paper, 25% Cotton, Letter Size, White, 1000 Shts/Box</t>
  </si>
  <si>
    <t>Adjustable Personal File Tote</t>
  </si>
  <si>
    <t>Tenex File Box, Personal Filing Tote with Lid, Black</t>
  </si>
  <si>
    <t>Martin Yale Chadless Opener Electric Letter Opener</t>
  </si>
  <si>
    <t>Tenex B1-RE Series Chair Mats for Low Pile Carpets</t>
  </si>
  <si>
    <t>C-Line Cubicle Keepers Polyproplyene Holder With Velcro Backings</t>
  </si>
  <si>
    <t>Chromcraft Bull-Nose Wood Round Conference Table Top, Wood Base</t>
  </si>
  <si>
    <t>KI Adjustable-Height Table</t>
  </si>
  <si>
    <t>Boston Home &amp; Office Model 2000 Electric Pencil Sharpeners</t>
  </si>
  <si>
    <t>Avery Trapezoid Ring Binder, 3" Capacity, Black, 1040 sheets</t>
  </si>
  <si>
    <t>Large Capacity Hanging Post Binders</t>
  </si>
  <si>
    <t>Xerox 194</t>
  </si>
  <si>
    <t>Xerox 211</t>
  </si>
  <si>
    <t>Martin-Yale Premier Letter Opener</t>
  </si>
  <si>
    <t>Kingston Digital DataTraveler 32GB USB 2.0</t>
  </si>
  <si>
    <t>Razer Kraken 7.1 Surround Sound Over Ear USB Gaming Headset</t>
  </si>
  <si>
    <t>Imation Secure+ Hardware Encrypted USB 2.0 Flash Drive; 16GB</t>
  </si>
  <si>
    <t>Stacking Tray, Side-Loading, Legal, Smoke</t>
  </si>
  <si>
    <t>Xerox 1945</t>
  </si>
  <si>
    <t>Xerox 226</t>
  </si>
  <si>
    <t>RCA Visys Integrated PBX 8-Line Router</t>
  </si>
  <si>
    <t>SAFCO PlanMaster Boards, 60w x 37-1/2d, White Melamine</t>
  </si>
  <si>
    <t>Bevis 36 x 72 Conference Tables</t>
  </si>
  <si>
    <t>Riverside Furniture Stanwyck Manor Table Series</t>
  </si>
  <si>
    <t>Binder Clips by OIC</t>
  </si>
  <si>
    <t>Things To Do Today Spiral Book</t>
  </si>
  <si>
    <t>Logitech Wireless Headset h800</t>
  </si>
  <si>
    <t>GBC Personal VeloBind Strips</t>
  </si>
  <si>
    <t>Acco Banker's Clasps, 5 3/4"-Long</t>
  </si>
  <si>
    <t>Xerox 224</t>
  </si>
  <si>
    <t>Eldon Simplefile Box Office</t>
  </si>
  <si>
    <t>Logitech Wireless Anywhere Mouse MX for PC and Mac</t>
  </si>
  <si>
    <t>Memorex Mini Travel Drive 64 GB USB 2.0 Flash Drive</t>
  </si>
  <si>
    <t>AT&amp;T SB67148 SynJ</t>
  </si>
  <si>
    <t>Jawbone JAMBOX Wireless Bluetooth Speaker</t>
  </si>
  <si>
    <t>Prismacolor Color Pencil Set</t>
  </si>
  <si>
    <t>Recycled Pressboard Report Cover with Reinforced Top Hinge</t>
  </si>
  <si>
    <t>Xerox 213</t>
  </si>
  <si>
    <t>AT&amp;T 1080 Corded phone</t>
  </si>
  <si>
    <t>Pyle PMP37LED</t>
  </si>
  <si>
    <t>Newell 314</t>
  </si>
  <si>
    <t>Fellowes PB200 Plastic Comb Binding Machine</t>
  </si>
  <si>
    <t>Avery 479</t>
  </si>
  <si>
    <t>Square Credit Card Reader, 4 1/2" x 4 1/2" x 1", White</t>
  </si>
  <si>
    <t>Howard Miller 13" Diameter Goldtone Round Wall Clock</t>
  </si>
  <si>
    <t>Belkin F9G930V10-GRY 9 Outlet Surge</t>
  </si>
  <si>
    <t>DMI Arturo Collection Mission-style Design Wood Chair</t>
  </si>
  <si>
    <t>Binney &amp; Smith inkTank Desk Highlighter, Chisel Tip, Yellow, 12/Box</t>
  </si>
  <si>
    <t>Prang Dustless Chalk Sticks</t>
  </si>
  <si>
    <t>Cameo Buff Policy Envelopes</t>
  </si>
  <si>
    <t>Advantus Push Pins, Aluminum Head</t>
  </si>
  <si>
    <t>Kensington Expert Mouse Optical USB Trackball for PC or Mac</t>
  </si>
  <si>
    <t>Ativa MDM8000 8-Sheet Micro-Cut Shredder</t>
  </si>
  <si>
    <t>Executive Impressions 13" Chairman Wall Clock</t>
  </si>
  <si>
    <t>GBC Durable Plastic Covers</t>
  </si>
  <si>
    <t>Xerox 232</t>
  </si>
  <si>
    <t>GE 4 Foot Flourescent Tube, 40 Watt</t>
  </si>
  <si>
    <t>Bush Advantage Collection Round Conference Table</t>
  </si>
  <si>
    <t>Personal Folder Holder, Ebony</t>
  </si>
  <si>
    <t>ACCOHIDE Binder by Acco</t>
  </si>
  <si>
    <t>SAFCO Commercial Wire Shelving, Black</t>
  </si>
  <si>
    <t>ACCOHIDE 3-Ring Binder, Blue, 1"</t>
  </si>
  <si>
    <t>G.E. Halogen Desk Lamp Bulbs</t>
  </si>
  <si>
    <t>Wilson Jones Suede Grain Vinyl Binders</t>
  </si>
  <si>
    <t>GuestStacker Chair with Chrome Finish Legs</t>
  </si>
  <si>
    <t>Tenex Traditional Chairmats for Medium Pile Carpet, Standard Lip, 36" x 48"</t>
  </si>
  <si>
    <t>Kensington 6 Outlet MasterPiece HOMEOFFICE Power Control Center</t>
  </si>
  <si>
    <t>12 Colored Short Pencils</t>
  </si>
  <si>
    <t>Xerox 1985</t>
  </si>
  <si>
    <t>AT&amp;T CL2909</t>
  </si>
  <si>
    <t>Bevis Steel Folding Chairs</t>
  </si>
  <si>
    <t>Newell 347</t>
  </si>
  <si>
    <t>Acco Pressboard Covers with Storage Hooks, 14 7/8" x 11", Executive Red</t>
  </si>
  <si>
    <t>Blackstonian Pencils</t>
  </si>
  <si>
    <t>Acco Data Flex Cable Posts For Top &amp; Bottom Load Binders, 6" Capacity</t>
  </si>
  <si>
    <t>Avery 488</t>
  </si>
  <si>
    <t>Avery File Folder Labels</t>
  </si>
  <si>
    <t>Recycled Steel Personal File for Standard File Folders</t>
  </si>
  <si>
    <t>Carina Mini System Audio Rack, Model AR050B</t>
  </si>
  <si>
    <t>X-Rack File for Hanging Folders</t>
  </si>
  <si>
    <t>Samsung Galaxy Mega 6.3</t>
  </si>
  <si>
    <t>Global Leather Executive Chair</t>
  </si>
  <si>
    <t>Dax Clear Box Frame</t>
  </si>
  <si>
    <t>2300 Heavy-Duty Transfer File Systems by Perma</t>
  </si>
  <si>
    <t>Square Credit Card Reader</t>
  </si>
  <si>
    <t>Hunt Boston Vacuum Mount KS Pencil Sharpener</t>
  </si>
  <si>
    <t>Maxell 4.7GB DVD-RW 3/Pack</t>
  </si>
  <si>
    <t>Brother DCP1000 Digital 3 in 1 Multifunction Machine</t>
  </si>
  <si>
    <t>Avery Durable Plastic 1" Binders</t>
  </si>
  <si>
    <t>GBC Poly Designer Binding Covers</t>
  </si>
  <si>
    <t>Avery 481</t>
  </si>
  <si>
    <t>Eldon Regeneration Recycled Desk Accessories, Smoke</t>
  </si>
  <si>
    <t>Holmes Odor Grabber</t>
  </si>
  <si>
    <t>Fellowes Binding Cases</t>
  </si>
  <si>
    <t>OIC Thumb-Tacks</t>
  </si>
  <si>
    <t>Newell 350</t>
  </si>
  <si>
    <t>Easy-staple paper</t>
  </si>
  <si>
    <t>Xerox 1933</t>
  </si>
  <si>
    <t>Adams "While You Were Out" Message Pads</t>
  </si>
  <si>
    <t>Eldon Portable Mobile Manager</t>
  </si>
  <si>
    <t>Model L Table or Wall-Mount Pencil Sharpener</t>
  </si>
  <si>
    <t>Wilson Jones Legal Size Ring Binders</t>
  </si>
  <si>
    <t>Lifetime Advantage Folding Chairs, 4/Carton</t>
  </si>
  <si>
    <t>Newell 335</t>
  </si>
  <si>
    <t>Acco PRESSTEX Data Binder with Storage Hooks, Dark Blue, 14 7/8" X 11"</t>
  </si>
  <si>
    <t>Hewlett Packard LaserJet 3310 Copier</t>
  </si>
  <si>
    <t>Avery 506</t>
  </si>
  <si>
    <t>Fellowes Super Stor/Drawer</t>
  </si>
  <si>
    <t>Sony Micro Vault Click 16 GB USB 2.0 Flash Drive</t>
  </si>
  <si>
    <t>Bestar Classic Bookcase</t>
  </si>
  <si>
    <t>Hon Pagoda Stacking Chairs</t>
  </si>
  <si>
    <t>DIXON Ticonderoga Erasable Checking Pencils</t>
  </si>
  <si>
    <t>Strathmore #10 Envelopes, Ultimate White</t>
  </si>
  <si>
    <t>Southworth 25% Cotton Premium Laser Paper and Envelopes</t>
  </si>
  <si>
    <t>Acme Design Stainless Steel Bent Scissors</t>
  </si>
  <si>
    <t>Wilson Electronics DB Pro Signal Booster</t>
  </si>
  <si>
    <t>LF Elite 3D Dazzle Designer Hard Case Cover, Lf Stylus Pen and Wiper For Apple Iphone 5c Mini Lite</t>
  </si>
  <si>
    <t>Hon Multipurpose Stacking Arm Chairs</t>
  </si>
  <si>
    <t>Deflect-o EconoMat Studded, No Bevel Mat for Low Pile Carpeting</t>
  </si>
  <si>
    <t>Staple holder</t>
  </si>
  <si>
    <t>Avery Arch Ring Binders</t>
  </si>
  <si>
    <t>Logitech ClearChat Comfort/USB Headset H390</t>
  </si>
  <si>
    <t>SanDisk Cruzer 64 GB USB Flash Drive</t>
  </si>
  <si>
    <t>Xblue XB-1670-86 X16 Small Office Telephone - Titanium</t>
  </si>
  <si>
    <t>Bevis Traditional Conference Table Top, Plinth Base</t>
  </si>
  <si>
    <t>GBC DocuBind P100 Manual Binding Machine</t>
  </si>
  <si>
    <t>Plantronics Audio 478 Stereo USB Headset</t>
  </si>
  <si>
    <t>Electrix Halogen Magnifier Lamp</t>
  </si>
  <si>
    <t>Imation Clip USB flash drive - 8 GB</t>
  </si>
  <si>
    <t>Deflect-o Glass Clear Studded Chair Mats</t>
  </si>
  <si>
    <t>Xerox 1949</t>
  </si>
  <si>
    <t>Apple iPhone 5</t>
  </si>
  <si>
    <t>Avery Heavy-Duty EZD View Binder with Locking Rings</t>
  </si>
  <si>
    <t>24-Hour Round Wall Clock</t>
  </si>
  <si>
    <t>Contemporary Borderless Frame</t>
  </si>
  <si>
    <t>Acco 6 Outlet Guardian Basic Surge Suppressor</t>
  </si>
  <si>
    <t>Sanford Colorific Scented Colored Pencils, 12/Pack</t>
  </si>
  <si>
    <t>SanDisk Ultra 16 GB MicroSDHC Class 10 Memory Card</t>
  </si>
  <si>
    <t>Okidata B400 Printer</t>
  </si>
  <si>
    <t>Global Deluxe Steno Chair</t>
  </si>
  <si>
    <t>Ibico Plastic Spiral Binding Combs</t>
  </si>
  <si>
    <t>GBC ProClick Punch Binding System</t>
  </si>
  <si>
    <t>Fellowes PB300 Plastic Comb Binding Machine</t>
  </si>
  <si>
    <t>Adams Telephone Message Books, 5 1/4” x 11”</t>
  </si>
  <si>
    <t>Xerox 1992</t>
  </si>
  <si>
    <t>Plantronics Voyager Pro Legend</t>
  </si>
  <si>
    <t>Nortel Networks T7316 E Nt8 B27</t>
  </si>
  <si>
    <t>Plantronics Encore H101 Dual Earpieces Headset</t>
  </si>
  <si>
    <t>1.7 Cubic Foot Compact "Cube" Office Refrigerators</t>
  </si>
  <si>
    <t>Newell 317</t>
  </si>
  <si>
    <t>Angle-D Ring Binders</t>
  </si>
  <si>
    <t>Xerox 1999</t>
  </si>
  <si>
    <t>Letter Slitter</t>
  </si>
  <si>
    <t>Motorola L804</t>
  </si>
  <si>
    <t>Xerox 1944</t>
  </si>
  <si>
    <t>Electrix Incandescent Magnifying Lamp, Black</t>
  </si>
  <si>
    <t>Harmony Air Purifier</t>
  </si>
  <si>
    <t>Strathmore Photo Frame Cards</t>
  </si>
  <si>
    <t>Sauder Inglewood Library Bookcases</t>
  </si>
  <si>
    <t>Hon Olson Stacker Stools</t>
  </si>
  <si>
    <t>Global Commerce Series Low-Back Swivel/Tilt Chairs</t>
  </si>
  <si>
    <t>SAFCO Mobile Desk Side File, Wire Frame</t>
  </si>
  <si>
    <t>VTech DS6151</t>
  </si>
  <si>
    <t>netTALK DUO VoIP Telephone Service</t>
  </si>
  <si>
    <t>KI Conference Tables</t>
  </si>
  <si>
    <t>Fellowes Presentation Covers for Comb Binding Machines</t>
  </si>
  <si>
    <t>Fellowes Officeware Wire Shelving</t>
  </si>
  <si>
    <t>Logitech Wireless Performance Mouse MX for PC and Mac</t>
  </si>
  <si>
    <t>Plantronics HL10 Handset Lifter</t>
  </si>
  <si>
    <t>Green Canvas Binder for 8-1/2" x 14" Sheets</t>
  </si>
  <si>
    <t>I Need's 3d Hello Kitty Hybrid Silicone Case Cover for HTC One X 4g with 3d Hello Kitty Stylus Pen Green/pink</t>
  </si>
  <si>
    <t>Chromcraft Rectangular Conference Tables</t>
  </si>
  <si>
    <t>Honeywell Quietcare HEPA Air Cleaner</t>
  </si>
  <si>
    <t>GBC Pre-Punched Binding Paper, Plastic, White, 8-1/2" x 11"</t>
  </si>
  <si>
    <t>Ampad Poly Cover Wirebound Steno Book, 6" x 9" Assorted Colors, Gregg Ruled</t>
  </si>
  <si>
    <t>Xerox 1948</t>
  </si>
  <si>
    <t>Geemarc AmpliPOWER60</t>
  </si>
  <si>
    <t>Grandstream GXP1160 VoIP phone</t>
  </si>
  <si>
    <t>Samsung Galaxy Note 3</t>
  </si>
  <si>
    <t>3M Hangers With Command Adhesive</t>
  </si>
  <si>
    <t>Honeywell Enviracaire Portable HEPA Air Cleaner for 17' x 22' Room</t>
  </si>
  <si>
    <t>Acco 6 Outlet Guardian Premium Surge Suppressor</t>
  </si>
  <si>
    <t>Boston Heavy-Duty Trimline Electric Pencil Sharpeners</t>
  </si>
  <si>
    <t>GBC Clear Cover, 8-1/2 x 11, unpunched, 25 covers per pack</t>
  </si>
  <si>
    <t>Wilson Jones Heavy-Duty Casebound Ring Binders with Metal Hinges</t>
  </si>
  <si>
    <t>Xerox 205</t>
  </si>
  <si>
    <t>Adams Telephone Message Book w/Frequently-Called Numbers Space, 400 Messages per Book</t>
  </si>
  <si>
    <t>Safco Steel Mobile File Cart</t>
  </si>
  <si>
    <t>Adtran 1202752G1</t>
  </si>
  <si>
    <t>Aluminum Document Frame</t>
  </si>
  <si>
    <t>GBC Standard Therm-A-Bind Covers</t>
  </si>
  <si>
    <t>Mophie Juice Pack Helium for iPhone</t>
  </si>
  <si>
    <t>Contract Clock, 14", Brown</t>
  </si>
  <si>
    <t>Security-Tint Envelopes</t>
  </si>
  <si>
    <t>Avery 513</t>
  </si>
  <si>
    <t>O'Sullivan Living Dimensions 5-Shelf Bookcases</t>
  </si>
  <si>
    <t>Seth Thomas 14" Day/Date Wall Clock</t>
  </si>
  <si>
    <t>Commercial WindTunnel Clean Air Upright Vacuum, Replacement Belts, Filtration Bags</t>
  </si>
  <si>
    <t>Chromcraft Bull-Nose Wood 48" x 96" Rectangular Conference Tables</t>
  </si>
  <si>
    <t>Sanford Liquid Accent Highlighters</t>
  </si>
  <si>
    <t>Presstex Flexible Ring Binders</t>
  </si>
  <si>
    <t>Wilson Jones Century Plastic Molded Ring Binders</t>
  </si>
  <si>
    <t>#10- 4 1/8" x 9 1/2" Recycled Envelopes</t>
  </si>
  <si>
    <t>Acme Office Executive Series Stainless Steel Trimmers</t>
  </si>
  <si>
    <t>Bevis Round Conference Table Top, X-Base</t>
  </si>
  <si>
    <t>Situations Contoured Folding Chairs, 4/Set</t>
  </si>
  <si>
    <t>Hon Deluxe Fabric Upholstered Stacking Chairs, Squared Back</t>
  </si>
  <si>
    <t>Tennsco Snap-Together Open Shelving Units, Starter Sets and Add-On Units</t>
  </si>
  <si>
    <t>Eldon Expressions Wood and Plastic Desk Accessories, Cherry Wood</t>
  </si>
  <si>
    <t>Executive Impressions 13-1/2" Indoor/Outdoor Wall Clock</t>
  </si>
  <si>
    <t>Bevis 44 x 96 Conference Tables</t>
  </si>
  <si>
    <t>Belkin F5C206VTEL 6 Outlet Surge</t>
  </si>
  <si>
    <t>Boston 1645 Deluxe Heavier-Duty Electric Pencil Sharpener</t>
  </si>
  <si>
    <t>DIXON Oriole Pencils</t>
  </si>
  <si>
    <t>Newell 322</t>
  </si>
  <si>
    <t>Deluxe Chalkboard Eraser Cleaner</t>
  </si>
  <si>
    <t>DXL Angle-View Binders with Locking Rings by Samsill</t>
  </si>
  <si>
    <t>Staple remover</t>
  </si>
  <si>
    <t>Logitech M510 Wireless Mouse</t>
  </si>
  <si>
    <t>Konftel 250 Conference phone - Charcoal black</t>
  </si>
  <si>
    <t>Mitel 5320 IP Phone VoIP phone</t>
  </si>
  <si>
    <t>Dot Matrix Printer Tape Reel Labels, White, 5000/Box</t>
  </si>
  <si>
    <t>Hon Metal Bookcases, Gray</t>
  </si>
  <si>
    <t>Lesro Sheffield Collection Coffee Table, End Table, Center Table, Corner Table</t>
  </si>
  <si>
    <t>Avery Premier Heavy-Duty Binder with Round Locking Rings</t>
  </si>
  <si>
    <t>Xerox 1902</t>
  </si>
  <si>
    <t>Boston 16750 Black Compact Battery Pencil Sharpener</t>
  </si>
  <si>
    <t>GBC DocuBind P400 Electric Binding System</t>
  </si>
  <si>
    <t>OIC Binder Clips</t>
  </si>
  <si>
    <t>Xerox 1892</t>
  </si>
  <si>
    <t>Texas Instruments TI-34 Scientific Calculator</t>
  </si>
  <si>
    <t>Plantronics Cordless Phone Headset with In-line Volume - M214C</t>
  </si>
  <si>
    <t>Xerox 1925</t>
  </si>
  <si>
    <t>Hon Metal Bookcases, Black</t>
  </si>
  <si>
    <t>Nontoxic Chalk</t>
  </si>
  <si>
    <t>Storex DuraTech Recycled Plastic Frosted Binders</t>
  </si>
  <si>
    <t>Xerox 2</t>
  </si>
  <si>
    <t>Safco Industrial Wire Shelving System</t>
  </si>
  <si>
    <t>Okidata C331dn Printer</t>
  </si>
  <si>
    <t>HTC One Mini</t>
  </si>
  <si>
    <t>Stacking Trays by OIC</t>
  </si>
  <si>
    <t>Luxo Professional Magnifying Clamp-On Fluorescent Lamps</t>
  </si>
  <si>
    <t>Fellowes Advanced 8 Outlet Surge Suppressor with Phone/Fax Protection</t>
  </si>
  <si>
    <t>OIC #2 Pencils, Medium Soft</t>
  </si>
  <si>
    <t>Newell 341</t>
  </si>
  <si>
    <t>GBC Prepunched Paper, 19-Hole, for Binding Systems, 24-lb</t>
  </si>
  <si>
    <t>Wilson Jones 1" Hanging DublLock Ring Binders</t>
  </si>
  <si>
    <t>Avery Trapezoid Extra Heavy Duty 4" Binders</t>
  </si>
  <si>
    <t>Message Book, Phone, Wirebound Standard Line Memo, 2 3/4" X 5"</t>
  </si>
  <si>
    <t>Recycled Eldon Regeneration Jumbo File</t>
  </si>
  <si>
    <t>Epson Perfection V600 Photo Scanner</t>
  </si>
  <si>
    <t>Polycom SoundStation2 EX Conference phone</t>
  </si>
  <si>
    <t>GE 2-Jack Phone Line Splitter</t>
  </si>
  <si>
    <t>Hon Deluxe Fabric Upholstered Stacking Chairs, Rounded Back</t>
  </si>
  <si>
    <t>Padded Folding Chairs, Black, 4/Carton</t>
  </si>
  <si>
    <t>SpineVue Locking Slant-D Ring Binders by Cardinal</t>
  </si>
  <si>
    <t>Office Impressions Heavy Duty Welded Shelving &amp; Multimedia Storage Drawers</t>
  </si>
  <si>
    <t>KeyTronic 6101 Series - Keyboard - Black</t>
  </si>
  <si>
    <t>Panasonic Kx-TS550</t>
  </si>
  <si>
    <t>Prang Drawing Pencil Set</t>
  </si>
  <si>
    <t>Acme Kleen Earth Office Shears</t>
  </si>
  <si>
    <t>Sony 64GB Class 10 Micro SDHC R40 Memory Card</t>
  </si>
  <si>
    <t>Acrylic Self-Standing Desk Frames</t>
  </si>
  <si>
    <t>Hon 4060 Series Tables</t>
  </si>
  <si>
    <t>Hunt BOSTON Vista Battery-Operated Pencil Sharpener, Black</t>
  </si>
  <si>
    <t>Plantronics 81402</t>
  </si>
  <si>
    <t>Self-Adhesive Ring Binder Labels</t>
  </si>
  <si>
    <t>Xerox 1995</t>
  </si>
  <si>
    <t>Xerox 1941</t>
  </si>
  <si>
    <t>Dixon My First Ticonderoga Pencil, #2</t>
  </si>
  <si>
    <t>Wilson Jones Clip &amp; Carry Folder Binder Tool for Ring Binders, Clear</t>
  </si>
  <si>
    <t>Sanford Uni-Blazer View Highlighters, Chisel Tip, Yellow</t>
  </si>
  <si>
    <t>BIC Brite Liner Grip Highlighters</t>
  </si>
  <si>
    <t>GBC Recycled Regency Composition Covers</t>
  </si>
  <si>
    <t>Cardinal Poly Pocket Divider Pockets for Ring Binders</t>
  </si>
  <si>
    <t>Xerox 1913</t>
  </si>
  <si>
    <t>Avery Durable Binders</t>
  </si>
  <si>
    <t>Cardinal Holdit Business Card Pockets</t>
  </si>
  <si>
    <t>Wilson SignalBoost 841262 DB PRO Amplifier Kit</t>
  </si>
  <si>
    <t>Logitech B530 USB Headset - headset - Full size, Binaural</t>
  </si>
  <si>
    <t>Southworth Structures Collection</t>
  </si>
  <si>
    <t>Advantus Panel Wall Certificate Holder - 8.5x11</t>
  </si>
  <si>
    <t>Vinyl Sectional Post Binders</t>
  </si>
  <si>
    <t>Wilson Jones Four-Pocket Poly Binders</t>
  </si>
  <si>
    <t>Avery 516</t>
  </si>
  <si>
    <t>Fellowes Bankers Box Stor/Drawer Steel Plus</t>
  </si>
  <si>
    <t>Gould Plastics 18-Pocket Panel Bin, 34w x 5-1/4d x 20-1/2h</t>
  </si>
  <si>
    <t>NETGEAR AC1750 Dual Band Gigabit Smart WiFi Router</t>
  </si>
  <si>
    <t>Global Comet Stacking Armless Chair</t>
  </si>
  <si>
    <t>Canon Imageclass D680 Copier / Fax</t>
  </si>
  <si>
    <t>Global High-Back Leather Tilter, Burgundy</t>
  </si>
  <si>
    <t>Howard Miller 11-1/2" Diameter Grantwood Wall Clock</t>
  </si>
  <si>
    <t>Avery Hidden Tab Dividers for Binding Systems</t>
  </si>
  <si>
    <t>Avery 49</t>
  </si>
  <si>
    <t>Xerox 1895</t>
  </si>
  <si>
    <t>Perma STOR-ALL Hanging File Box, 13 1/8"W x 12 1/4"D x 10 1/2"H</t>
  </si>
  <si>
    <t>9-3/4 Diameter Round Wall Clock</t>
  </si>
  <si>
    <t>Newell 3-Hole Punched Plastic Slotted Magazine Holders for Binders</t>
  </si>
  <si>
    <t>Avery 514</t>
  </si>
  <si>
    <t>Xerox 200</t>
  </si>
  <si>
    <t>Xerox 1881</t>
  </si>
  <si>
    <t>Polycom VVX 310 VoIP phone</t>
  </si>
  <si>
    <t>Cisco SPA508G</t>
  </si>
  <si>
    <t>Cisco SPA112 2 Port Phone Adapter</t>
  </si>
  <si>
    <t>Safco Chair Connectors, 6/Carton</t>
  </si>
  <si>
    <t>Hon Deluxe Fabric Upholstered Stacking Chairs</t>
  </si>
  <si>
    <t>Hon 5100 Series Wood Tables</t>
  </si>
  <si>
    <t>Fluorescent Highlighters by Dixon</t>
  </si>
  <si>
    <t>Tuff Stuff Recycled Round Ring Binders</t>
  </si>
  <si>
    <t>Verbatim 25 GB 6x Blu-ray Single Layer Recordable Disc, 1/Pack</t>
  </si>
  <si>
    <t>GE DSL Phone Line Filter</t>
  </si>
  <si>
    <t>Bevis Round Conference Table Top &amp; Single Column Base</t>
  </si>
  <si>
    <t>Tensor Track Tree Floor Lamp</t>
  </si>
  <si>
    <t>Belkin 7 Outlet SurgeMaster II</t>
  </si>
  <si>
    <t>Newell 315</t>
  </si>
  <si>
    <t>Acco D-Ring Binder w/DublLock</t>
  </si>
  <si>
    <t>Griffin GC36547 PowerJolt SE Lightning Charger</t>
  </si>
  <si>
    <t>iOttie HLCRIO102 Car Mount</t>
  </si>
  <si>
    <t>Advantus Push Pins</t>
  </si>
  <si>
    <t>Maxell 4.7GB DVD-R 5/Pack</t>
  </si>
  <si>
    <t>Office Star - Ergonomically Designed Knee Chair</t>
  </si>
  <si>
    <t>Cardinal Slant-D Ring Binder, Heavy Gauge Vinyl</t>
  </si>
  <si>
    <t>Barricks 18" x 48" Non-Folding Utility Table with Bottom Storage Shelf</t>
  </si>
  <si>
    <t>Acco Pressboard Covers with Storage Hooks, 14 7/8" x 11", Dark Blue</t>
  </si>
  <si>
    <t>Acco Hanging Data Binders</t>
  </si>
  <si>
    <t>Avery 3 1/2" Diskette Storage Pages, 10/Pack</t>
  </si>
  <si>
    <t>HON 5400 Series Task Chairs for Big and Tall</t>
  </si>
  <si>
    <t>Nu-Dell Leatherette Frames</t>
  </si>
  <si>
    <t>Westinghouse Clip-On Gooseneck Lamps</t>
  </si>
  <si>
    <t>Newell 348</t>
  </si>
  <si>
    <t>Wilson Jones Custom Binder Spines &amp; Labels</t>
  </si>
  <si>
    <t>Clear Mylar Reinforcing Strips</t>
  </si>
  <si>
    <t>Xerox 189</t>
  </si>
  <si>
    <t>Xerox 1897</t>
  </si>
  <si>
    <t>Xerox 1965</t>
  </si>
  <si>
    <t>Wirebound Message Books, Two 4 1/4" x 5" Forms per Page</t>
  </si>
  <si>
    <t>Letter Size Cart</t>
  </si>
  <si>
    <t>Maxell 74 Minute CD-R Spindle, 50/Pack</t>
  </si>
  <si>
    <t>Global Troy Executive Leather Low-Back Tilter</t>
  </si>
  <si>
    <t>Hon Every-Day Series Multi-Task Chairs</t>
  </si>
  <si>
    <t>Newell 334</t>
  </si>
  <si>
    <t>Acco Economy Flexible Poly Round Ring Binder</t>
  </si>
  <si>
    <t>Inter-Office Recycled Envelopes, Brown Kraft, Button-String,10" x 13" , 100/Box</t>
  </si>
  <si>
    <t>Safco Drafting Table</t>
  </si>
  <si>
    <t>Premium Writing Pencils, Soft, #2 by Central Association for the Blind</t>
  </si>
  <si>
    <t>Newell 32</t>
  </si>
  <si>
    <t>Eldon Mobile Mega Data Cart  Mega Stackable  Add-On Trays</t>
  </si>
  <si>
    <t>Logitech G602 Wireless Gaming Mouse</t>
  </si>
  <si>
    <t>Newell 324</t>
  </si>
  <si>
    <t>Acme Softgrip Scissors</t>
  </si>
  <si>
    <t>Case Logic 2.4GHz Wireless Keyboard</t>
  </si>
  <si>
    <t>Microsoft Natural Keyboard Elite</t>
  </si>
  <si>
    <t>Imation 8gb Micro Traveldrive Usb 2.0 Flash Drive</t>
  </si>
  <si>
    <t>Staple-based wall hangings</t>
  </si>
  <si>
    <t>Fellowes Personal Hanging Folder Files, Navy</t>
  </si>
  <si>
    <t>High Speed Automatic Electric Letter Opener</t>
  </si>
  <si>
    <t>Metal Folding Chairs, Beige, 4/Carton</t>
  </si>
  <si>
    <t>Hon 2090 “Pillow Soft” Series Mid Back Swivel/Tilt Chairs</t>
  </si>
  <si>
    <t>DAX Cubicle Frames, 8-1/2 x 11</t>
  </si>
  <si>
    <t>Tensor Computer Mounted Lamp</t>
  </si>
  <si>
    <t>DAX Clear Channel Poster Frame</t>
  </si>
  <si>
    <t>Acco 6 Outlet Guardian Standard Surge Suppressor</t>
  </si>
  <si>
    <t>GBC Premium Transparent Covers with Diagonal Lined Pattern</t>
  </si>
  <si>
    <t>GBC Instant Index System for Binding Systems</t>
  </si>
  <si>
    <t>Avery 485</t>
  </si>
  <si>
    <t>Belkin 19" Vented Equipment Shelf, Black</t>
  </si>
  <si>
    <t>Memorex Micro Travel Drive 16 GB</t>
  </si>
  <si>
    <t>Logitech Illuminated Ultrathin Keyboard with Backlighting</t>
  </si>
  <si>
    <t>Apple iPhone 5S</t>
  </si>
  <si>
    <t>Xerox 1956</t>
  </si>
  <si>
    <t>WD My Passport Ultra 2TB Portable External Hard Drive</t>
  </si>
  <si>
    <t>DataProducts Ampli Magnifier Task Lamp, Black,</t>
  </si>
  <si>
    <t>OIC Colored Binder Clips, Assorted Sizes</t>
  </si>
  <si>
    <t>Rush Hierlooms Collection 1" Thick Stackable Bookcases</t>
  </si>
  <si>
    <t>Wilson Jones data.warehouse D-Ring Binders with DublLock</t>
  </si>
  <si>
    <t>Acco Clips to Go Binder Clips, 24 Clips in Two Sizes</t>
  </si>
  <si>
    <t>Self-Adhesive Address Labels for Typewriters by Universal</t>
  </si>
  <si>
    <t>Xerox 1916</t>
  </si>
  <si>
    <t>Smead Adjustable Mobile File Trolley with Lockable Top</t>
  </si>
  <si>
    <t>Memorex Micro Travel Drive 4 GB</t>
  </si>
  <si>
    <t>BoxOffice By Design Rectangular and Half-Moon Meeting Room Tables</t>
  </si>
  <si>
    <t>Bravo II Megaboss 12-Amp Hard Body Upright, Replacement Belts, 2 Belts per Pack</t>
  </si>
  <si>
    <t>Xerox 1884</t>
  </si>
  <si>
    <t>White Computer Printout Paper by Universal</t>
  </si>
  <si>
    <t>Acme Box Cutter Scissors</t>
  </si>
  <si>
    <t>Eureka The Boss Cordless Rechargeable Stick Vac</t>
  </si>
  <si>
    <t>Hoover WindTunnel Plus Canister Vacuum</t>
  </si>
  <si>
    <t>Newell 329</t>
  </si>
  <si>
    <t>Xerox 1934</t>
  </si>
  <si>
    <t>Safco Wire Cube Shelving System, For Use as 4 or 5 14" Cubes, Black</t>
  </si>
  <si>
    <t>Maxell 4.7GB DVD-R</t>
  </si>
  <si>
    <t>Panasonic KX T7731-B Digital phone</t>
  </si>
  <si>
    <t>Hon GuestStacker Chair</t>
  </si>
  <si>
    <t>Global Value Steno Chair, Gray</t>
  </si>
  <si>
    <t>SAFCO PlanMaster Heigh-Adjustable Drafting Table Base, 43w x 30d x 30-37h, Black</t>
  </si>
  <si>
    <t>Binney &amp; Smith inkTank Erasable Pocket Highlighter, Chisel Tip, Yellow</t>
  </si>
  <si>
    <t>Boston KS Multi-Size Manual Pencil Sharpener</t>
  </si>
  <si>
    <t>Adams Phone Message Book, Professional, 400 Message Capacity, 5 3/6” x 11”</t>
  </si>
  <si>
    <t>Logitech Desktop MK120 Mouse and keyboard Combo</t>
  </si>
  <si>
    <t>Plantronics CS 50-USB - headset - Convertible, Monaural</t>
  </si>
  <si>
    <t>Logitech G700s Rechargeable Gaming Mouse</t>
  </si>
  <si>
    <t>O'Sullivan 2-Shelf Heavy-Duty Bookcases</t>
  </si>
  <si>
    <t>Eldon Delta Triangular Chair Mat, 52" x 58", Clear</t>
  </si>
  <si>
    <t>Nu-Dell Float Frame 11 x 14 1/2</t>
  </si>
  <si>
    <t>Acco Smartsocket Table Surge Protector, 6 Color-Coded Adapter Outlets</t>
  </si>
  <si>
    <t>Fellowes Superior 10 Outlet Split Surge Protector</t>
  </si>
  <si>
    <t>Globe Weis Peel &amp; Seel First Class Envelopes</t>
  </si>
  <si>
    <t>Advantus Rolling Drawer Organizers</t>
  </si>
  <si>
    <t>SanDisk Ultra 64 GB MicroSDHC Class 10 Memory Card</t>
  </si>
  <si>
    <t>Sharp 1540cs Digital Laser Copier</t>
  </si>
  <si>
    <t>Sharp AL-1530CS Digital Copier</t>
  </si>
  <si>
    <t>AT&amp;T 1070 Corded Phone</t>
  </si>
  <si>
    <t>Conquest 14 Commercial Heavy-Duty Upright Vacuum, Collection System, Accessory Kit</t>
  </si>
  <si>
    <t>Boston 1827 Commercial Additional Cutter, Drive Gear &amp; Gear Rack for 1606</t>
  </si>
  <si>
    <t>GBC DocuBind P50 Personal Binding Machine</t>
  </si>
  <si>
    <t>Ibico Ibimaster 300 Manual Binding System</t>
  </si>
  <si>
    <t>Super Bands, 12/Pack</t>
  </si>
  <si>
    <t>Avery 494</t>
  </si>
  <si>
    <t>Great White Multi-Use Recycled Paper (20Lb. and 84 Bright)</t>
  </si>
  <si>
    <t>Xerox 21</t>
  </si>
  <si>
    <t>Jawbone MINI JAMBOX Wireless Bluetooth Speaker</t>
  </si>
  <si>
    <t>Cisco Unified IP Phone 7945G VoIP phone</t>
  </si>
  <si>
    <t>Eldon Image Series Desk Accessories, Ebony</t>
  </si>
  <si>
    <t>Sanford 52201 APSCO Electric Pencil Sharpener</t>
  </si>
  <si>
    <t>Vinyl Coated Wire Paper Clips in Organizer Box, 800/Box</t>
  </si>
  <si>
    <t>Tennsco Single-Tier Lockers</t>
  </si>
  <si>
    <t>Acco Smartsocket Color-Coded Six-Outlet AC Adapter Model Surge Protectors</t>
  </si>
  <si>
    <t>Bulldog Vacuum Base Pencil Sharpener</t>
  </si>
  <si>
    <t>Acco Translucent Poly Ring Binders</t>
  </si>
  <si>
    <t>Performers Binder/Pad Holder, Black</t>
  </si>
  <si>
    <t>Xerox 229</t>
  </si>
  <si>
    <t>Acco Side-Punched Conventional Columnar Pads</t>
  </si>
  <si>
    <t>BlackBerry Q10</t>
  </si>
  <si>
    <t>Novimex Fabric Task Chair</t>
  </si>
  <si>
    <t>Tripp Lite TLP810NET Broadband Surge for Modem/Fax</t>
  </si>
  <si>
    <t>Premium Transparent Presentation Covers by GBC</t>
  </si>
  <si>
    <t>Avery Heavy-Duty EZD  Binder With Locking Rings</t>
  </si>
  <si>
    <t>Xerox 1955</t>
  </si>
  <si>
    <t>Colored Push Pins</t>
  </si>
  <si>
    <t>Xerox 1929</t>
  </si>
  <si>
    <t>Xerox 203</t>
  </si>
  <si>
    <t>Logitech Gaming G510s - Keyboard</t>
  </si>
  <si>
    <t>Turquoise Lead Holder with Pocket Clip</t>
  </si>
  <si>
    <t>Satellite Sectional Post Binders</t>
  </si>
  <si>
    <t>Acme Kleencut Forged Steel Scissors</t>
  </si>
  <si>
    <t>GBC DocuBind TL300 Electric Binding System</t>
  </si>
  <si>
    <t>Riverleaf Stik-Withit Designer Note Cubes</t>
  </si>
  <si>
    <t>Faber Castell Col-Erase Pencils</t>
  </si>
  <si>
    <t>Xerox 1899</t>
  </si>
  <si>
    <t>Acme Serrated Blade Letter Opener</t>
  </si>
  <si>
    <t>Regeneration Desk Collection</t>
  </si>
  <si>
    <t>Xerox 1931</t>
  </si>
  <si>
    <t>Xerox 1988</t>
  </si>
  <si>
    <t>Xerox 1976</t>
  </si>
  <si>
    <t>Xerox 1993</t>
  </si>
  <si>
    <t>Xerox 1994</t>
  </si>
  <si>
    <t>Personal Creations Ink Jet Cards and Labels</t>
  </si>
  <si>
    <t>Acme Titanium Bonded Scissors</t>
  </si>
  <si>
    <t>Cisco SPA525G2 IP Phone - Wireless</t>
  </si>
  <si>
    <t>G.E. Longer-Life Indoor Recessed Floodlight Bulbs</t>
  </si>
  <si>
    <t>SlimView Poly Binder, 3/8"</t>
  </si>
  <si>
    <t>Eldon 200 Class Desk Accessories, Smoke</t>
  </si>
  <si>
    <t>Wilson Jones Elliptical Ring 3 1/2" Capacity Binders, 800 sheets</t>
  </si>
  <si>
    <t>Square Ring Data Binders, Rigid 75 Pt. Covers, 11" x 14-7/8"</t>
  </si>
  <si>
    <t>Insertable Tab Indexes For Data Binders</t>
  </si>
  <si>
    <t>Redi-Strip #10 Envelopes, 4 1/8 x 9 1/2</t>
  </si>
  <si>
    <t>Xerox 1921</t>
  </si>
  <si>
    <t>Xerox 23</t>
  </si>
  <si>
    <t>Portable Personal File Box</t>
  </si>
  <si>
    <t>SanDisk Cruzer 32 GB USB Flash Drive</t>
  </si>
  <si>
    <t>Newell 340</t>
  </si>
  <si>
    <t>Xerox 1978</t>
  </si>
  <si>
    <t>Avoid Verbal Orders Carbonless Minifold Book</t>
  </si>
  <si>
    <t>Master Caster Door Stop, Large Neon Orange</t>
  </si>
  <si>
    <t>Bretford CR8500 Series Meeting Room Furniture</t>
  </si>
  <si>
    <t>Wilson Jones Hanging View Binder, White, 1"</t>
  </si>
  <si>
    <t>GE 30522EE2</t>
  </si>
  <si>
    <t>Cisco SPA 501G IP Phone</t>
  </si>
  <si>
    <t>Balt Solid Wood Rectangular Table</t>
  </si>
  <si>
    <t>Jiffy Padded Mailers with Self-Seal Closure</t>
  </si>
  <si>
    <t>Xerox 1986</t>
  </si>
  <si>
    <t>Xerox 1940</t>
  </si>
  <si>
    <t>Wilson Jones Standard D-Ring Binders</t>
  </si>
  <si>
    <t>KeyTronic KT400U2 - Keyboard - Black</t>
  </si>
  <si>
    <t>BOSTON Model 1800 Electric Pencil Sharpeners, Putty/Woodgrain</t>
  </si>
  <si>
    <t>Prestige Round Ring Binders</t>
  </si>
  <si>
    <t>Wilson Jones Hanging Recycled Pressboard Data Binders</t>
  </si>
  <si>
    <t>Xerox 216</t>
  </si>
  <si>
    <t>Tenex Carpeted, Granite-Look or Clear Contemporary Contour Shape Chair Mats</t>
  </si>
  <si>
    <t>Sum of Total_Cost</t>
  </si>
  <si>
    <t>Row Labels</t>
  </si>
  <si>
    <t>Grand Total</t>
  </si>
  <si>
    <t>2020</t>
  </si>
  <si>
    <t>2021</t>
  </si>
  <si>
    <t>2022</t>
  </si>
  <si>
    <t>2023</t>
  </si>
  <si>
    <t>2024</t>
  </si>
  <si>
    <t>2025</t>
  </si>
  <si>
    <t>Count of Order_ID</t>
  </si>
  <si>
    <t>Total Orders</t>
  </si>
  <si>
    <t>Total_Sales_Rev</t>
  </si>
  <si>
    <t>Total Sales Revenue</t>
  </si>
  <si>
    <t>Average Order Value</t>
  </si>
  <si>
    <t>Stock On Hand</t>
  </si>
  <si>
    <t xml:space="preserve">Inventory Turnover Ratio </t>
  </si>
  <si>
    <t xml:space="preserve">Average Turnover Ratio </t>
  </si>
  <si>
    <t>Procurement Cost</t>
  </si>
  <si>
    <t>Transportation Cost</t>
  </si>
  <si>
    <t>Actual Demand</t>
  </si>
  <si>
    <t>Forecasted Demand</t>
  </si>
  <si>
    <t>TOTAL REVENUE</t>
  </si>
  <si>
    <t>AVG ORDER VALUE</t>
  </si>
  <si>
    <t>TRANSPORTATION COST</t>
  </si>
  <si>
    <t>TOTAL ORDERS</t>
  </si>
  <si>
    <t>STOCK ON HAND</t>
  </si>
  <si>
    <t>AVERAGE TUENOVER RATIO</t>
  </si>
  <si>
    <t>Average of Delay_Days</t>
  </si>
  <si>
    <t>PROCUREMENT COST</t>
  </si>
  <si>
    <t>AVERAGE DELAY</t>
  </si>
  <si>
    <t>TOTAL COST</t>
  </si>
  <si>
    <t>FILTERS</t>
  </si>
  <si>
    <t>DASHBOARD - SUPPLY CHAIN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</si>
</sst>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hh:mm:ss"/>
    <numFmt numFmtId="165" formatCode="[&gt;=1000000]\$#,##0.0,,&quot;M&quot;;[&gt;=1000]\$#,##0.0,&quot;K&quot;;\$#,##0"/>
    <numFmt numFmtId="166" formatCode="[&gt;=1000000]#,##0.0,,&quot;M&quot;;[&gt;=1000]#,##0.0,&quot;K&quot;;#,##0"/>
    <numFmt numFmtId="167" formatCode="0.00\ &quot;DAYS&quot;"/>
  </numFmts>
  <fonts count="10" x14ac:knownFonts="1">
    <font>
      <sz val="11"/>
      <color theme="1"/>
      <name val="Arial"/>
      <family val="2"/>
      <scheme val="minor"/>
    </font>
    <font>
      <b/>
      <sz val="11"/>
      <name val="Calibri"/>
    </font>
    <font>
      <sz val="11"/>
      <name val="Arial"/>
      <family val="2"/>
      <scheme val="minor"/>
    </font>
    <font>
      <b/>
      <sz val="11"/>
      <name val="Calibri"/>
      <family val="2"/>
    </font>
    <font>
      <b/>
      <sz val="18"/>
      <color theme="0"/>
      <name val="Arial"/>
      <family val="2"/>
      <scheme val="minor"/>
    </font>
    <font>
      <b/>
      <sz val="20"/>
      <color theme="0"/>
      <name val="Arial"/>
      <family val="2"/>
      <scheme val="minor"/>
    </font>
    <font>
      <b/>
      <sz val="22"/>
      <color theme="0"/>
      <name val="Arial"/>
      <family val="2"/>
      <scheme val="minor"/>
    </font>
    <font>
      <b/>
      <sz val="20"/>
      <color theme="1"/>
      <name val="Arial"/>
      <family val="2"/>
      <scheme val="minor"/>
    </font>
    <font>
      <sz val="11"/>
      <color rgb="FF7030A0"/>
      <name val="Arial"/>
      <family val="2"/>
      <scheme val="minor"/>
    </font>
    <font>
      <b/>
      <sz val="14"/>
      <color theme="0"/>
      <name val="Arial"/>
      <family val="2"/>
      <scheme val="minor"/>
    </font>
  </fonts>
  <fills count="5">
    <fill>
      <patternFill patternType="none"/>
    </fill>
    <fill>
      <patternFill patternType="gray125"/>
    </fill>
    <fill>
      <patternFill patternType="solid">
        <fgColor theme="0"/>
        <bgColor indexed="64"/>
      </patternFill>
    </fill>
    <fill>
      <patternFill patternType="solid">
        <fgColor theme="9"/>
        <bgColor indexed="64"/>
      </patternFill>
    </fill>
    <fill>
      <patternFill patternType="solid">
        <fgColor theme="0" tint="-0.49998474074526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1">
    <xf numFmtId="0" fontId="0" fillId="0" borderId="0"/>
  </cellStyleXfs>
  <cellXfs count="55">
    <xf numFmtId="0" fontId="0" fillId="0" borderId="0" xfId="0"/>
    <xf numFmtId="164" fontId="0" fillId="0" borderId="0" xfId="0" applyNumberFormat="1"/>
    <xf numFmtId="0" fontId="1" fillId="0" borderId="0" xfId="0" applyFont="1" applyAlignment="1">
      <alignment horizontal="center" vertical="top"/>
    </xf>
    <xf numFmtId="0" fontId="0" fillId="0" borderId="0" xfId="0" quotePrefix="1"/>
    <xf numFmtId="0" fontId="2" fillId="0" borderId="0" xfId="0" applyFont="1"/>
    <xf numFmtId="0" fontId="2" fillId="0" borderId="0" xfId="0" quotePrefix="1" applyFont="1"/>
    <xf numFmtId="0" fontId="0" fillId="0" borderId="0" xfId="0" pivotButton="1"/>
    <xf numFmtId="0" fontId="0" fillId="0" borderId="0" xfId="0" applyAlignment="1">
      <alignment horizontal="left"/>
    </xf>
    <xf numFmtId="165" fontId="1" fillId="0" borderId="0" xfId="0" applyNumberFormat="1" applyFont="1" applyAlignment="1">
      <alignment horizontal="center" vertical="top"/>
    </xf>
    <xf numFmtId="165" fontId="0" fillId="0" borderId="0" xfId="0" applyNumberFormat="1"/>
    <xf numFmtId="0" fontId="3" fillId="0" borderId="0" xfId="0" applyFont="1" applyAlignment="1">
      <alignment horizontal="center" vertical="top"/>
    </xf>
    <xf numFmtId="2" fontId="0" fillId="0" borderId="0" xfId="0" applyNumberFormat="1"/>
    <xf numFmtId="2" fontId="3" fillId="0" borderId="0" xfId="0" applyNumberFormat="1" applyFont="1" applyAlignment="1">
      <alignment horizontal="center" vertical="top"/>
    </xf>
    <xf numFmtId="0" fontId="0" fillId="2" borderId="0" xfId="0" applyFill="1"/>
    <xf numFmtId="0" fontId="8" fillId="2" borderId="5" xfId="0" applyFont="1" applyFill="1" applyBorder="1"/>
    <xf numFmtId="0" fontId="8" fillId="2" borderId="0" xfId="0" applyFont="1" applyFill="1"/>
    <xf numFmtId="0" fontId="8" fillId="2" borderId="6" xfId="0" applyFont="1" applyFill="1" applyBorder="1"/>
    <xf numFmtId="0" fontId="0" fillId="3" borderId="0" xfId="0" applyFill="1"/>
    <xf numFmtId="0" fontId="7" fillId="3" borderId="5" xfId="0" applyFont="1" applyFill="1" applyBorder="1" applyAlignment="1">
      <alignment vertical="center"/>
    </xf>
    <xf numFmtId="0" fontId="7" fillId="3" borderId="0" xfId="0" applyFont="1" applyFill="1" applyAlignment="1">
      <alignment vertical="center"/>
    </xf>
    <xf numFmtId="0" fontId="0" fillId="3" borderId="2" xfId="0" applyFill="1" applyBorder="1"/>
    <xf numFmtId="0" fontId="5" fillId="3" borderId="5" xfId="0" applyFont="1" applyFill="1" applyBorder="1" applyAlignment="1">
      <alignment horizontal="center" vertical="center"/>
    </xf>
    <xf numFmtId="0" fontId="5" fillId="3" borderId="0" xfId="0" applyFont="1" applyFill="1" applyAlignment="1">
      <alignment horizontal="center" vertical="center"/>
    </xf>
    <xf numFmtId="0" fontId="5" fillId="3" borderId="6" xfId="0" applyFont="1" applyFill="1" applyBorder="1" applyAlignment="1">
      <alignment horizontal="center" vertical="center"/>
    </xf>
    <xf numFmtId="0" fontId="5" fillId="3" borderId="14" xfId="0" applyFont="1" applyFill="1" applyBorder="1" applyAlignment="1">
      <alignment horizontal="center" vertical="center"/>
    </xf>
    <xf numFmtId="0" fontId="5" fillId="3" borderId="9" xfId="0" applyFont="1" applyFill="1" applyBorder="1" applyAlignment="1">
      <alignment horizontal="center" vertical="center"/>
    </xf>
    <xf numFmtId="0" fontId="5" fillId="3" borderId="10" xfId="0" applyFont="1" applyFill="1" applyBorder="1" applyAlignment="1">
      <alignment horizontal="center" vertical="center"/>
    </xf>
    <xf numFmtId="0" fontId="4" fillId="3" borderId="11" xfId="0" applyFont="1" applyFill="1" applyBorder="1" applyAlignment="1">
      <alignment horizontal="center" vertical="center"/>
    </xf>
    <xf numFmtId="0" fontId="4" fillId="3" borderId="12" xfId="0" applyFont="1" applyFill="1" applyBorder="1" applyAlignment="1">
      <alignment horizontal="center" vertical="center"/>
    </xf>
    <xf numFmtId="0" fontId="4" fillId="3" borderId="13" xfId="0" applyFont="1" applyFill="1" applyBorder="1" applyAlignment="1">
      <alignment horizontal="center" vertical="center"/>
    </xf>
    <xf numFmtId="0" fontId="4" fillId="3" borderId="14" xfId="0" applyFont="1" applyFill="1" applyBorder="1" applyAlignment="1">
      <alignment horizontal="center" vertical="center"/>
    </xf>
    <xf numFmtId="0" fontId="4" fillId="3" borderId="9" xfId="0" applyFont="1" applyFill="1" applyBorder="1" applyAlignment="1">
      <alignment horizontal="center" vertical="center"/>
    </xf>
    <xf numFmtId="0" fontId="4" fillId="3" borderId="10" xfId="0" applyFont="1" applyFill="1" applyBorder="1" applyAlignment="1">
      <alignment horizontal="center" vertical="center"/>
    </xf>
    <xf numFmtId="0" fontId="9" fillId="3" borderId="1" xfId="0" applyFont="1" applyFill="1" applyBorder="1" applyAlignment="1">
      <alignment horizontal="center" vertical="center"/>
    </xf>
    <xf numFmtId="0" fontId="9" fillId="3" borderId="4" xfId="0" applyFont="1" applyFill="1" applyBorder="1" applyAlignment="1">
      <alignment horizontal="center" vertical="center"/>
    </xf>
    <xf numFmtId="2" fontId="5" fillId="4" borderId="1" xfId="0" applyNumberFormat="1" applyFont="1" applyFill="1" applyBorder="1" applyAlignment="1">
      <alignment horizontal="center" vertical="center"/>
    </xf>
    <xf numFmtId="2" fontId="5" fillId="4" borderId="4" xfId="0" applyNumberFormat="1" applyFont="1" applyFill="1" applyBorder="1" applyAlignment="1">
      <alignment horizontal="center" vertical="center"/>
    </xf>
    <xf numFmtId="0" fontId="9" fillId="3" borderId="3" xfId="0" applyFont="1" applyFill="1" applyBorder="1" applyAlignment="1">
      <alignment horizontal="center" vertical="center"/>
    </xf>
    <xf numFmtId="165" fontId="5" fillId="4" borderId="3" xfId="0" applyNumberFormat="1" applyFont="1" applyFill="1" applyBorder="1" applyAlignment="1">
      <alignment horizontal="center" vertical="center"/>
    </xf>
    <xf numFmtId="165" fontId="5" fillId="4" borderId="1" xfId="0" applyNumberFormat="1" applyFont="1" applyFill="1" applyBorder="1" applyAlignment="1">
      <alignment horizontal="center" vertical="center"/>
    </xf>
    <xf numFmtId="165" fontId="5" fillId="4" borderId="7" xfId="0" applyNumberFormat="1" applyFont="1" applyFill="1" applyBorder="1" applyAlignment="1">
      <alignment horizontal="center" vertical="center"/>
    </xf>
    <xf numFmtId="165" fontId="5" fillId="4" borderId="8" xfId="0" applyNumberFormat="1" applyFont="1" applyFill="1" applyBorder="1" applyAlignment="1">
      <alignment horizontal="center" vertical="center"/>
    </xf>
    <xf numFmtId="167" fontId="5" fillId="4" borderId="1" xfId="0" applyNumberFormat="1" applyFont="1" applyFill="1" applyBorder="1" applyAlignment="1">
      <alignment horizontal="center" vertical="center"/>
    </xf>
    <xf numFmtId="167" fontId="5" fillId="4" borderId="8" xfId="0" applyNumberFormat="1" applyFont="1" applyFill="1" applyBorder="1" applyAlignment="1">
      <alignment horizontal="center" vertical="center"/>
    </xf>
    <xf numFmtId="0" fontId="5" fillId="4" borderId="3" xfId="0" applyFont="1" applyFill="1" applyBorder="1" applyAlignment="1">
      <alignment horizontal="center" vertical="center"/>
    </xf>
    <xf numFmtId="0" fontId="5" fillId="4" borderId="1" xfId="0" applyFont="1" applyFill="1" applyBorder="1" applyAlignment="1">
      <alignment horizontal="center" vertical="center"/>
    </xf>
    <xf numFmtId="166" fontId="5" fillId="4" borderId="1" xfId="0" applyNumberFormat="1" applyFont="1" applyFill="1" applyBorder="1" applyAlignment="1">
      <alignment horizontal="center" vertical="center"/>
    </xf>
    <xf numFmtId="0" fontId="9" fillId="3" borderId="15" xfId="0" applyFont="1" applyFill="1" applyBorder="1" applyAlignment="1">
      <alignment horizontal="center" vertical="center"/>
    </xf>
    <xf numFmtId="0" fontId="9" fillId="3" borderId="16" xfId="0" applyFont="1" applyFill="1" applyBorder="1" applyAlignment="1">
      <alignment horizontal="center" vertical="center"/>
    </xf>
    <xf numFmtId="165" fontId="6" fillId="4" borderId="3" xfId="0" applyNumberFormat="1" applyFont="1" applyFill="1" applyBorder="1" applyAlignment="1">
      <alignment horizontal="center"/>
    </xf>
    <xf numFmtId="165" fontId="6" fillId="4" borderId="1" xfId="0" applyNumberFormat="1" applyFont="1" applyFill="1" applyBorder="1" applyAlignment="1">
      <alignment horizontal="center"/>
    </xf>
    <xf numFmtId="165" fontId="6" fillId="4" borderId="1" xfId="0" applyNumberFormat="1" applyFont="1" applyFill="1" applyBorder="1" applyAlignment="1">
      <alignment horizontal="center" vertical="center"/>
    </xf>
    <xf numFmtId="0" fontId="9" fillId="3" borderId="17" xfId="0" applyFont="1" applyFill="1" applyBorder="1" applyAlignment="1">
      <alignment horizontal="center" vertical="center"/>
    </xf>
    <xf numFmtId="165" fontId="5" fillId="4" borderId="1" xfId="0" applyNumberFormat="1" applyFont="1" applyFill="1" applyBorder="1" applyAlignment="1">
      <alignment horizontal="center"/>
    </xf>
    <xf numFmtId="165" fontId="5" fillId="4" borderId="4" xfId="0" applyNumberFormat="1" applyFont="1" applyFill="1" applyBorder="1" applyAlignment="1">
      <alignment horizontal="center"/>
    </xf>
  </cellXfs>
  <cellStyles count="1">
    <cellStyle name="Normal" xfId="0" builtinId="0"/>
  </cellStyles>
  <dxfs count="12">
    <dxf>
      <numFmt numFmtId="165" formatCode="[&gt;=1000000]\$#,##0.0,,&quot;M&quot;;[&gt;=1000]\$#,##0.0,&quot;K&quot;;\$#,##0"/>
    </dxf>
    <dxf>
      <numFmt numFmtId="2" formatCode="0.0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2" formatCode="0.00"/>
    </dxf>
    <dxf>
      <numFmt numFmtId="165" formatCode="[&gt;=1000000]\$#,##0.0,,&quot;M&quot;;[&gt;=1000]\$#,##0.0,&quot;K&quot;;\$#,##0"/>
    </dxf>
    <dxf>
      <numFmt numFmtId="0" formatCode="General"/>
    </dxf>
    <dxf>
      <numFmt numFmtId="164" formatCode="yyyy\-mm\-dd\ hh:mm:ss"/>
    </dxf>
    <dxf>
      <numFmt numFmtId="164" formatCode="yyyy\-mm\-dd\ hh:mm:ss"/>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5" Type="http://schemas.openxmlformats.org/officeDocument/2006/relationships/customXml" Target="../customXml/item1.xml"/><Relationship Id="rId10" Type="http://schemas.microsoft.com/office/2007/relationships/slicerCache" Target="slicerCaches/slicerCache6.xml"/><Relationship Id="rId19" Type="http://schemas.openxmlformats.org/officeDocument/2006/relationships/customXml" Target="../customXml/item5.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Chain.xlsx]KPIS!PivotTable17</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dirty="0">
                <a:solidFill>
                  <a:sysClr val="windowText" lastClr="000000">
                    <a:lumMod val="65000"/>
                    <a:lumOff val="35000"/>
                  </a:sysClr>
                </a:solidFill>
              </a:rPr>
              <a:t>Orders by Ship Mode</a:t>
            </a:r>
            <a:r>
              <a:rPr lang="en-US" sz="1400" b="0" i="0" u="none" strike="noStrike" kern="1200" spc="0" baseline="0" dirty="0">
                <a:solidFill>
                  <a:sysClr val="windowText" lastClr="000000">
                    <a:lumMod val="65000"/>
                    <a:lumOff val="35000"/>
                  </a:sysClr>
                </a:solidFill>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KPIS!$N$7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AA-49CF-92B4-0E55F87F87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AA-49CF-92B4-0E55F87F875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DAA-49CF-92B4-0E55F87F875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KPIS!$M$8:$M$11</c:f>
              <c:strCache>
                <c:ptCount val="3"/>
                <c:pt idx="0">
                  <c:v>Express</c:v>
                </c:pt>
                <c:pt idx="1">
                  <c:v>Same-day</c:v>
                </c:pt>
                <c:pt idx="2">
                  <c:v>Standard</c:v>
                </c:pt>
              </c:strCache>
            </c:strRef>
          </c:cat>
          <c:val>
            <c:numRef>
              <c:f>KPIS!$N$8:$N$11</c:f>
              <c:numCache>
                <c:formatCode>General</c:formatCode>
                <c:ptCount val="3"/>
                <c:pt idx="0">
                  <c:v>285</c:v>
                </c:pt>
                <c:pt idx="1">
                  <c:v>88</c:v>
                </c:pt>
                <c:pt idx="2">
                  <c:v>627</c:v>
                </c:pt>
              </c:numCache>
            </c:numRef>
          </c:val>
          <c:extLst>
            <c:ext xmlns:c16="http://schemas.microsoft.com/office/drawing/2014/chart" uri="{C3380CC4-5D6E-409C-BE32-E72D297353CC}">
              <c16:uniqueId val="{00000006-2DAA-49CF-92B4-0E55F87F8750}"/>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Chain.xlsx]KPIS!PivotTable18</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Orders by Transport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barChart>
        <c:barDir val="bar"/>
        <c:grouping val="clustered"/>
        <c:varyColors val="1"/>
        <c:ser>
          <c:idx val="0"/>
          <c:order val="0"/>
          <c:tx>
            <c:strRef>
              <c:f>KPIS!$Q$7</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2CCD-44D9-89B7-C8608C67E219}"/>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2CCD-44D9-89B7-C8608C67E219}"/>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2CCD-44D9-89B7-C8608C67E219}"/>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2CCD-44D9-89B7-C8608C67E2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KPIS!$P$8:$P$12</c:f>
              <c:strCache>
                <c:ptCount val="4"/>
                <c:pt idx="0">
                  <c:v>Air</c:v>
                </c:pt>
                <c:pt idx="1">
                  <c:v>Rail</c:v>
                </c:pt>
                <c:pt idx="2">
                  <c:v>Road</c:v>
                </c:pt>
                <c:pt idx="3">
                  <c:v>Sea</c:v>
                </c:pt>
              </c:strCache>
            </c:strRef>
          </c:cat>
          <c:val>
            <c:numRef>
              <c:f>KPIS!$Q$8:$Q$12</c:f>
              <c:numCache>
                <c:formatCode>General</c:formatCode>
                <c:ptCount val="4"/>
                <c:pt idx="0">
                  <c:v>254</c:v>
                </c:pt>
                <c:pt idx="1">
                  <c:v>251</c:v>
                </c:pt>
                <c:pt idx="2">
                  <c:v>253</c:v>
                </c:pt>
                <c:pt idx="3">
                  <c:v>242</c:v>
                </c:pt>
              </c:numCache>
            </c:numRef>
          </c:val>
          <c:extLst>
            <c:ext xmlns:c16="http://schemas.microsoft.com/office/drawing/2014/chart" uri="{C3380CC4-5D6E-409C-BE32-E72D297353CC}">
              <c16:uniqueId val="{00000008-2CCD-44D9-89B7-C8608C67E219}"/>
            </c:ext>
          </c:extLst>
        </c:ser>
        <c:dLbls>
          <c:dLblPos val="outEnd"/>
          <c:showLegendKey val="0"/>
          <c:showVal val="1"/>
          <c:showCatName val="0"/>
          <c:showSerName val="0"/>
          <c:showPercent val="0"/>
          <c:showBubbleSize val="0"/>
        </c:dLbls>
        <c:gapWidth val="40"/>
        <c:axId val="1335414592"/>
        <c:axId val="1335415072"/>
      </c:barChart>
      <c:catAx>
        <c:axId val="13354145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415072"/>
        <c:crosses val="autoZero"/>
        <c:auto val="1"/>
        <c:lblAlgn val="ctr"/>
        <c:lblOffset val="100"/>
        <c:noMultiLvlLbl val="0"/>
      </c:catAx>
      <c:valAx>
        <c:axId val="1335415072"/>
        <c:scaling>
          <c:orientation val="minMax"/>
        </c:scaling>
        <c:delete val="1"/>
        <c:axPos val="b"/>
        <c:numFmt formatCode="General" sourceLinked="1"/>
        <c:majorTickMark val="none"/>
        <c:minorTickMark val="none"/>
        <c:tickLblPos val="nextTo"/>
        <c:crossAx val="1335414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Chain.xlsx]KPIS!PivotTable19</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Forecasted Vs Actual</a:t>
            </a:r>
            <a:r>
              <a:rPr lang="en-IN" b="1" baseline="0"/>
              <a:t> Demand</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gt;=1000000]\$#,##0.0,,&quot;M&quot;;[&gt;=10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0,,&quot;M&quot;;[&gt;=10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0,,&quot;M&quot;;[&gt;=10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gt;=1000000]\$#,##0.0,,&quot;M&quot;;[&gt;=10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gt;=1000000]\$#,##0.0,,&quot;M&quot;;[&gt;=10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gt;=1000000]\$#,##0.0,,&quot;M&quot;;[&gt;=10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8518518518518517"/>
          <c:w val="0.80816163604549429"/>
          <c:h val="0.71204505686789155"/>
        </c:manualLayout>
      </c:layout>
      <c:barChart>
        <c:barDir val="col"/>
        <c:grouping val="clustered"/>
        <c:varyColors val="0"/>
        <c:ser>
          <c:idx val="0"/>
          <c:order val="0"/>
          <c:tx>
            <c:strRef>
              <c:f>KPIS!$N$14</c:f>
              <c:strCache>
                <c:ptCount val="1"/>
                <c:pt idx="0">
                  <c:v>Forecasted Demand</c:v>
                </c:pt>
              </c:strCache>
            </c:strRef>
          </c:tx>
          <c:spPr>
            <a:solidFill>
              <a:schemeClr val="accent1"/>
            </a:solidFill>
            <a:ln>
              <a:noFill/>
            </a:ln>
            <a:effectLst/>
          </c:spPr>
          <c:invertIfNegative val="0"/>
          <c:dLbls>
            <c:numFmt formatCode="[&gt;=1000000]\$#,##0.0,,&quot;M&quot;;[&gt;=10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KPIS!$M$15:$M$18</c:f>
              <c:strCache>
                <c:ptCount val="3"/>
                <c:pt idx="0">
                  <c:v>Furniture</c:v>
                </c:pt>
                <c:pt idx="1">
                  <c:v>Office Supplies</c:v>
                </c:pt>
                <c:pt idx="2">
                  <c:v>Technology</c:v>
                </c:pt>
              </c:strCache>
            </c:strRef>
          </c:cat>
          <c:val>
            <c:numRef>
              <c:f>KPIS!$N$15:$N$18</c:f>
              <c:numCache>
                <c:formatCode>General</c:formatCode>
                <c:ptCount val="3"/>
                <c:pt idx="0">
                  <c:v>58528</c:v>
                </c:pt>
                <c:pt idx="1">
                  <c:v>171212</c:v>
                </c:pt>
                <c:pt idx="2">
                  <c:v>47879</c:v>
                </c:pt>
              </c:numCache>
            </c:numRef>
          </c:val>
          <c:extLst>
            <c:ext xmlns:c16="http://schemas.microsoft.com/office/drawing/2014/chart" uri="{C3380CC4-5D6E-409C-BE32-E72D297353CC}">
              <c16:uniqueId val="{00000000-2033-474B-B0B8-3C6E8D1E5874}"/>
            </c:ext>
          </c:extLst>
        </c:ser>
        <c:ser>
          <c:idx val="1"/>
          <c:order val="1"/>
          <c:tx>
            <c:strRef>
              <c:f>KPIS!$O$14</c:f>
              <c:strCache>
                <c:ptCount val="1"/>
                <c:pt idx="0">
                  <c:v>Actual Demand</c:v>
                </c:pt>
              </c:strCache>
            </c:strRef>
          </c:tx>
          <c:spPr>
            <a:solidFill>
              <a:schemeClr val="accent2"/>
            </a:solidFill>
            <a:ln>
              <a:noFill/>
            </a:ln>
            <a:effectLst/>
          </c:spPr>
          <c:invertIfNegative val="0"/>
          <c:dLbls>
            <c:numFmt formatCode="[&gt;=1000000]\$#,##0.0,,&quot;M&quot;;[&gt;=10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KPIS!$M$15:$M$18</c:f>
              <c:strCache>
                <c:ptCount val="3"/>
                <c:pt idx="0">
                  <c:v>Furniture</c:v>
                </c:pt>
                <c:pt idx="1">
                  <c:v>Office Supplies</c:v>
                </c:pt>
                <c:pt idx="2">
                  <c:v>Technology</c:v>
                </c:pt>
              </c:strCache>
            </c:strRef>
          </c:cat>
          <c:val>
            <c:numRef>
              <c:f>KPIS!$O$15:$O$18</c:f>
              <c:numCache>
                <c:formatCode>General</c:formatCode>
                <c:ptCount val="3"/>
                <c:pt idx="0">
                  <c:v>58642</c:v>
                </c:pt>
                <c:pt idx="1">
                  <c:v>170884</c:v>
                </c:pt>
                <c:pt idx="2">
                  <c:v>47257</c:v>
                </c:pt>
              </c:numCache>
            </c:numRef>
          </c:val>
          <c:extLst>
            <c:ext xmlns:c16="http://schemas.microsoft.com/office/drawing/2014/chart" uri="{C3380CC4-5D6E-409C-BE32-E72D297353CC}">
              <c16:uniqueId val="{00000001-2033-474B-B0B8-3C6E8D1E5874}"/>
            </c:ext>
          </c:extLst>
        </c:ser>
        <c:dLbls>
          <c:showLegendKey val="0"/>
          <c:showVal val="0"/>
          <c:showCatName val="0"/>
          <c:showSerName val="0"/>
          <c:showPercent val="0"/>
          <c:showBubbleSize val="0"/>
        </c:dLbls>
        <c:gapWidth val="100"/>
        <c:overlap val="-27"/>
        <c:axId val="1335368032"/>
        <c:axId val="1335371872"/>
      </c:barChart>
      <c:catAx>
        <c:axId val="13353680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371872"/>
        <c:crosses val="autoZero"/>
        <c:auto val="1"/>
        <c:lblAlgn val="ctr"/>
        <c:lblOffset val="100"/>
        <c:noMultiLvlLbl val="0"/>
      </c:catAx>
      <c:valAx>
        <c:axId val="1335371872"/>
        <c:scaling>
          <c:orientation val="minMax"/>
        </c:scaling>
        <c:delete val="1"/>
        <c:axPos val="l"/>
        <c:numFmt formatCode="General" sourceLinked="1"/>
        <c:majorTickMark val="out"/>
        <c:minorTickMark val="none"/>
        <c:tickLblPos val="nextTo"/>
        <c:crossAx val="1335368032"/>
        <c:crosses val="autoZero"/>
        <c:crossBetween val="between"/>
      </c:valAx>
      <c:spPr>
        <a:noFill/>
        <a:ln>
          <a:noFill/>
        </a:ln>
        <a:effectLst/>
      </c:spPr>
    </c:plotArea>
    <c:legend>
      <c:legendPos val="r"/>
      <c:layout>
        <c:manualLayout>
          <c:xMode val="edge"/>
          <c:yMode val="edge"/>
          <c:x val="0.81927274715660536"/>
          <c:y val="0.51909667541557314"/>
          <c:w val="0.15850503062117235"/>
          <c:h val="0.364584426946631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Chain.xlsx]KPIS!PivotTable21</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Orders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KPIS!$X$1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KPIS!$W$2:$W$8</c:f>
              <c:strCache>
                <c:ptCount val="6"/>
                <c:pt idx="0">
                  <c:v>2020</c:v>
                </c:pt>
                <c:pt idx="1">
                  <c:v>2021</c:v>
                </c:pt>
                <c:pt idx="2">
                  <c:v>2022</c:v>
                </c:pt>
                <c:pt idx="3">
                  <c:v>2023</c:v>
                </c:pt>
                <c:pt idx="4">
                  <c:v>2024</c:v>
                </c:pt>
                <c:pt idx="5">
                  <c:v>2025</c:v>
                </c:pt>
              </c:strCache>
            </c:strRef>
          </c:cat>
          <c:val>
            <c:numRef>
              <c:f>KPIS!$X$2:$X$8</c:f>
              <c:numCache>
                <c:formatCode>General</c:formatCode>
                <c:ptCount val="6"/>
                <c:pt idx="0">
                  <c:v>221</c:v>
                </c:pt>
                <c:pt idx="1">
                  <c:v>183</c:v>
                </c:pt>
                <c:pt idx="2">
                  <c:v>199</c:v>
                </c:pt>
                <c:pt idx="3">
                  <c:v>200</c:v>
                </c:pt>
                <c:pt idx="4">
                  <c:v>194</c:v>
                </c:pt>
                <c:pt idx="5">
                  <c:v>3</c:v>
                </c:pt>
              </c:numCache>
            </c:numRef>
          </c:val>
          <c:smooth val="0"/>
          <c:extLst>
            <c:ext xmlns:c16="http://schemas.microsoft.com/office/drawing/2014/chart" uri="{C3380CC4-5D6E-409C-BE32-E72D297353CC}">
              <c16:uniqueId val="{00000000-03C4-4894-9E07-6E2D32A4104D}"/>
            </c:ext>
          </c:extLst>
        </c:ser>
        <c:dLbls>
          <c:dLblPos val="t"/>
          <c:showLegendKey val="0"/>
          <c:showVal val="1"/>
          <c:showCatName val="0"/>
          <c:showSerName val="0"/>
          <c:showPercent val="0"/>
          <c:showBubbleSize val="0"/>
        </c:dLbls>
        <c:smooth val="0"/>
        <c:axId val="1253960064"/>
        <c:axId val="1253958144"/>
      </c:lineChart>
      <c:catAx>
        <c:axId val="12539600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958144"/>
        <c:crosses val="autoZero"/>
        <c:auto val="1"/>
        <c:lblAlgn val="ctr"/>
        <c:lblOffset val="100"/>
        <c:noMultiLvlLbl val="0"/>
      </c:catAx>
      <c:valAx>
        <c:axId val="1253958144"/>
        <c:scaling>
          <c:orientation val="minMax"/>
        </c:scaling>
        <c:delete val="1"/>
        <c:axPos val="l"/>
        <c:numFmt formatCode="General" sourceLinked="1"/>
        <c:majorTickMark val="none"/>
        <c:minorTickMark val="none"/>
        <c:tickLblPos val="nextTo"/>
        <c:crossAx val="125396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Chain.xlsx]KPIS!PivotTable22</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 5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1"/>
          </a:solidFill>
          <a:ln w="19050">
            <a:solidFill>
              <a:schemeClr val="lt1"/>
            </a:solidFill>
          </a:ln>
          <a:effectLst/>
        </c:spPr>
        <c:dLbl>
          <c:idx val="0"/>
          <c:layout>
            <c:manualLayout>
              <c:x val="0.14444444444444435"/>
              <c:y val="-0.13425925925925927"/>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2"/>
          </a:solidFill>
          <a:ln w="19050">
            <a:solidFill>
              <a:schemeClr val="lt1"/>
            </a:solidFill>
          </a:ln>
          <a:effectLst/>
        </c:spPr>
        <c:dLbl>
          <c:idx val="0"/>
          <c:layout>
            <c:manualLayout>
              <c:x val="0.13888888888888878"/>
              <c:y val="9.2592592592592587E-3"/>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3"/>
          </a:solidFill>
          <a:ln w="19050">
            <a:solidFill>
              <a:schemeClr val="lt1"/>
            </a:solidFill>
          </a:ln>
          <a:effectLst/>
        </c:spPr>
        <c:dLbl>
          <c:idx val="0"/>
          <c:layout>
            <c:manualLayout>
              <c:x val="0.11666666666666657"/>
              <c:y val="0.1111111111111111"/>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4"/>
          </a:solidFill>
          <a:ln w="19050">
            <a:solidFill>
              <a:schemeClr val="lt1"/>
            </a:solidFill>
          </a:ln>
          <a:effectLst/>
        </c:spPr>
        <c:dLbl>
          <c:idx val="0"/>
          <c:layout>
            <c:manualLayout>
              <c:x val="-0.20555555555555557"/>
              <c:y val="4.629629629629621E-2"/>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5"/>
          </a:solidFill>
          <a:ln w="19050">
            <a:solidFill>
              <a:schemeClr val="lt1"/>
            </a:solidFill>
          </a:ln>
          <a:effectLst/>
        </c:spPr>
        <c:dLbl>
          <c:idx val="0"/>
          <c:layout>
            <c:manualLayout>
              <c:x val="-0.10555555555555558"/>
              <c:y val="-0.11574074074074078"/>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6"/>
          </a:solidFill>
          <a:ln w="19050">
            <a:solidFill>
              <a:schemeClr val="lt1"/>
            </a:solidFill>
          </a:ln>
          <a:effectLst/>
        </c:spPr>
        <c:dLbl>
          <c:idx val="0"/>
          <c:layout>
            <c:manualLayout>
              <c:x val="-6.1111111111111109E-2"/>
              <c:y val="-0.12037037037037039"/>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1"/>
          </a:solidFill>
          <a:ln w="19050">
            <a:solidFill>
              <a:schemeClr val="lt1"/>
            </a:solidFill>
          </a:ln>
          <a:effectLst/>
        </c:spPr>
        <c:dLbl>
          <c:idx val="0"/>
          <c:layout>
            <c:manualLayout>
              <c:x val="0.14444444444444435"/>
              <c:y val="-0.13425925925925927"/>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accent1"/>
          </a:solidFill>
          <a:ln w="19050">
            <a:solidFill>
              <a:schemeClr val="lt1"/>
            </a:solidFill>
          </a:ln>
          <a:effectLst/>
        </c:spPr>
        <c:dLbl>
          <c:idx val="0"/>
          <c:layout>
            <c:manualLayout>
              <c:x val="0.13888888888888878"/>
              <c:y val="9.2592592592592587E-3"/>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1"/>
          </a:solidFill>
          <a:ln w="19050">
            <a:solidFill>
              <a:schemeClr val="lt1"/>
            </a:solidFill>
          </a:ln>
          <a:effectLst/>
        </c:spPr>
        <c:dLbl>
          <c:idx val="0"/>
          <c:layout>
            <c:manualLayout>
              <c:x val="0.11666666666666657"/>
              <c:y val="0.1111111111111111"/>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1"/>
          </a:solidFill>
          <a:ln w="19050">
            <a:solidFill>
              <a:schemeClr val="lt1"/>
            </a:solidFill>
          </a:ln>
          <a:effectLst/>
        </c:spPr>
        <c:dLbl>
          <c:idx val="0"/>
          <c:layout>
            <c:manualLayout>
              <c:x val="-0.20555555555555557"/>
              <c:y val="4.629629629629621E-2"/>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accent1"/>
          </a:solidFill>
          <a:ln w="19050">
            <a:solidFill>
              <a:schemeClr val="lt1"/>
            </a:solidFill>
          </a:ln>
          <a:effectLst/>
        </c:spPr>
        <c:dLbl>
          <c:idx val="0"/>
          <c:layout>
            <c:manualLayout>
              <c:x val="-0.10555555555555558"/>
              <c:y val="-0.11574074074074078"/>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chemeClr val="accent1"/>
          </a:solidFill>
          <a:ln w="19050">
            <a:solidFill>
              <a:schemeClr val="lt1"/>
            </a:solidFill>
          </a:ln>
          <a:effectLst/>
        </c:spPr>
        <c:dLbl>
          <c:idx val="0"/>
          <c:layout>
            <c:manualLayout>
              <c:x val="-6.1111111111111109E-2"/>
              <c:y val="-0.12037037037037039"/>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chemeClr val="accent1"/>
          </a:solidFill>
          <a:ln w="19050">
            <a:solidFill>
              <a:schemeClr val="lt1"/>
            </a:solidFill>
          </a:ln>
          <a:effectLst/>
        </c:spPr>
        <c:dLbl>
          <c:idx val="0"/>
          <c:layout>
            <c:manualLayout>
              <c:x val="0.14444444444444435"/>
              <c:y val="-0.13425925925925927"/>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chemeClr val="accent1"/>
          </a:solidFill>
          <a:ln w="19050">
            <a:solidFill>
              <a:schemeClr val="lt1"/>
            </a:solidFill>
          </a:ln>
          <a:effectLst/>
        </c:spPr>
        <c:dLbl>
          <c:idx val="0"/>
          <c:layout>
            <c:manualLayout>
              <c:x val="0.13888888888888878"/>
              <c:y val="9.2592592592592587E-3"/>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solidFill>
            <a:schemeClr val="accent1"/>
          </a:solidFill>
          <a:ln w="19050">
            <a:solidFill>
              <a:schemeClr val="lt1"/>
            </a:solidFill>
          </a:ln>
          <a:effectLst/>
        </c:spPr>
        <c:dLbl>
          <c:idx val="0"/>
          <c:layout>
            <c:manualLayout>
              <c:x val="0.11666666666666657"/>
              <c:y val="0.1111111111111111"/>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solidFill>
            <a:schemeClr val="accent1"/>
          </a:solidFill>
          <a:ln w="19050">
            <a:solidFill>
              <a:schemeClr val="lt1"/>
            </a:solidFill>
          </a:ln>
          <a:effectLst/>
        </c:spPr>
        <c:dLbl>
          <c:idx val="0"/>
          <c:layout>
            <c:manualLayout>
              <c:x val="-0.20555555555555557"/>
              <c:y val="4.629629629629621E-2"/>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spPr>
          <a:solidFill>
            <a:schemeClr val="accent1"/>
          </a:solidFill>
          <a:ln w="19050">
            <a:solidFill>
              <a:schemeClr val="lt1"/>
            </a:solidFill>
          </a:ln>
          <a:effectLst/>
        </c:spPr>
        <c:dLbl>
          <c:idx val="0"/>
          <c:layout>
            <c:manualLayout>
              <c:x val="-0.10555555555555558"/>
              <c:y val="-0.11574074074074078"/>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0"/>
        <c:spPr>
          <a:solidFill>
            <a:schemeClr val="accent1"/>
          </a:solidFill>
          <a:ln w="19050">
            <a:solidFill>
              <a:schemeClr val="lt1"/>
            </a:solidFill>
          </a:ln>
          <a:effectLst/>
        </c:spPr>
        <c:dLbl>
          <c:idx val="0"/>
          <c:layout>
            <c:manualLayout>
              <c:x val="-6.1111111111111109E-2"/>
              <c:y val="-0.12037037037037039"/>
            </c:manualLayout>
          </c:layout>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doughnutChart>
        <c:varyColors val="1"/>
        <c:ser>
          <c:idx val="0"/>
          <c:order val="0"/>
          <c:tx>
            <c:strRef>
              <c:f>KPIS!$K$9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BCA-45CB-8EE1-A059A756607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BCA-45CB-8EE1-A059A756607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BCA-45CB-8EE1-A059A756607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BCA-45CB-8EE1-A059A756607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BCA-45CB-8EE1-A059A756607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BCA-45CB-8EE1-A059A756607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0F4-4EDF-AE11-5150374AFD2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0F4-4EDF-AE11-5150374AFD2D}"/>
              </c:ext>
            </c:extLst>
          </c:dPt>
          <c:dLbls>
            <c:dLbl>
              <c:idx val="0"/>
              <c:layout>
                <c:manualLayout>
                  <c:x val="0.14444444444444435"/>
                  <c:y val="-0.13425925925925927"/>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EBCA-45CB-8EE1-A059A7566078}"/>
                </c:ext>
              </c:extLst>
            </c:dLbl>
            <c:dLbl>
              <c:idx val="1"/>
              <c:layout>
                <c:manualLayout>
                  <c:x val="0.13888888888888878"/>
                  <c:y val="9.2592592592592587E-3"/>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EBCA-45CB-8EE1-A059A7566078}"/>
                </c:ext>
              </c:extLst>
            </c:dLbl>
            <c:dLbl>
              <c:idx val="2"/>
              <c:layout>
                <c:manualLayout>
                  <c:x val="-0.20555555555555557"/>
                  <c:y val="4.629629629629621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EBCA-45CB-8EE1-A059A7566078}"/>
                </c:ext>
              </c:extLst>
            </c:dLbl>
            <c:dLbl>
              <c:idx val="3"/>
              <c:layout>
                <c:manualLayout>
                  <c:x val="0.11666666666666657"/>
                  <c:y val="0.1111111111111111"/>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EBCA-45CB-8EE1-A059A7566078}"/>
                </c:ext>
              </c:extLst>
            </c:dLbl>
            <c:dLbl>
              <c:idx val="4"/>
              <c:layout>
                <c:manualLayout>
                  <c:x val="-0.10555555555555558"/>
                  <c:y val="-0.11574074074074078"/>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EBCA-45CB-8EE1-A059A7566078}"/>
                </c:ext>
              </c:extLst>
            </c:dLbl>
            <c:dLbl>
              <c:idx val="5"/>
              <c:layout>
                <c:manualLayout>
                  <c:x val="-6.1111111111111109E-2"/>
                  <c:y val="-0.12037037037037039"/>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B-EBCA-45CB-8EE1-A059A7566078}"/>
                </c:ext>
              </c:extLst>
            </c:dLbl>
            <c:spPr>
              <a:no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KPIS!$J$10:$J$18</c:f>
              <c:strCache>
                <c:ptCount val="8"/>
                <c:pt idx="0">
                  <c:v>Berlin</c:v>
                </c:pt>
                <c:pt idx="1">
                  <c:v>New York</c:v>
                </c:pt>
                <c:pt idx="2">
                  <c:v>Beijing</c:v>
                </c:pt>
                <c:pt idx="3">
                  <c:v>São Paulo</c:v>
                </c:pt>
                <c:pt idx="4">
                  <c:v>Toronto</c:v>
                </c:pt>
                <c:pt idx="5">
                  <c:v>London</c:v>
                </c:pt>
                <c:pt idx="6">
                  <c:v>Cape Town</c:v>
                </c:pt>
                <c:pt idx="7">
                  <c:v>Mumbai</c:v>
                </c:pt>
              </c:strCache>
            </c:strRef>
          </c:cat>
          <c:val>
            <c:numRef>
              <c:f>KPIS!$K$10:$K$18</c:f>
              <c:numCache>
                <c:formatCode>General</c:formatCode>
                <c:ptCount val="8"/>
                <c:pt idx="0">
                  <c:v>138</c:v>
                </c:pt>
                <c:pt idx="1">
                  <c:v>132</c:v>
                </c:pt>
                <c:pt idx="2">
                  <c:v>128</c:v>
                </c:pt>
                <c:pt idx="3">
                  <c:v>128</c:v>
                </c:pt>
                <c:pt idx="4">
                  <c:v>126</c:v>
                </c:pt>
                <c:pt idx="5">
                  <c:v>126</c:v>
                </c:pt>
                <c:pt idx="6">
                  <c:v>117</c:v>
                </c:pt>
                <c:pt idx="7">
                  <c:v>105</c:v>
                </c:pt>
              </c:numCache>
            </c:numRef>
          </c:val>
          <c:extLst>
            <c:ext xmlns:c16="http://schemas.microsoft.com/office/drawing/2014/chart" uri="{C3380CC4-5D6E-409C-BE32-E72D297353CC}">
              <c16:uniqueId val="{0000000C-EBCA-45CB-8EE1-A059A7566078}"/>
            </c:ext>
          </c:extLst>
        </c:ser>
        <c:dLbls>
          <c:showLegendKey val="0"/>
          <c:showVal val="1"/>
          <c:showCatName val="0"/>
          <c:showSerName val="0"/>
          <c:showPercent val="0"/>
          <c:showBubbleSize val="0"/>
          <c:showLeaderLines val="1"/>
        </c:dLbls>
        <c:firstSliceAng val="0"/>
        <c:holeSize val="47"/>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10</xdr:col>
      <xdr:colOff>0</xdr:colOff>
      <xdr:row>16</xdr:row>
      <xdr:rowOff>0</xdr:rowOff>
    </xdr:to>
    <xdr:graphicFrame macro="">
      <xdr:nvGraphicFramePr>
        <xdr:cNvPr id="6" name="Chart 5">
          <a:extLst>
            <a:ext uri="{FF2B5EF4-FFF2-40B4-BE49-F238E27FC236}">
              <a16:creationId xmlns:a16="http://schemas.microsoft.com/office/drawing/2014/main" id="{6003F5F0-7BF7-4FFD-9641-0AE80E376A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448234</xdr:colOff>
      <xdr:row>16</xdr:row>
      <xdr:rowOff>0</xdr:rowOff>
    </xdr:from>
    <xdr:to>
      <xdr:col>23</xdr:col>
      <xdr:colOff>0</xdr:colOff>
      <xdr:row>24</xdr:row>
      <xdr:rowOff>0</xdr:rowOff>
    </xdr:to>
    <xdr:graphicFrame macro="">
      <xdr:nvGraphicFramePr>
        <xdr:cNvPr id="7" name="Chart 6">
          <a:extLst>
            <a:ext uri="{FF2B5EF4-FFF2-40B4-BE49-F238E27FC236}">
              <a16:creationId xmlns:a16="http://schemas.microsoft.com/office/drawing/2014/main" id="{40D17C76-076B-4EF1-9F02-BE1E80D857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143434</xdr:colOff>
      <xdr:row>16</xdr:row>
      <xdr:rowOff>0</xdr:rowOff>
    </xdr:from>
    <xdr:to>
      <xdr:col>14</xdr:col>
      <xdr:colOff>448234</xdr:colOff>
      <xdr:row>32</xdr:row>
      <xdr:rowOff>25998</xdr:rowOff>
    </xdr:to>
    <xdr:graphicFrame macro="">
      <xdr:nvGraphicFramePr>
        <xdr:cNvPr id="8" name="Chart 7">
          <a:extLst>
            <a:ext uri="{FF2B5EF4-FFF2-40B4-BE49-F238E27FC236}">
              <a16:creationId xmlns:a16="http://schemas.microsoft.com/office/drawing/2014/main" id="{7734559D-0C25-4AF5-89A7-F81A72F5AB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448234</xdr:colOff>
      <xdr:row>23</xdr:row>
      <xdr:rowOff>179293</xdr:rowOff>
    </xdr:from>
    <xdr:to>
      <xdr:col>23</xdr:col>
      <xdr:colOff>0</xdr:colOff>
      <xdr:row>32</xdr:row>
      <xdr:rowOff>25997</xdr:rowOff>
    </xdr:to>
    <xdr:graphicFrame macro="">
      <xdr:nvGraphicFramePr>
        <xdr:cNvPr id="9" name="Chart 8">
          <a:extLst>
            <a:ext uri="{FF2B5EF4-FFF2-40B4-BE49-F238E27FC236}">
              <a16:creationId xmlns:a16="http://schemas.microsoft.com/office/drawing/2014/main" id="{3CB3E232-84A1-4AD2-821B-490F35FAAE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16</xdr:row>
      <xdr:rowOff>0</xdr:rowOff>
    </xdr:from>
    <xdr:to>
      <xdr:col>6</xdr:col>
      <xdr:colOff>143434</xdr:colOff>
      <xdr:row>32</xdr:row>
      <xdr:rowOff>25997</xdr:rowOff>
    </xdr:to>
    <xdr:graphicFrame macro="">
      <xdr:nvGraphicFramePr>
        <xdr:cNvPr id="10" name="Chart 9">
          <a:extLst>
            <a:ext uri="{FF2B5EF4-FFF2-40B4-BE49-F238E27FC236}">
              <a16:creationId xmlns:a16="http://schemas.microsoft.com/office/drawing/2014/main" id="{3EB29B45-1C78-4211-8B4A-FA1E83B169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0</xdr:colOff>
      <xdr:row>4</xdr:row>
      <xdr:rowOff>8965</xdr:rowOff>
    </xdr:from>
    <xdr:to>
      <xdr:col>25</xdr:col>
      <xdr:colOff>484094</xdr:colOff>
      <xdr:row>11</xdr:row>
      <xdr:rowOff>71717</xdr:rowOff>
    </xdr:to>
    <mc:AlternateContent xmlns:mc="http://schemas.openxmlformats.org/markup-compatibility/2006" xmlns:a14="http://schemas.microsoft.com/office/drawing/2010/main">
      <mc:Choice Requires="a14">
        <xdr:graphicFrame macro="">
          <xdr:nvGraphicFramePr>
            <xdr:cNvPr id="20" name="Ship_Mode">
              <a:extLst>
                <a:ext uri="{FF2B5EF4-FFF2-40B4-BE49-F238E27FC236}">
                  <a16:creationId xmlns:a16="http://schemas.microsoft.com/office/drawing/2014/main" id="{4A0B4DCC-6A68-484F-AB06-6A4803F4AFB0}"/>
                </a:ext>
              </a:extLst>
            </xdr:cNvPr>
            <xdr:cNvGraphicFramePr/>
          </xdr:nvGraphicFramePr>
          <xdr:xfrm>
            <a:off x="0" y="0"/>
            <a:ext cx="0" cy="0"/>
          </xdr:xfrm>
          <a:graphic>
            <a:graphicData uri="http://schemas.microsoft.com/office/drawing/2010/slicer">
              <sle:slicer xmlns:sle="http://schemas.microsoft.com/office/drawing/2010/slicer" name="Ship_Mode"/>
            </a:graphicData>
          </a:graphic>
        </xdr:graphicFrame>
      </mc:Choice>
      <mc:Fallback xmlns="">
        <xdr:sp macro="" textlink="">
          <xdr:nvSpPr>
            <xdr:cNvPr id="0" name=""/>
            <xdr:cNvSpPr>
              <a:spLocks noTextEdit="1"/>
            </xdr:cNvSpPr>
          </xdr:nvSpPr>
          <xdr:spPr>
            <a:xfrm>
              <a:off x="12918141" y="735106"/>
              <a:ext cx="1828800" cy="13178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484094</xdr:colOff>
      <xdr:row>4</xdr:row>
      <xdr:rowOff>8965</xdr:rowOff>
    </xdr:from>
    <xdr:to>
      <xdr:col>28</xdr:col>
      <xdr:colOff>394446</xdr:colOff>
      <xdr:row>11</xdr:row>
      <xdr:rowOff>71717</xdr:rowOff>
    </xdr:to>
    <mc:AlternateContent xmlns:mc="http://schemas.openxmlformats.org/markup-compatibility/2006" xmlns:a14="http://schemas.microsoft.com/office/drawing/2010/main">
      <mc:Choice Requires="a14">
        <xdr:graphicFrame macro="">
          <xdr:nvGraphicFramePr>
            <xdr:cNvPr id="21" name="Category">
              <a:extLst>
                <a:ext uri="{FF2B5EF4-FFF2-40B4-BE49-F238E27FC236}">
                  <a16:creationId xmlns:a16="http://schemas.microsoft.com/office/drawing/2014/main" id="{401E8E20-47A0-43CE-B60E-562C1A3F8A9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746941" y="735106"/>
              <a:ext cx="1927411" cy="13178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71717</xdr:rowOff>
    </xdr:from>
    <xdr:to>
      <xdr:col>25</xdr:col>
      <xdr:colOff>484094</xdr:colOff>
      <xdr:row>21</xdr:row>
      <xdr:rowOff>98612</xdr:rowOff>
    </xdr:to>
    <mc:AlternateContent xmlns:mc="http://schemas.openxmlformats.org/markup-compatibility/2006" xmlns:a14="http://schemas.microsoft.com/office/drawing/2010/main">
      <mc:Choice Requires="a14">
        <xdr:graphicFrame macro="">
          <xdr:nvGraphicFramePr>
            <xdr:cNvPr id="22" name="Supplier_Name">
              <a:extLst>
                <a:ext uri="{FF2B5EF4-FFF2-40B4-BE49-F238E27FC236}">
                  <a16:creationId xmlns:a16="http://schemas.microsoft.com/office/drawing/2014/main" id="{53086C21-3720-4619-9D0B-F6B5C3E2D330}"/>
                </a:ext>
              </a:extLst>
            </xdr:cNvPr>
            <xdr:cNvGraphicFramePr/>
          </xdr:nvGraphicFramePr>
          <xdr:xfrm>
            <a:off x="0" y="0"/>
            <a:ext cx="0" cy="0"/>
          </xdr:xfrm>
          <a:graphic>
            <a:graphicData uri="http://schemas.microsoft.com/office/drawing/2010/slicer">
              <sle:slicer xmlns:sle="http://schemas.microsoft.com/office/drawing/2010/slicer" name="Supplier_Name"/>
            </a:graphicData>
          </a:graphic>
        </xdr:graphicFrame>
      </mc:Choice>
      <mc:Fallback xmlns="">
        <xdr:sp macro="" textlink="">
          <xdr:nvSpPr>
            <xdr:cNvPr id="0" name=""/>
            <xdr:cNvSpPr>
              <a:spLocks noTextEdit="1"/>
            </xdr:cNvSpPr>
          </xdr:nvSpPr>
          <xdr:spPr>
            <a:xfrm>
              <a:off x="12918141" y="2052917"/>
              <a:ext cx="1828800" cy="18198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484094</xdr:colOff>
      <xdr:row>11</xdr:row>
      <xdr:rowOff>71716</xdr:rowOff>
    </xdr:from>
    <xdr:to>
      <xdr:col>28</xdr:col>
      <xdr:colOff>376517</xdr:colOff>
      <xdr:row>21</xdr:row>
      <xdr:rowOff>89646</xdr:rowOff>
    </xdr:to>
    <mc:AlternateContent xmlns:mc="http://schemas.openxmlformats.org/markup-compatibility/2006" xmlns:a14="http://schemas.microsoft.com/office/drawing/2010/main">
      <mc:Choice Requires="a14">
        <xdr:graphicFrame macro="">
          <xdr:nvGraphicFramePr>
            <xdr:cNvPr id="23" name="Region">
              <a:extLst>
                <a:ext uri="{FF2B5EF4-FFF2-40B4-BE49-F238E27FC236}">
                  <a16:creationId xmlns:a16="http://schemas.microsoft.com/office/drawing/2014/main" id="{950BD33F-F7A0-4DE7-AA83-83D1D975DF9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746941" y="2052916"/>
              <a:ext cx="1909482" cy="18108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21</xdr:row>
      <xdr:rowOff>89647</xdr:rowOff>
    </xdr:from>
    <xdr:to>
      <xdr:col>25</xdr:col>
      <xdr:colOff>484094</xdr:colOff>
      <xdr:row>32</xdr:row>
      <xdr:rowOff>25998</xdr:rowOff>
    </xdr:to>
    <mc:AlternateContent xmlns:mc="http://schemas.openxmlformats.org/markup-compatibility/2006" xmlns:a14="http://schemas.microsoft.com/office/drawing/2010/main">
      <mc:Choice Requires="a14">
        <xdr:graphicFrame macro="">
          <xdr:nvGraphicFramePr>
            <xdr:cNvPr id="24" name="City">
              <a:extLst>
                <a:ext uri="{FF2B5EF4-FFF2-40B4-BE49-F238E27FC236}">
                  <a16:creationId xmlns:a16="http://schemas.microsoft.com/office/drawing/2014/main" id="{8BB38E12-5D00-46F4-8276-4E40DB45035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2918141" y="3863788"/>
              <a:ext cx="1828800" cy="19085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484093</xdr:colOff>
      <xdr:row>21</xdr:row>
      <xdr:rowOff>89646</xdr:rowOff>
    </xdr:from>
    <xdr:to>
      <xdr:col>28</xdr:col>
      <xdr:colOff>376517</xdr:colOff>
      <xdr:row>32</xdr:row>
      <xdr:rowOff>25997</xdr:rowOff>
    </xdr:to>
    <mc:AlternateContent xmlns:mc="http://schemas.openxmlformats.org/markup-compatibility/2006" xmlns:a14="http://schemas.microsoft.com/office/drawing/2010/main">
      <mc:Choice Requires="a14">
        <xdr:graphicFrame macro="">
          <xdr:nvGraphicFramePr>
            <xdr:cNvPr id="25" name="Country">
              <a:extLst>
                <a:ext uri="{FF2B5EF4-FFF2-40B4-BE49-F238E27FC236}">
                  <a16:creationId xmlns:a16="http://schemas.microsoft.com/office/drawing/2014/main" id="{F54351DF-1CC0-4CD6-8BD5-07FCEEB7786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4746940" y="3863787"/>
              <a:ext cx="1909483" cy="19085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ran Inamdar" refreshedDate="46030.731819212961" createdVersion="8" refreshedVersion="8" minRefreshableVersion="3" recordCount="1000" xr:uid="{31C5C690-788C-4EC0-9438-87C0B0A74793}">
  <cacheSource type="worksheet">
    <worksheetSource name="Supply_Chain"/>
  </cacheSource>
  <cacheFields count="37">
    <cacheField name="Order_ID" numFmtId="0">
      <sharedItems count="1000">
        <s v="O1000000"/>
        <s v="O1000001"/>
        <s v="O1000002"/>
        <s v="O1000003"/>
        <s v="O1000004"/>
        <s v="O1000005"/>
        <s v="O1000006"/>
        <s v="O1000007"/>
        <s v="O1000008"/>
        <s v="O1000009"/>
        <s v="O1000010"/>
        <s v="O1000011"/>
        <s v="O1000012"/>
        <s v="O1000013"/>
        <s v="O1000014"/>
        <s v="O1000015"/>
        <s v="O1000016"/>
        <s v="O1000017"/>
        <s v="O1000018"/>
        <s v="O1000019"/>
        <s v="O1000020"/>
        <s v="O1000021"/>
        <s v="O1000022"/>
        <s v="O1000023"/>
        <s v="O1000024"/>
        <s v="O1000025"/>
        <s v="O1000026"/>
        <s v="O1000027"/>
        <s v="O1000028"/>
        <s v="O1000029"/>
        <s v="O1000030"/>
        <s v="O1000031"/>
        <s v="O1000032"/>
        <s v="O1000033"/>
        <s v="O1000034"/>
        <s v="O1000035"/>
        <s v="O1000036"/>
        <s v="O1000037"/>
        <s v="O1000038"/>
        <s v="O1000039"/>
        <s v="O1000040"/>
        <s v="O1000041"/>
        <s v="O1000042"/>
        <s v="O1000043"/>
        <s v="O1000044"/>
        <s v="O1000045"/>
        <s v="O1000046"/>
        <s v="O1000047"/>
        <s v="O1000048"/>
        <s v="O1000049"/>
        <s v="O1000050"/>
        <s v="O1000051"/>
        <s v="O1000052"/>
        <s v="O1000053"/>
        <s v="O1000054"/>
        <s v="O1000055"/>
        <s v="O1000056"/>
        <s v="O1000057"/>
        <s v="O1000058"/>
        <s v="O1000059"/>
        <s v="O1000060"/>
        <s v="O1000061"/>
        <s v="O1000062"/>
        <s v="O1000063"/>
        <s v="O1000064"/>
        <s v="O1000065"/>
        <s v="O1000066"/>
        <s v="O1000067"/>
        <s v="O1000068"/>
        <s v="O1000069"/>
        <s v="O1000070"/>
        <s v="O1000071"/>
        <s v="O1000072"/>
        <s v="O1000073"/>
        <s v="O1000074"/>
        <s v="O1000075"/>
        <s v="O1000076"/>
        <s v="O1000077"/>
        <s v="O1000078"/>
        <s v="O1000079"/>
        <s v="O1000080"/>
        <s v="O1000081"/>
        <s v="O1000082"/>
        <s v="O1000083"/>
        <s v="O1000084"/>
        <s v="O1000085"/>
        <s v="O1000086"/>
        <s v="O1000087"/>
        <s v="O1000088"/>
        <s v="O1000089"/>
        <s v="O1000090"/>
        <s v="O1000091"/>
        <s v="O1000092"/>
        <s v="O1000093"/>
        <s v="O1000094"/>
        <s v="O1000095"/>
        <s v="O1000096"/>
        <s v="O1000097"/>
        <s v="O1000098"/>
        <s v="O1000099"/>
        <s v="O1000100"/>
        <s v="O1000101"/>
        <s v="O1000102"/>
        <s v="O1000103"/>
        <s v="O1000104"/>
        <s v="O1000105"/>
        <s v="O1000106"/>
        <s v="O1000107"/>
        <s v="O1000108"/>
        <s v="O1000109"/>
        <s v="O1000110"/>
        <s v="O1000111"/>
        <s v="O1000112"/>
        <s v="O1000113"/>
        <s v="O1000114"/>
        <s v="O1000115"/>
        <s v="O1000116"/>
        <s v="O1000117"/>
        <s v="O1000118"/>
        <s v="O1000119"/>
        <s v="O1000120"/>
        <s v="O1000121"/>
        <s v="O1000122"/>
        <s v="O1000123"/>
        <s v="O1000124"/>
        <s v="O1000125"/>
        <s v="O1000126"/>
        <s v="O1000127"/>
        <s v="O1000128"/>
        <s v="O1000129"/>
        <s v="O1000130"/>
        <s v="O1000131"/>
        <s v="O1000132"/>
        <s v="O1000133"/>
        <s v="O1000134"/>
        <s v="O1000135"/>
        <s v="O1000136"/>
        <s v="O1000137"/>
        <s v="O1000138"/>
        <s v="O1000139"/>
        <s v="O1000140"/>
        <s v="O1000141"/>
        <s v="O1000142"/>
        <s v="O1000143"/>
        <s v="O1000144"/>
        <s v="O1000145"/>
        <s v="O1000146"/>
        <s v="O1000147"/>
        <s v="O1000148"/>
        <s v="O1000149"/>
        <s v="O1000150"/>
        <s v="O1000151"/>
        <s v="O1000152"/>
        <s v="O1000153"/>
        <s v="O1000154"/>
        <s v="O1000155"/>
        <s v="O1000156"/>
        <s v="O1000157"/>
        <s v="O1000158"/>
        <s v="O1000159"/>
        <s v="O1000160"/>
        <s v="O1000161"/>
        <s v="O1000162"/>
        <s v="O1000163"/>
        <s v="O1000164"/>
        <s v="O1000165"/>
        <s v="O1000166"/>
        <s v="O1000167"/>
        <s v="O1000168"/>
        <s v="O1000169"/>
        <s v="O1000170"/>
        <s v="O1000171"/>
        <s v="O1000172"/>
        <s v="O1000173"/>
        <s v="O1000174"/>
        <s v="O1000175"/>
        <s v="O1000176"/>
        <s v="O1000177"/>
        <s v="O1000178"/>
        <s v="O1000179"/>
        <s v="O1000180"/>
        <s v="O1000181"/>
        <s v="O1000182"/>
        <s v="O1000183"/>
        <s v="O1000184"/>
        <s v="O1000185"/>
        <s v="O1000186"/>
        <s v="O1000187"/>
        <s v="O1000188"/>
        <s v="O1000189"/>
        <s v="O1000190"/>
        <s v="O1000191"/>
        <s v="O1000192"/>
        <s v="O1000193"/>
        <s v="O1000194"/>
        <s v="O1000195"/>
        <s v="O1000196"/>
        <s v="O1000197"/>
        <s v="O1000198"/>
        <s v="O1000199"/>
        <s v="O1000200"/>
        <s v="O1000201"/>
        <s v="O1000202"/>
        <s v="O1000203"/>
        <s v="O1000204"/>
        <s v="O1000205"/>
        <s v="O1000206"/>
        <s v="O1000207"/>
        <s v="O1000208"/>
        <s v="O1000209"/>
        <s v="O1000210"/>
        <s v="O1000211"/>
        <s v="O1000212"/>
        <s v="O1000213"/>
        <s v="O1000214"/>
        <s v="O1000215"/>
        <s v="O1000216"/>
        <s v="O1000217"/>
        <s v="O1000218"/>
        <s v="O1000219"/>
        <s v="O1000220"/>
        <s v="O1000221"/>
        <s v="O1000222"/>
        <s v="O1000223"/>
        <s v="O1000224"/>
        <s v="O1000225"/>
        <s v="O1000226"/>
        <s v="O1000227"/>
        <s v="O1000228"/>
        <s v="O1000229"/>
        <s v="O1000230"/>
        <s v="O1000231"/>
        <s v="O1000232"/>
        <s v="O1000233"/>
        <s v="O1000234"/>
        <s v="O1000235"/>
        <s v="O1000236"/>
        <s v="O1000237"/>
        <s v="O1000238"/>
        <s v="O1000239"/>
        <s v="O1000240"/>
        <s v="O1000241"/>
        <s v="O1000242"/>
        <s v="O1000243"/>
        <s v="O1000244"/>
        <s v="O1000245"/>
        <s v="O1000246"/>
        <s v="O1000247"/>
        <s v="O1000248"/>
        <s v="O1000249"/>
        <s v="O1000250"/>
        <s v="O1000251"/>
        <s v="O1000252"/>
        <s v="O1000253"/>
        <s v="O1000254"/>
        <s v="O1000255"/>
        <s v="O1000256"/>
        <s v="O1000257"/>
        <s v="O1000258"/>
        <s v="O1000259"/>
        <s v="O1000260"/>
        <s v="O1000261"/>
        <s v="O1000262"/>
        <s v="O1000263"/>
        <s v="O1000264"/>
        <s v="O1000265"/>
        <s v="O1000266"/>
        <s v="O1000267"/>
        <s v="O1000268"/>
        <s v="O1000269"/>
        <s v="O1000270"/>
        <s v="O1000271"/>
        <s v="O1000272"/>
        <s v="O1000273"/>
        <s v="O1000274"/>
        <s v="O1000275"/>
        <s v="O1000276"/>
        <s v="O1000277"/>
        <s v="O1000278"/>
        <s v="O1000279"/>
        <s v="O1000280"/>
        <s v="O1000281"/>
        <s v="O1000282"/>
        <s v="O1000283"/>
        <s v="O1000284"/>
        <s v="O1000285"/>
        <s v="O1000286"/>
        <s v="O1000287"/>
        <s v="O1000288"/>
        <s v="O1000289"/>
        <s v="O1000290"/>
        <s v="O1000291"/>
        <s v="O1000292"/>
        <s v="O1000293"/>
        <s v="O1000294"/>
        <s v="O1000295"/>
        <s v="O1000296"/>
        <s v="O1000297"/>
        <s v="O1000298"/>
        <s v="O1000299"/>
        <s v="O1000300"/>
        <s v="O1000301"/>
        <s v="O1000302"/>
        <s v="O1000303"/>
        <s v="O1000304"/>
        <s v="O1000305"/>
        <s v="O1000306"/>
        <s v="O1000307"/>
        <s v="O1000308"/>
        <s v="O1000309"/>
        <s v="O1000310"/>
        <s v="O1000311"/>
        <s v="O1000312"/>
        <s v="O1000313"/>
        <s v="O1000314"/>
        <s v="O1000315"/>
        <s v="O1000316"/>
        <s v="O1000317"/>
        <s v="O1000318"/>
        <s v="O1000319"/>
        <s v="O1000320"/>
        <s v="O1000321"/>
        <s v="O1000322"/>
        <s v="O1000323"/>
        <s v="O1000324"/>
        <s v="O1000325"/>
        <s v="O1000326"/>
        <s v="O1000327"/>
        <s v="O1000328"/>
        <s v="O1000329"/>
        <s v="O1000330"/>
        <s v="O1000331"/>
        <s v="O1000332"/>
        <s v="O1000333"/>
        <s v="O1000334"/>
        <s v="O1000335"/>
        <s v="O1000336"/>
        <s v="O1000337"/>
        <s v="O1000338"/>
        <s v="O1000339"/>
        <s v="O1000340"/>
        <s v="O1000341"/>
        <s v="O1000342"/>
        <s v="O1000343"/>
        <s v="O1000344"/>
        <s v="O1000345"/>
        <s v="O1000346"/>
        <s v="O1000347"/>
        <s v="O1000348"/>
        <s v="O1000349"/>
        <s v="O1000350"/>
        <s v="O1000351"/>
        <s v="O1000352"/>
        <s v="O1000353"/>
        <s v="O1000354"/>
        <s v="O1000355"/>
        <s v="O1000356"/>
        <s v="O1000357"/>
        <s v="O1000358"/>
        <s v="O1000359"/>
        <s v="O1000360"/>
        <s v="O1000361"/>
        <s v="O1000362"/>
        <s v="O1000363"/>
        <s v="O1000364"/>
        <s v="O1000365"/>
        <s v="O1000366"/>
        <s v="O1000367"/>
        <s v="O1000368"/>
        <s v="O1000369"/>
        <s v="O1000370"/>
        <s v="O1000371"/>
        <s v="O1000372"/>
        <s v="O1000373"/>
        <s v="O1000374"/>
        <s v="O1000375"/>
        <s v="O1000376"/>
        <s v="O1000377"/>
        <s v="O1000378"/>
        <s v="O1000379"/>
        <s v="O1000380"/>
        <s v="O1000381"/>
        <s v="O1000382"/>
        <s v="O1000383"/>
        <s v="O1000384"/>
        <s v="O1000385"/>
        <s v="O1000386"/>
        <s v="O1000387"/>
        <s v="O1000388"/>
        <s v="O1000389"/>
        <s v="O1000390"/>
        <s v="O1000391"/>
        <s v="O1000392"/>
        <s v="O1000393"/>
        <s v="O1000394"/>
        <s v="O1000395"/>
        <s v="O1000396"/>
        <s v="O1000397"/>
        <s v="O1000398"/>
        <s v="O1000399"/>
        <s v="O1000400"/>
        <s v="O1000401"/>
        <s v="O1000402"/>
        <s v="O1000403"/>
        <s v="O1000404"/>
        <s v="O1000405"/>
        <s v="O1000406"/>
        <s v="O1000407"/>
        <s v="O1000408"/>
        <s v="O1000409"/>
        <s v="O1000410"/>
        <s v="O1000411"/>
        <s v="O1000412"/>
        <s v="O1000413"/>
        <s v="O1000414"/>
        <s v="O1000415"/>
        <s v="O1000416"/>
        <s v="O1000417"/>
        <s v="O1000418"/>
        <s v="O1000419"/>
        <s v="O1000420"/>
        <s v="O1000421"/>
        <s v="O1000422"/>
        <s v="O1000423"/>
        <s v="O1000424"/>
        <s v="O1000425"/>
        <s v="O1000426"/>
        <s v="O1000427"/>
        <s v="O1000428"/>
        <s v="O1000429"/>
        <s v="O1000430"/>
        <s v="O1000431"/>
        <s v="O1000432"/>
        <s v="O1000433"/>
        <s v="O1000434"/>
        <s v="O1000435"/>
        <s v="O1000436"/>
        <s v="O1000437"/>
        <s v="O1000438"/>
        <s v="O1000439"/>
        <s v="O1000440"/>
        <s v="O1000441"/>
        <s v="O1000442"/>
        <s v="O1000443"/>
        <s v="O1000444"/>
        <s v="O1000445"/>
        <s v="O1000446"/>
        <s v="O1000447"/>
        <s v="O1000448"/>
        <s v="O1000449"/>
        <s v="O1000450"/>
        <s v="O1000451"/>
        <s v="O1000452"/>
        <s v="O1000453"/>
        <s v="O1000454"/>
        <s v="O1000455"/>
        <s v="O1000456"/>
        <s v="O1000457"/>
        <s v="O1000458"/>
        <s v="O1000459"/>
        <s v="O1000460"/>
        <s v="O1000461"/>
        <s v="O1000462"/>
        <s v="O1000463"/>
        <s v="O1000464"/>
        <s v="O1000465"/>
        <s v="O1000466"/>
        <s v="O1000467"/>
        <s v="O1000468"/>
        <s v="O1000469"/>
        <s v="O1000470"/>
        <s v="O1000471"/>
        <s v="O1000472"/>
        <s v="O1000473"/>
        <s v="O1000474"/>
        <s v="O1000475"/>
        <s v="O1000476"/>
        <s v="O1000477"/>
        <s v="O1000478"/>
        <s v="O1000479"/>
        <s v="O1000480"/>
        <s v="O1000481"/>
        <s v="O1000482"/>
        <s v="O1000483"/>
        <s v="O1000484"/>
        <s v="O1000485"/>
        <s v="O1000486"/>
        <s v="O1000487"/>
        <s v="O1000488"/>
        <s v="O1000489"/>
        <s v="O1000490"/>
        <s v="O1000491"/>
        <s v="O1000492"/>
        <s v="O1000493"/>
        <s v="O1000494"/>
        <s v="O1000495"/>
        <s v="O1000496"/>
        <s v="O1000497"/>
        <s v="O1000498"/>
        <s v="O1000499"/>
        <s v="O1000500"/>
        <s v="O1000501"/>
        <s v="O1000502"/>
        <s v="O1000503"/>
        <s v="O1000504"/>
        <s v="O1000505"/>
        <s v="O1000506"/>
        <s v="O1000507"/>
        <s v="O1000508"/>
        <s v="O1000509"/>
        <s v="O1000510"/>
        <s v="O1000511"/>
        <s v="O1000512"/>
        <s v="O1000513"/>
        <s v="O1000514"/>
        <s v="O1000515"/>
        <s v="O1000516"/>
        <s v="O1000517"/>
        <s v="O1000518"/>
        <s v="O1000519"/>
        <s v="O1000520"/>
        <s v="O1000521"/>
        <s v="O1000522"/>
        <s v="O1000523"/>
        <s v="O1000524"/>
        <s v="O1000525"/>
        <s v="O1000526"/>
        <s v="O1000527"/>
        <s v="O1000528"/>
        <s v="O1000529"/>
        <s v="O1000530"/>
        <s v="O1000531"/>
        <s v="O1000532"/>
        <s v="O1000533"/>
        <s v="O1000534"/>
        <s v="O1000535"/>
        <s v="O1000536"/>
        <s v="O1000537"/>
        <s v="O1000538"/>
        <s v="O1000539"/>
        <s v="O1000540"/>
        <s v="O1000541"/>
        <s v="O1000542"/>
        <s v="O1000543"/>
        <s v="O1000544"/>
        <s v="O1000545"/>
        <s v="O1000546"/>
        <s v="O1000547"/>
        <s v="O1000548"/>
        <s v="O1000549"/>
        <s v="O1000550"/>
        <s v="O1000551"/>
        <s v="O1000552"/>
        <s v="O1000553"/>
        <s v="O1000554"/>
        <s v="O1000555"/>
        <s v="O1000556"/>
        <s v="O1000557"/>
        <s v="O1000558"/>
        <s v="O1000559"/>
        <s v="O1000560"/>
        <s v="O1000561"/>
        <s v="O1000562"/>
        <s v="O1000563"/>
        <s v="O1000564"/>
        <s v="O1000565"/>
        <s v="O1000566"/>
        <s v="O1000567"/>
        <s v="O1000568"/>
        <s v="O1000569"/>
        <s v="O1000570"/>
        <s v="O1000571"/>
        <s v="O1000572"/>
        <s v="O1000573"/>
        <s v="O1000574"/>
        <s v="O1000575"/>
        <s v="O1000576"/>
        <s v="O1000577"/>
        <s v="O1000578"/>
        <s v="O1000579"/>
        <s v="O1000580"/>
        <s v="O1000581"/>
        <s v="O1000582"/>
        <s v="O1000583"/>
        <s v="O1000584"/>
        <s v="O1000585"/>
        <s v="O1000586"/>
        <s v="O1000587"/>
        <s v="O1000588"/>
        <s v="O1000589"/>
        <s v="O1000590"/>
        <s v="O1000591"/>
        <s v="O1000592"/>
        <s v="O1000593"/>
        <s v="O1000594"/>
        <s v="O1000595"/>
        <s v="O1000596"/>
        <s v="O1000597"/>
        <s v="O1000598"/>
        <s v="O1000599"/>
        <s v="O1000600"/>
        <s v="O1000601"/>
        <s v="O1000602"/>
        <s v="O1000603"/>
        <s v="O1000604"/>
        <s v="O1000605"/>
        <s v="O1000606"/>
        <s v="O1000607"/>
        <s v="O1000608"/>
        <s v="O1000609"/>
        <s v="O1000610"/>
        <s v="O1000611"/>
        <s v="O1000612"/>
        <s v="O1000613"/>
        <s v="O1000614"/>
        <s v="O1000615"/>
        <s v="O1000616"/>
        <s v="O1000617"/>
        <s v="O1000618"/>
        <s v="O1000619"/>
        <s v="O1000620"/>
        <s v="O1000621"/>
        <s v="O1000622"/>
        <s v="O1000623"/>
        <s v="O1000624"/>
        <s v="O1000625"/>
        <s v="O1000626"/>
        <s v="O1000627"/>
        <s v="O1000628"/>
        <s v="O1000629"/>
        <s v="O1000630"/>
        <s v="O1000631"/>
        <s v="O1000632"/>
        <s v="O1000633"/>
        <s v="O1000634"/>
        <s v="O1000635"/>
        <s v="O1000636"/>
        <s v="O1000637"/>
        <s v="O1000638"/>
        <s v="O1000639"/>
        <s v="O1000640"/>
        <s v="O1000641"/>
        <s v="O1000642"/>
        <s v="O1000643"/>
        <s v="O1000644"/>
        <s v="O1000645"/>
        <s v="O1000646"/>
        <s v="O1000647"/>
        <s v="O1000648"/>
        <s v="O1000649"/>
        <s v="O1000650"/>
        <s v="O1000651"/>
        <s v="O1000652"/>
        <s v="O1000653"/>
        <s v="O1000654"/>
        <s v="O1000655"/>
        <s v="O1000656"/>
        <s v="O1000657"/>
        <s v="O1000658"/>
        <s v="O1000659"/>
        <s v="O1000660"/>
        <s v="O1000661"/>
        <s v="O1000662"/>
        <s v="O1000663"/>
        <s v="O1000664"/>
        <s v="O1000665"/>
        <s v="O1000666"/>
        <s v="O1000667"/>
        <s v="O1000668"/>
        <s v="O1000669"/>
        <s v="O1000670"/>
        <s v="O1000671"/>
        <s v="O1000672"/>
        <s v="O1000673"/>
        <s v="O1000674"/>
        <s v="O1000675"/>
        <s v="O1000676"/>
        <s v="O1000677"/>
        <s v="O1000678"/>
        <s v="O1000679"/>
        <s v="O1000680"/>
        <s v="O1000681"/>
        <s v="O1000682"/>
        <s v="O1000683"/>
        <s v="O1000684"/>
        <s v="O1000685"/>
        <s v="O1000686"/>
        <s v="O1000687"/>
        <s v="O1000688"/>
        <s v="O1000689"/>
        <s v="O1000690"/>
        <s v="O1000691"/>
        <s v="O1000692"/>
        <s v="O1000693"/>
        <s v="O1000694"/>
        <s v="O1000695"/>
        <s v="O1000696"/>
        <s v="O1000697"/>
        <s v="O1000698"/>
        <s v="O1000699"/>
        <s v="O1000700"/>
        <s v="O1000701"/>
        <s v="O1000702"/>
        <s v="O1000703"/>
        <s v="O1000704"/>
        <s v="O1000705"/>
        <s v="O1000706"/>
        <s v="O1000707"/>
        <s v="O1000708"/>
        <s v="O1000709"/>
        <s v="O1000710"/>
        <s v="O1000711"/>
        <s v="O1000712"/>
        <s v="O1000713"/>
        <s v="O1000714"/>
        <s v="O1000715"/>
        <s v="O1000716"/>
        <s v="O1000717"/>
        <s v="O1000718"/>
        <s v="O1000719"/>
        <s v="O1000720"/>
        <s v="O1000721"/>
        <s v="O1000722"/>
        <s v="O1000723"/>
        <s v="O1000724"/>
        <s v="O1000725"/>
        <s v="O1000726"/>
        <s v="O1000727"/>
        <s v="O1000728"/>
        <s v="O1000729"/>
        <s v="O1000730"/>
        <s v="O1000731"/>
        <s v="O1000732"/>
        <s v="O1000733"/>
        <s v="O1000734"/>
        <s v="O1000735"/>
        <s v="O1000736"/>
        <s v="O1000737"/>
        <s v="O1000738"/>
        <s v="O1000739"/>
        <s v="O1000740"/>
        <s v="O1000741"/>
        <s v="O1000742"/>
        <s v="O1000743"/>
        <s v="O1000744"/>
        <s v="O1000745"/>
        <s v="O1000746"/>
        <s v="O1000747"/>
        <s v="O1000748"/>
        <s v="O1000749"/>
        <s v="O1000750"/>
        <s v="O1000751"/>
        <s v="O1000752"/>
        <s v="O1000753"/>
        <s v="O1000754"/>
        <s v="O1000755"/>
        <s v="O1000756"/>
        <s v="O1000757"/>
        <s v="O1000758"/>
        <s v="O1000759"/>
        <s v="O1000760"/>
        <s v="O1000761"/>
        <s v="O1000762"/>
        <s v="O1000763"/>
        <s v="O1000764"/>
        <s v="O1000765"/>
        <s v="O1000766"/>
        <s v="O1000767"/>
        <s v="O1000768"/>
        <s v="O1000769"/>
        <s v="O1000770"/>
        <s v="O1000771"/>
        <s v="O1000772"/>
        <s v="O1000773"/>
        <s v="O1000774"/>
        <s v="O1000775"/>
        <s v="O1000776"/>
        <s v="O1000777"/>
        <s v="O1000778"/>
        <s v="O1000779"/>
        <s v="O1000780"/>
        <s v="O1000781"/>
        <s v="O1000782"/>
        <s v="O1000783"/>
        <s v="O1000784"/>
        <s v="O1000785"/>
        <s v="O1000786"/>
        <s v="O1000787"/>
        <s v="O1000788"/>
        <s v="O1000789"/>
        <s v="O1000790"/>
        <s v="O1000791"/>
        <s v="O1000792"/>
        <s v="O1000793"/>
        <s v="O1000794"/>
        <s v="O1000795"/>
        <s v="O1000796"/>
        <s v="O1000797"/>
        <s v="O1000798"/>
        <s v="O1000799"/>
        <s v="O1000800"/>
        <s v="O1000801"/>
        <s v="O1000802"/>
        <s v="O1000803"/>
        <s v="O1000804"/>
        <s v="O1000805"/>
        <s v="O1000806"/>
        <s v="O1000807"/>
        <s v="O1000808"/>
        <s v="O1000809"/>
        <s v="O1000810"/>
        <s v="O1000811"/>
        <s v="O1000812"/>
        <s v="O1000813"/>
        <s v="O1000814"/>
        <s v="O1000815"/>
        <s v="O1000816"/>
        <s v="O1000817"/>
        <s v="O1000818"/>
        <s v="O1000819"/>
        <s v="O1000820"/>
        <s v="O1000821"/>
        <s v="O1000822"/>
        <s v="O1000823"/>
        <s v="O1000824"/>
        <s v="O1000825"/>
        <s v="O1000826"/>
        <s v="O1000827"/>
        <s v="O1000828"/>
        <s v="O1000829"/>
        <s v="O1000830"/>
        <s v="O1000831"/>
        <s v="O1000832"/>
        <s v="O1000833"/>
        <s v="O1000834"/>
        <s v="O1000835"/>
        <s v="O1000836"/>
        <s v="O1000837"/>
        <s v="O1000838"/>
        <s v="O1000839"/>
        <s v="O1000840"/>
        <s v="O1000841"/>
        <s v="O1000842"/>
        <s v="O1000843"/>
        <s v="O1000844"/>
        <s v="O1000845"/>
        <s v="O1000846"/>
        <s v="O1000847"/>
        <s v="O1000848"/>
        <s v="O1000849"/>
        <s v="O1000850"/>
        <s v="O1000851"/>
        <s v="O1000852"/>
        <s v="O1000853"/>
        <s v="O1000854"/>
        <s v="O1000855"/>
        <s v="O1000856"/>
        <s v="O1000857"/>
        <s v="O1000858"/>
        <s v="O1000859"/>
        <s v="O1000860"/>
        <s v="O1000861"/>
        <s v="O1000862"/>
        <s v="O1000863"/>
        <s v="O1000864"/>
        <s v="O1000865"/>
        <s v="O1000866"/>
        <s v="O1000867"/>
        <s v="O1000868"/>
        <s v="O1000869"/>
        <s v="O1000870"/>
        <s v="O1000871"/>
        <s v="O1000872"/>
        <s v="O1000873"/>
        <s v="O1000874"/>
        <s v="O1000875"/>
        <s v="O1000876"/>
        <s v="O1000877"/>
        <s v="O1000878"/>
        <s v="O1000879"/>
        <s v="O1000880"/>
        <s v="O1000881"/>
        <s v="O1000882"/>
        <s v="O1000883"/>
        <s v="O1000884"/>
        <s v="O1000885"/>
        <s v="O1000886"/>
        <s v="O1000887"/>
        <s v="O1000888"/>
        <s v="O1000889"/>
        <s v="O1000890"/>
        <s v="O1000891"/>
        <s v="O1000892"/>
        <s v="O1000893"/>
        <s v="O1000894"/>
        <s v="O1000895"/>
        <s v="O1000896"/>
        <s v="O1000897"/>
        <s v="O1000898"/>
        <s v="O1000899"/>
        <s v="O1000900"/>
        <s v="O1000901"/>
        <s v="O1000902"/>
        <s v="O1000903"/>
        <s v="O1000904"/>
        <s v="O1000905"/>
        <s v="O1000906"/>
        <s v="O1000907"/>
        <s v="O1000908"/>
        <s v="O1000909"/>
        <s v="O1000910"/>
        <s v="O1000911"/>
        <s v="O1000912"/>
        <s v="O1000913"/>
        <s v="O1000914"/>
        <s v="O1000915"/>
        <s v="O1000916"/>
        <s v="O1000917"/>
        <s v="O1000918"/>
        <s v="O1000919"/>
        <s v="O1000920"/>
        <s v="O1000921"/>
        <s v="O1000922"/>
        <s v="O1000923"/>
        <s v="O1000924"/>
        <s v="O1000925"/>
        <s v="O1000926"/>
        <s v="O1000927"/>
        <s v="O1000928"/>
        <s v="O1000929"/>
        <s v="O1000930"/>
        <s v="O1000931"/>
        <s v="O1000932"/>
        <s v="O1000933"/>
        <s v="O1000934"/>
        <s v="O1000935"/>
        <s v="O1000936"/>
        <s v="O1000937"/>
        <s v="O1000938"/>
        <s v="O1000939"/>
        <s v="O1000940"/>
        <s v="O1000941"/>
        <s v="O1000942"/>
        <s v="O1000943"/>
        <s v="O1000944"/>
        <s v="O1000945"/>
        <s v="O1000946"/>
        <s v="O1000947"/>
        <s v="O1000948"/>
        <s v="O1000949"/>
        <s v="O1000950"/>
        <s v="O1000951"/>
        <s v="O1000952"/>
        <s v="O1000953"/>
        <s v="O1000954"/>
        <s v="O1000955"/>
        <s v="O1000956"/>
        <s v="O1000957"/>
        <s v="O1000958"/>
        <s v="O1000959"/>
        <s v="O1000960"/>
        <s v="O1000961"/>
        <s v="O1000962"/>
        <s v="O1000963"/>
        <s v="O1000964"/>
        <s v="O1000965"/>
        <s v="O1000966"/>
        <s v="O1000967"/>
        <s v="O1000968"/>
        <s v="O1000969"/>
        <s v="O1000970"/>
        <s v="O1000971"/>
        <s v="O1000972"/>
        <s v="O1000973"/>
        <s v="O1000974"/>
        <s v="O1000975"/>
        <s v="O1000976"/>
        <s v="O1000977"/>
        <s v="O1000978"/>
        <s v="O1000979"/>
        <s v="O1000980"/>
        <s v="O1000981"/>
        <s v="O1000982"/>
        <s v="O1000983"/>
        <s v="O1000984"/>
        <s v="O1000985"/>
        <s v="O1000986"/>
        <s v="O1000987"/>
        <s v="O1000988"/>
        <s v="O1000989"/>
        <s v="O1000990"/>
        <s v="O1000991"/>
        <s v="O1000992"/>
        <s v="O1000993"/>
        <s v="O1000994"/>
        <s v="O1000995"/>
        <s v="O1000996"/>
        <s v="O1000997"/>
        <s v="O1000998"/>
        <s v="O1000999"/>
      </sharedItems>
    </cacheField>
    <cacheField name="Customer_ID" numFmtId="0">
      <sharedItems/>
    </cacheField>
    <cacheField name="Order_Date" numFmtId="164">
      <sharedItems containsSemiMixedTypes="0" containsNonDate="0" containsDate="1" containsString="0" minDate="2020-01-01T00:00:00" maxDate="2025-01-02T00:00:00" count="780">
        <d v="2022-09-19T00:00:00"/>
        <d v="2021-12-25T00:00:00"/>
        <d v="2020-08-02T00:00:00"/>
        <d v="2022-10-11T00:00:00"/>
        <d v="2021-07-26T00:00:00"/>
        <d v="2023-11-24T00:00:00"/>
        <d v="2024-08-11T00:00:00"/>
        <d v="2021-03-31T00:00:00"/>
        <d v="2022-12-25T00:00:00"/>
        <d v="2020-01-24T00:00:00"/>
        <d v="2024-12-05T00:00:00"/>
        <d v="2023-09-25T00:00:00"/>
        <d v="2023-12-12T00:00:00"/>
        <d v="2024-10-20T00:00:00"/>
        <d v="2022-08-12T00:00:00"/>
        <d v="2022-05-07T00:00:00"/>
        <d v="2020-07-10T00:00:00"/>
        <d v="2020-09-08T00:00:00"/>
        <d v="2024-04-12T00:00:00"/>
        <d v="2021-01-11T00:00:00"/>
        <d v="2023-03-10T00:00:00"/>
        <d v="2020-07-31T00:00:00"/>
        <d v="2021-08-18T00:00:00"/>
        <d v="2023-01-16T00:00:00"/>
        <d v="2024-05-29T00:00:00"/>
        <d v="2022-12-10T00:00:00"/>
        <d v="2021-07-20T00:00:00"/>
        <d v="2022-05-18T00:00:00"/>
        <d v="2021-06-21T00:00:00"/>
        <d v="2020-01-19T00:00:00"/>
        <d v="2024-11-07T00:00:00"/>
        <d v="2023-08-08T00:00:00"/>
        <d v="2022-05-15T00:00:00"/>
        <d v="2022-12-29T00:00:00"/>
        <d v="2020-02-21T00:00:00"/>
        <d v="2021-03-07T00:00:00"/>
        <d v="2021-02-02T00:00:00"/>
        <d v="2023-08-06T00:00:00"/>
        <d v="2024-03-21T00:00:00"/>
        <d v="2020-06-05T00:00:00"/>
        <d v="2022-10-27T00:00:00"/>
        <d v="2021-11-05T00:00:00"/>
        <d v="2023-10-13T00:00:00"/>
        <d v="2022-11-29T00:00:00"/>
        <d v="2021-11-12T00:00:00"/>
        <d v="2020-09-21T00:00:00"/>
        <d v="2024-03-23T00:00:00"/>
        <d v="2022-08-11T00:00:00"/>
        <d v="2023-01-22T00:00:00"/>
        <d v="2025-01-01T00:00:00"/>
        <d v="2020-11-19T00:00:00"/>
        <d v="2022-06-27T00:00:00"/>
        <d v="2021-04-24T00:00:00"/>
        <d v="2021-08-24T00:00:00"/>
        <d v="2022-06-25T00:00:00"/>
        <d v="2023-12-20T00:00:00"/>
        <d v="2024-09-08T00:00:00"/>
        <d v="2021-10-03T00:00:00"/>
        <d v="2023-03-28T00:00:00"/>
        <d v="2024-12-10T00:00:00"/>
        <d v="2023-05-31T00:00:00"/>
        <d v="2024-01-20T00:00:00"/>
        <d v="2024-04-11T00:00:00"/>
        <d v="2022-02-18T00:00:00"/>
        <d v="2021-09-26T00:00:00"/>
        <d v="2023-03-16T00:00:00"/>
        <d v="2022-03-29T00:00:00"/>
        <d v="2020-03-21T00:00:00"/>
        <d v="2022-07-26T00:00:00"/>
        <d v="2020-06-28T00:00:00"/>
        <d v="2020-01-28T00:00:00"/>
        <d v="2020-01-06T00:00:00"/>
        <d v="2024-01-10T00:00:00"/>
        <d v="2022-02-26T00:00:00"/>
        <d v="2024-03-18T00:00:00"/>
        <d v="2021-09-17T00:00:00"/>
        <d v="2021-04-23T00:00:00"/>
        <d v="2022-05-29T00:00:00"/>
        <d v="2022-04-19T00:00:00"/>
        <d v="2020-10-28T00:00:00"/>
        <d v="2020-02-29T00:00:00"/>
        <d v="2024-09-22T00:00:00"/>
        <d v="2021-02-10T00:00:00"/>
        <d v="2023-08-31T00:00:00"/>
        <d v="2023-10-18T00:00:00"/>
        <d v="2022-08-08T00:00:00"/>
        <d v="2020-01-05T00:00:00"/>
        <d v="2022-06-23T00:00:00"/>
        <d v="2020-05-31T00:00:00"/>
        <d v="2020-06-13T00:00:00"/>
        <d v="2023-03-19T00:00:00"/>
        <d v="2021-03-24T00:00:00"/>
        <d v="2020-08-27T00:00:00"/>
        <d v="2023-12-21T00:00:00"/>
        <d v="2022-05-22T00:00:00"/>
        <d v="2020-01-14T00:00:00"/>
        <d v="2022-03-21T00:00:00"/>
        <d v="2021-11-10T00:00:00"/>
        <d v="2022-12-17T00:00:00"/>
        <d v="2021-03-20T00:00:00"/>
        <d v="2023-03-24T00:00:00"/>
        <d v="2022-03-23T00:00:00"/>
        <d v="2021-08-11T00:00:00"/>
        <d v="2024-08-07T00:00:00"/>
        <d v="2021-11-29T00:00:00"/>
        <d v="2023-12-26T00:00:00"/>
        <d v="2023-09-04T00:00:00"/>
        <d v="2021-11-26T00:00:00"/>
        <d v="2020-01-22T00:00:00"/>
        <d v="2024-04-18T00:00:00"/>
        <d v="2020-09-02T00:00:00"/>
        <d v="2024-04-09T00:00:00"/>
        <d v="2021-03-27T00:00:00"/>
        <d v="2021-11-07T00:00:00"/>
        <d v="2023-07-21T00:00:00"/>
        <d v="2022-05-05T00:00:00"/>
        <d v="2022-08-19T00:00:00"/>
        <d v="2021-05-17T00:00:00"/>
        <d v="2024-09-19T00:00:00"/>
        <d v="2024-03-03T00:00:00"/>
        <d v="2023-10-23T00:00:00"/>
        <d v="2022-12-24T00:00:00"/>
        <d v="2022-07-19T00:00:00"/>
        <d v="2024-07-27T00:00:00"/>
        <d v="2024-07-02T00:00:00"/>
        <d v="2023-09-15T00:00:00"/>
        <d v="2022-01-07T00:00:00"/>
        <d v="2021-12-29T00:00:00"/>
        <d v="2022-05-02T00:00:00"/>
        <d v="2022-04-26T00:00:00"/>
        <d v="2024-12-02T00:00:00"/>
        <d v="2020-06-20T00:00:00"/>
        <d v="2022-07-23T00:00:00"/>
        <d v="2020-05-04T00:00:00"/>
        <d v="2023-11-12T00:00:00"/>
        <d v="2024-12-27T00:00:00"/>
        <d v="2022-11-15T00:00:00"/>
        <d v="2020-03-06T00:00:00"/>
        <d v="2021-05-08T00:00:00"/>
        <d v="2024-01-12T00:00:00"/>
        <d v="2022-05-03T00:00:00"/>
        <d v="2020-05-14T00:00:00"/>
        <d v="2020-10-29T00:00:00"/>
        <d v="2022-04-03T00:00:00"/>
        <d v="2022-10-23T00:00:00"/>
        <d v="2020-08-13T00:00:00"/>
        <d v="2021-09-01T00:00:00"/>
        <d v="2020-02-14T00:00:00"/>
        <d v="2023-02-13T00:00:00"/>
        <d v="2024-12-08T00:00:00"/>
        <d v="2023-07-11T00:00:00"/>
        <d v="2022-09-28T00:00:00"/>
        <d v="2023-07-30T00:00:00"/>
        <d v="2023-11-05T00:00:00"/>
        <d v="2022-06-26T00:00:00"/>
        <d v="2021-01-24T00:00:00"/>
        <d v="2022-01-02T00:00:00"/>
        <d v="2020-09-23T00:00:00"/>
        <d v="2023-05-07T00:00:00"/>
        <d v="2020-02-27T00:00:00"/>
        <d v="2020-11-11T00:00:00"/>
        <d v="2023-06-19T00:00:00"/>
        <d v="2021-04-04T00:00:00"/>
        <d v="2022-09-06T00:00:00"/>
        <d v="2023-06-14T00:00:00"/>
        <d v="2024-03-31T00:00:00"/>
        <d v="2022-07-28T00:00:00"/>
        <d v="2022-04-24T00:00:00"/>
        <d v="2024-09-07T00:00:00"/>
        <d v="2021-07-03T00:00:00"/>
        <d v="2024-07-08T00:00:00"/>
        <d v="2021-12-10T00:00:00"/>
        <d v="2022-02-10T00:00:00"/>
        <d v="2022-04-08T00:00:00"/>
        <d v="2024-05-15T00:00:00"/>
        <d v="2020-03-25T00:00:00"/>
        <d v="2021-03-14T00:00:00"/>
        <d v="2020-07-20T00:00:00"/>
        <d v="2023-05-09T00:00:00"/>
        <d v="2023-07-23T00:00:00"/>
        <d v="2023-10-29T00:00:00"/>
        <d v="2020-01-01T00:00:00"/>
        <d v="2021-09-06T00:00:00"/>
        <d v="2021-07-04T00:00:00"/>
        <d v="2023-03-18T00:00:00"/>
        <d v="2022-08-25T00:00:00"/>
        <d v="2020-08-16T00:00:00"/>
        <d v="2020-08-03T00:00:00"/>
        <d v="2020-06-08T00:00:00"/>
        <d v="2023-03-06T00:00:00"/>
        <d v="2023-06-04T00:00:00"/>
        <d v="2021-01-21T00:00:00"/>
        <d v="2020-05-28T00:00:00"/>
        <d v="2023-09-18T00:00:00"/>
        <d v="2024-06-16T00:00:00"/>
        <d v="2021-06-08T00:00:00"/>
        <d v="2022-06-07T00:00:00"/>
        <d v="2020-07-01T00:00:00"/>
        <d v="2020-09-19T00:00:00"/>
        <d v="2020-02-20T00:00:00"/>
        <d v="2023-12-01T00:00:00"/>
        <d v="2023-07-04T00:00:00"/>
        <d v="2020-12-04T00:00:00"/>
        <d v="2022-06-05T00:00:00"/>
        <d v="2022-09-21T00:00:00"/>
        <d v="2020-11-20T00:00:00"/>
        <d v="2021-02-28T00:00:00"/>
        <d v="2024-09-10T00:00:00"/>
        <d v="2023-02-25T00:00:00"/>
        <d v="2023-10-22T00:00:00"/>
        <d v="2023-06-07T00:00:00"/>
        <d v="2024-10-05T00:00:00"/>
        <d v="2020-06-30T00:00:00"/>
        <d v="2022-03-30T00:00:00"/>
        <d v="2021-05-15T00:00:00"/>
        <d v="2020-12-15T00:00:00"/>
        <d v="2024-02-29T00:00:00"/>
        <d v="2021-08-26T00:00:00"/>
        <d v="2023-04-18T00:00:00"/>
        <d v="2021-09-11T00:00:00"/>
        <d v="2021-02-04T00:00:00"/>
        <d v="2021-10-20T00:00:00"/>
        <d v="2022-09-10T00:00:00"/>
        <d v="2023-01-17T00:00:00"/>
        <d v="2022-03-31T00:00:00"/>
        <d v="2021-07-07T00:00:00"/>
        <d v="2024-09-17T00:00:00"/>
        <d v="2024-01-01T00:00:00"/>
        <d v="2023-08-22T00:00:00"/>
        <d v="2021-10-11T00:00:00"/>
        <d v="2021-01-09T00:00:00"/>
        <d v="2020-10-03T00:00:00"/>
        <d v="2021-01-08T00:00:00"/>
        <d v="2022-08-07T00:00:00"/>
        <d v="2024-08-20T00:00:00"/>
        <d v="2021-06-03T00:00:00"/>
        <d v="2020-10-14T00:00:00"/>
        <d v="2022-05-16T00:00:00"/>
        <d v="2023-04-29T00:00:00"/>
        <d v="2020-08-22T00:00:00"/>
        <d v="2023-03-22T00:00:00"/>
        <d v="2021-08-20T00:00:00"/>
        <d v="2023-10-24T00:00:00"/>
        <d v="2023-03-20T00:00:00"/>
        <d v="2023-10-14T00:00:00"/>
        <d v="2021-04-18T00:00:00"/>
        <d v="2024-05-18T00:00:00"/>
        <d v="2020-08-18T00:00:00"/>
        <d v="2024-10-30T00:00:00"/>
        <d v="2021-11-25T00:00:00"/>
        <d v="2022-09-26T00:00:00"/>
        <d v="2021-11-06T00:00:00"/>
        <d v="2023-05-19T00:00:00"/>
        <d v="2024-07-18T00:00:00"/>
        <d v="2024-09-20T00:00:00"/>
        <d v="2021-11-21T00:00:00"/>
        <d v="2022-12-12T00:00:00"/>
        <d v="2021-02-05T00:00:00"/>
        <d v="2023-10-10T00:00:00"/>
        <d v="2021-01-29T00:00:00"/>
        <d v="2021-04-30T00:00:00"/>
        <d v="2022-10-16T00:00:00"/>
        <d v="2020-03-05T00:00:00"/>
        <d v="2020-01-26T00:00:00"/>
        <d v="2024-02-08T00:00:00"/>
        <d v="2022-08-21T00:00:00"/>
        <d v="2022-01-10T00:00:00"/>
        <d v="2020-09-13T00:00:00"/>
        <d v="2024-04-10T00:00:00"/>
        <d v="2024-02-22T00:00:00"/>
        <d v="2020-10-05T00:00:00"/>
        <d v="2020-08-01T00:00:00"/>
        <d v="2023-05-20T00:00:00"/>
        <d v="2023-07-16T00:00:00"/>
        <d v="2022-10-28T00:00:00"/>
        <d v="2024-02-13T00:00:00"/>
        <d v="2024-11-18T00:00:00"/>
        <d v="2023-06-16T00:00:00"/>
        <d v="2022-10-14T00:00:00"/>
        <d v="2024-07-29T00:00:00"/>
        <d v="2023-10-21T00:00:00"/>
        <d v="2020-10-07T00:00:00"/>
        <d v="2024-04-15T00:00:00"/>
        <d v="2021-01-31T00:00:00"/>
        <d v="2024-12-24T00:00:00"/>
        <d v="2021-06-24T00:00:00"/>
        <d v="2024-01-09T00:00:00"/>
        <d v="2020-03-02T00:00:00"/>
        <d v="2020-04-28T00:00:00"/>
        <d v="2020-08-23T00:00:00"/>
        <d v="2020-10-12T00:00:00"/>
        <d v="2024-09-18T00:00:00"/>
        <d v="2022-11-27T00:00:00"/>
        <d v="2020-02-18T00:00:00"/>
        <d v="2022-08-06T00:00:00"/>
        <d v="2023-04-09T00:00:00"/>
        <d v="2020-02-24T00:00:00"/>
        <d v="2024-12-07T00:00:00"/>
        <d v="2020-03-10T00:00:00"/>
        <d v="2022-11-01T00:00:00"/>
        <d v="2020-09-16T00:00:00"/>
        <d v="2022-11-11T00:00:00"/>
        <d v="2020-02-13T00:00:00"/>
        <d v="2024-09-25T00:00:00"/>
        <d v="2020-08-09T00:00:00"/>
        <d v="2024-02-26T00:00:00"/>
        <d v="2021-10-02T00:00:00"/>
        <d v="2021-10-10T00:00:00"/>
        <d v="2022-07-25T00:00:00"/>
        <d v="2022-04-01T00:00:00"/>
        <d v="2024-06-21T00:00:00"/>
        <d v="2024-10-29T00:00:00"/>
        <d v="2021-09-20T00:00:00"/>
        <d v="2020-03-12T00:00:00"/>
        <d v="2020-04-27T00:00:00"/>
        <d v="2023-07-03T00:00:00"/>
        <d v="2023-01-04T00:00:00"/>
        <d v="2021-01-27T00:00:00"/>
        <d v="2024-12-26T00:00:00"/>
        <d v="2023-01-30T00:00:00"/>
        <d v="2022-04-02T00:00:00"/>
        <d v="2024-07-01T00:00:00"/>
        <d v="2024-05-11T00:00:00"/>
        <d v="2021-06-10T00:00:00"/>
        <d v="2024-05-06T00:00:00"/>
        <d v="2022-08-29T00:00:00"/>
        <d v="2020-07-09T00:00:00"/>
        <d v="2023-12-05T00:00:00"/>
        <d v="2023-04-10T00:00:00"/>
        <d v="2024-04-06T00:00:00"/>
        <d v="2024-02-24T00:00:00"/>
        <d v="2024-11-30T00:00:00"/>
        <d v="2022-10-25T00:00:00"/>
        <d v="2020-11-14T00:00:00"/>
        <d v="2024-02-11T00:00:00"/>
        <d v="2024-06-27T00:00:00"/>
        <d v="2020-06-27T00:00:00"/>
        <d v="2021-12-04T00:00:00"/>
        <d v="2022-11-20T00:00:00"/>
        <d v="2022-09-24T00:00:00"/>
        <d v="2023-09-05T00:00:00"/>
        <d v="2023-09-01T00:00:00"/>
        <d v="2024-05-23T00:00:00"/>
        <d v="2020-04-15T00:00:00"/>
        <d v="2023-10-16T00:00:00"/>
        <d v="2024-04-19T00:00:00"/>
        <d v="2023-12-28T00:00:00"/>
        <d v="2020-02-16T00:00:00"/>
        <d v="2021-06-07T00:00:00"/>
        <d v="2023-04-23T00:00:00"/>
        <d v="2022-01-08T00:00:00"/>
        <d v="2022-01-27T00:00:00"/>
        <d v="2024-10-06T00:00:00"/>
        <d v="2022-03-16T00:00:00"/>
        <d v="2021-10-05T00:00:00"/>
        <d v="2022-02-04T00:00:00"/>
        <d v="2021-01-16T00:00:00"/>
        <d v="2021-03-12T00:00:00"/>
        <d v="2024-01-28T00:00:00"/>
        <d v="2020-06-09T00:00:00"/>
        <d v="2021-09-04T00:00:00"/>
        <d v="2022-01-11T00:00:00"/>
        <d v="2020-09-22T00:00:00"/>
        <d v="2020-05-24T00:00:00"/>
        <d v="2023-09-10T00:00:00"/>
        <d v="2023-12-15T00:00:00"/>
        <d v="2021-12-14T00:00:00"/>
        <d v="2020-01-25T00:00:00"/>
        <d v="2024-08-27T00:00:00"/>
        <d v="2023-09-22T00:00:00"/>
        <d v="2023-08-05T00:00:00"/>
        <d v="2021-08-17T00:00:00"/>
        <d v="2022-11-02T00:00:00"/>
        <d v="2022-06-12T00:00:00"/>
        <d v="2023-11-23T00:00:00"/>
        <d v="2020-06-25T00:00:00"/>
        <d v="2023-05-13T00:00:00"/>
        <d v="2024-11-05T00:00:00"/>
        <d v="2024-09-14T00:00:00"/>
        <d v="2024-01-05T00:00:00"/>
        <d v="2022-07-14T00:00:00"/>
        <d v="2022-01-22T00:00:00"/>
        <d v="2021-05-12T00:00:00"/>
        <d v="2023-07-28T00:00:00"/>
        <d v="2021-02-15T00:00:00"/>
        <d v="2023-02-20T00:00:00"/>
        <d v="2023-05-21T00:00:00"/>
        <d v="2022-03-22T00:00:00"/>
        <d v="2020-12-03T00:00:00"/>
        <d v="2021-07-11T00:00:00"/>
        <d v="2021-08-14T00:00:00"/>
        <d v="2021-07-05T00:00:00"/>
        <d v="2020-07-22T00:00:00"/>
        <d v="2022-04-10T00:00:00"/>
        <d v="2020-05-26T00:00:00"/>
        <d v="2024-05-09T00:00:00"/>
        <d v="2021-09-13T00:00:00"/>
        <d v="2024-04-24T00:00:00"/>
        <d v="2020-03-04T00:00:00"/>
        <d v="2021-10-16T00:00:00"/>
        <d v="2020-08-04T00:00:00"/>
        <d v="2023-07-05T00:00:00"/>
        <d v="2024-05-24T00:00:00"/>
        <d v="2024-02-15T00:00:00"/>
        <d v="2021-04-15T00:00:00"/>
        <d v="2023-09-13T00:00:00"/>
        <d v="2020-03-23T00:00:00"/>
        <d v="2024-05-12T00:00:00"/>
        <d v="2022-12-31T00:00:00"/>
        <d v="2020-03-14T00:00:00"/>
        <d v="2024-11-22T00:00:00"/>
        <d v="2024-12-06T00:00:00"/>
        <d v="2023-12-31T00:00:00"/>
        <d v="2022-04-25T00:00:00"/>
        <d v="2024-12-22T00:00:00"/>
        <d v="2020-07-13T00:00:00"/>
        <d v="2022-08-17T00:00:00"/>
        <d v="2020-06-03T00:00:00"/>
        <d v="2021-08-22T00:00:00"/>
        <d v="2021-01-23T00:00:00"/>
        <d v="2020-04-08T00:00:00"/>
        <d v="2023-06-13T00:00:00"/>
        <d v="2024-05-27T00:00:00"/>
        <d v="2020-09-04T00:00:00"/>
        <d v="2024-10-09T00:00:00"/>
        <d v="2021-03-25T00:00:00"/>
        <d v="2021-10-24T00:00:00"/>
        <d v="2023-08-26T00:00:00"/>
        <d v="2020-11-23T00:00:00"/>
        <d v="2022-07-15T00:00:00"/>
        <d v="2023-08-30T00:00:00"/>
        <d v="2024-03-29T00:00:00"/>
        <d v="2024-09-16T00:00:00"/>
        <d v="2023-05-17T00:00:00"/>
        <d v="2020-12-22T00:00:00"/>
        <d v="2021-03-03T00:00:00"/>
        <d v="2024-03-01T00:00:00"/>
        <d v="2024-06-24T00:00:00"/>
        <d v="2022-03-05T00:00:00"/>
        <d v="2020-06-06T00:00:00"/>
        <d v="2020-09-24T00:00:00"/>
        <d v="2024-08-28T00:00:00"/>
        <d v="2024-03-22T00:00:00"/>
        <d v="2020-10-31T00:00:00"/>
        <d v="2021-08-04T00:00:00"/>
        <d v="2024-10-22T00:00:00"/>
        <d v="2020-03-22T00:00:00"/>
        <d v="2022-03-26T00:00:00"/>
        <d v="2024-10-26T00:00:00"/>
        <d v="2024-05-10T00:00:00"/>
        <d v="2023-03-15T00:00:00"/>
        <d v="2022-01-04T00:00:00"/>
        <d v="2022-05-06T00:00:00"/>
        <d v="2021-04-20T00:00:00"/>
        <d v="2021-08-05T00:00:00"/>
        <d v="2022-02-13T00:00:00"/>
        <d v="2022-11-22T00:00:00"/>
        <d v="2024-08-08T00:00:00"/>
        <d v="2023-01-03T00:00:00"/>
        <d v="2021-09-09T00:00:00"/>
        <d v="2023-04-14T00:00:00"/>
        <d v="2023-09-11T00:00:00"/>
        <d v="2023-09-26T00:00:00"/>
        <d v="2020-05-29T00:00:00"/>
        <d v="2024-02-01T00:00:00"/>
        <d v="2023-11-06T00:00:00"/>
        <d v="2023-05-05T00:00:00"/>
        <d v="2024-04-13T00:00:00"/>
        <d v="2021-10-30T00:00:00"/>
        <d v="2024-06-10T00:00:00"/>
        <d v="2020-10-22T00:00:00"/>
        <d v="2022-06-08T00:00:00"/>
        <d v="2024-07-28T00:00:00"/>
        <d v="2020-03-31T00:00:00"/>
        <d v="2024-08-31T00:00:00"/>
        <d v="2022-10-04T00:00:00"/>
        <d v="2021-07-10T00:00:00"/>
        <d v="2021-09-16T00:00:00"/>
        <d v="2021-05-06T00:00:00"/>
        <d v="2020-11-05T00:00:00"/>
        <d v="2023-04-21T00:00:00"/>
        <d v="2021-01-03T00:00:00"/>
        <d v="2023-07-27T00:00:00"/>
        <d v="2022-08-04T00:00:00"/>
        <d v="2023-06-24T00:00:00"/>
        <d v="2023-02-06T00:00:00"/>
        <d v="2020-02-03T00:00:00"/>
        <d v="2021-01-07T00:00:00"/>
        <d v="2020-04-24T00:00:00"/>
        <d v="2023-01-06T00:00:00"/>
        <d v="2020-06-26T00:00:00"/>
        <d v="2023-11-01T00:00:00"/>
        <d v="2020-01-04T00:00:00"/>
        <d v="2020-09-18T00:00:00"/>
        <d v="2024-05-16T00:00:00"/>
        <d v="2024-10-24T00:00:00"/>
        <d v="2024-03-16T00:00:00"/>
        <d v="2020-01-02T00:00:00"/>
        <d v="2020-05-15T00:00:00"/>
        <d v="2021-12-19T00:00:00"/>
        <d v="2023-01-12T00:00:00"/>
        <d v="2021-04-21T00:00:00"/>
        <d v="2021-09-19T00:00:00"/>
        <d v="2024-10-31T00:00:00"/>
        <d v="2020-05-23T00:00:00"/>
        <d v="2020-12-14T00:00:00"/>
        <d v="2020-09-05T00:00:00"/>
        <d v="2023-04-27T00:00:00"/>
        <d v="2021-07-19T00:00:00"/>
        <d v="2021-10-19T00:00:00"/>
        <d v="2022-07-11T00:00:00"/>
        <d v="2020-04-13T00:00:00"/>
        <d v="2023-07-07T00:00:00"/>
        <d v="2022-07-01T00:00:00"/>
        <d v="2021-03-02T00:00:00"/>
        <d v="2020-11-25T00:00:00"/>
        <d v="2020-01-10T00:00:00"/>
        <d v="2023-03-23T00:00:00"/>
        <d v="2021-07-30T00:00:00"/>
        <d v="2021-10-17T00:00:00"/>
        <d v="2023-10-11T00:00:00"/>
        <d v="2023-10-31T00:00:00"/>
        <d v="2020-05-11T00:00:00"/>
        <d v="2024-12-12T00:00:00"/>
        <d v="2022-04-04T00:00:00"/>
        <d v="2023-08-02T00:00:00"/>
        <d v="2021-03-23T00:00:00"/>
        <d v="2022-03-24T00:00:00"/>
        <d v="2022-11-25T00:00:00"/>
        <d v="2024-04-07T00:00:00"/>
        <d v="2022-12-19T00:00:00"/>
        <d v="2022-07-06T00:00:00"/>
        <d v="2024-04-29T00:00:00"/>
        <d v="2020-01-18T00:00:00"/>
        <d v="2022-12-08T00:00:00"/>
        <d v="2023-01-01T00:00:00"/>
        <d v="2024-12-30T00:00:00"/>
        <d v="2020-03-26T00:00:00"/>
        <d v="2023-03-01T00:00:00"/>
        <d v="2024-01-23T00:00:00"/>
        <d v="2022-10-24T00:00:00"/>
        <d v="2020-10-06T00:00:00"/>
        <d v="2022-08-10T00:00:00"/>
        <d v="2022-12-22T00:00:00"/>
        <d v="2021-08-06T00:00:00"/>
        <d v="2020-11-26T00:00:00"/>
        <d v="2022-12-20T00:00:00"/>
        <d v="2023-02-23T00:00:00"/>
        <d v="2024-04-01T00:00:00"/>
        <d v="2024-09-29T00:00:00"/>
        <d v="2022-01-19T00:00:00"/>
        <d v="2021-05-28T00:00:00"/>
        <d v="2024-01-25T00:00:00"/>
        <d v="2022-03-02T00:00:00"/>
        <d v="2022-09-09T00:00:00"/>
        <d v="2023-07-24T00:00:00"/>
        <d v="2020-03-07T00:00:00"/>
        <d v="2023-11-18T00:00:00"/>
        <d v="2022-09-05T00:00:00"/>
        <d v="2023-11-04T00:00:00"/>
        <d v="2023-06-22T00:00:00"/>
        <d v="2024-01-27T00:00:00"/>
        <d v="2023-06-06T00:00:00"/>
        <d v="2024-08-06T00:00:00"/>
        <d v="2020-06-04T00:00:00"/>
        <d v="2024-07-22T00:00:00"/>
        <d v="2020-12-16T00:00:00"/>
        <d v="2022-04-09T00:00:00"/>
        <d v="2023-11-28T00:00:00"/>
        <d v="2022-04-15T00:00:00"/>
        <d v="2024-10-04T00:00:00"/>
        <d v="2022-04-27T00:00:00"/>
        <d v="2022-07-21T00:00:00"/>
        <d v="2020-09-14T00:00:00"/>
        <d v="2020-01-17T00:00:00"/>
        <d v="2020-12-24T00:00:00"/>
        <d v="2022-10-21T00:00:00"/>
        <d v="2021-05-22T00:00:00"/>
        <d v="2023-08-12T00:00:00"/>
        <d v="2022-05-04T00:00:00"/>
        <d v="2023-12-11T00:00:00"/>
        <d v="2023-02-19T00:00:00"/>
        <d v="2020-12-08T00:00:00"/>
        <d v="2024-12-31T00:00:00"/>
        <d v="2023-04-19T00:00:00"/>
        <d v="2024-11-17T00:00:00"/>
        <d v="2020-12-13T00:00:00"/>
        <d v="2021-01-30T00:00:00"/>
        <d v="2024-11-06T00:00:00"/>
        <d v="2023-03-21T00:00:00"/>
        <d v="2023-06-30T00:00:00"/>
        <d v="2023-05-03T00:00:00"/>
        <d v="2021-02-25T00:00:00"/>
        <d v="2021-07-27T00:00:00"/>
        <d v="2020-07-02T00:00:00"/>
        <d v="2022-10-31T00:00:00"/>
        <d v="2020-06-16T00:00:00"/>
        <d v="2024-09-12T00:00:00"/>
        <d v="2024-04-05T00:00:00"/>
        <d v="2024-11-19T00:00:00"/>
        <d v="2021-03-15T00:00:00"/>
        <d v="2021-12-08T00:00:00"/>
        <d v="2020-05-17T00:00:00"/>
        <d v="2022-02-03T00:00:00"/>
        <d v="2023-01-02T00:00:00"/>
        <d v="2024-10-03T00:00:00"/>
        <d v="2024-10-07T00:00:00"/>
        <d v="2023-08-13T00:00:00"/>
        <d v="2022-08-30T00:00:00"/>
        <d v="2020-10-20T00:00:00"/>
        <d v="2023-01-10T00:00:00"/>
        <d v="2020-08-17T00:00:00"/>
        <d v="2022-04-18T00:00:00"/>
        <d v="2024-06-11T00:00:00"/>
        <d v="2024-01-08T00:00:00"/>
        <d v="2022-03-13T00:00:00"/>
        <d v="2021-12-28T00:00:00"/>
        <d v="2022-10-26T00:00:00"/>
        <d v="2022-12-26T00:00:00"/>
        <d v="2022-05-25T00:00:00"/>
        <d v="2024-03-26T00:00:00"/>
        <d v="2023-12-23T00:00:00"/>
        <d v="2023-10-08T00:00:00"/>
        <d v="2020-06-10T00:00:00"/>
        <d v="2023-04-26T00:00:00"/>
        <d v="2022-08-27T00:00:00"/>
        <d v="2024-10-23T00:00:00"/>
        <d v="2022-09-14T00:00:00"/>
        <d v="2020-05-21T00:00:00"/>
        <d v="2022-03-28T00:00:00"/>
        <d v="2022-09-01T00:00:00"/>
        <d v="2023-03-08T00:00:00"/>
        <d v="2023-06-10T00:00:00"/>
        <d v="2023-02-08T00:00:00"/>
        <d v="2024-09-26T00:00:00"/>
        <d v="2024-02-17T00:00:00"/>
        <d v="2022-01-18T00:00:00"/>
        <d v="2022-08-20T00:00:00"/>
        <d v="2024-12-19T00:00:00"/>
        <d v="2023-05-15T00:00:00"/>
        <d v="2023-02-15T00:00:00"/>
        <d v="2020-05-25T00:00:00"/>
        <d v="2021-06-11T00:00:00"/>
        <d v="2023-08-14T00:00:00"/>
        <d v="2022-05-30T00:00:00"/>
        <d v="2022-04-13T00:00:00"/>
        <d v="2024-11-23T00:00:00"/>
        <d v="2020-12-06T00:00:00"/>
        <d v="2021-02-14T00:00:00"/>
        <d v="2024-07-07T00:00:00"/>
        <d v="2021-09-08T00:00:00"/>
        <d v="2023-05-24T00:00:00"/>
        <d v="2021-10-29T00:00:00"/>
        <d v="2023-03-07T00:00:00"/>
        <d v="2021-04-29T00:00:00"/>
        <d v="2024-03-25T00:00:00"/>
        <d v="2023-06-27T00:00:00"/>
        <d v="2023-12-04T00:00:00"/>
        <d v="2024-10-08T00:00:00"/>
        <d v="2021-11-17T00:00:00"/>
        <d v="2020-12-10T00:00:00"/>
        <d v="2024-03-05T00:00:00"/>
        <d v="2024-09-13T00:00:00"/>
        <d v="2020-05-18T00:00:00"/>
        <d v="2020-02-12T00:00:00"/>
        <d v="2024-01-13T00:00:00"/>
        <d v="2023-08-21T00:00:00"/>
        <d v="2022-01-23T00:00:00"/>
        <d v="2020-11-29T00:00:00"/>
        <d v="2022-09-18T00:00:00"/>
        <d v="2024-08-17T00:00:00"/>
        <d v="2024-04-17T00:00:00"/>
        <d v="2022-09-13T00:00:00"/>
        <d v="2021-03-01T00:00:00"/>
        <d v="2020-07-11T00:00:00"/>
        <d v="2020-09-20T00:00:00"/>
        <d v="2024-05-14T00:00:00"/>
        <d v="2024-10-21T00:00:00"/>
        <d v="2024-07-09T00:00:00"/>
        <d v="2021-12-30T00:00:00"/>
        <d v="2024-05-13T00:00:00"/>
        <d v="2023-09-03T00:00:00"/>
        <d v="2024-11-26T00:00:00"/>
        <d v="2022-06-03T00:00:00"/>
        <d v="2023-12-18T00:00:00"/>
        <d v="2022-05-21T00:00:00"/>
        <d v="2021-05-02T00:00:00"/>
        <d v="2020-12-29T00:00:00"/>
        <d v="2022-01-05T00:00:00"/>
        <d v="2021-11-04T00:00:00"/>
        <d v="2023-07-31T00:00:00"/>
        <d v="2020-04-19T00:00:00"/>
        <d v="2023-11-19T00:00:00"/>
        <d v="2021-03-18T00:00:00"/>
        <d v="2023-08-04T00:00:00"/>
        <d v="2023-11-22T00:00:00"/>
        <d v="2024-06-08T00:00:00"/>
        <d v="2022-11-10T00:00:00"/>
        <d v="2022-06-17T00:00:00"/>
        <d v="2020-06-24T00:00:00"/>
        <d v="2022-02-28T00:00:00"/>
        <d v="2024-02-05T00:00:00"/>
        <d v="2021-01-18T00:00:00"/>
        <d v="2020-02-28T00:00:00"/>
        <d v="2024-07-12T00:00:00"/>
        <d v="2021-05-16T00:00:00"/>
        <d v="2020-07-07T00:00:00"/>
        <d v="2021-08-16T00:00:00"/>
        <d v="2023-09-16T00:00:00"/>
        <d v="2024-11-28T00:00:00"/>
        <d v="2024-03-28T00:00:00"/>
        <d v="2023-01-14T00:00:00"/>
        <d v="2022-10-02T00:00:00"/>
        <d v="2020-01-09T00:00:00"/>
        <d v="2024-07-31T00:00:00"/>
        <d v="2021-11-03T00:00:00"/>
        <d v="2024-01-16T00:00:00"/>
        <d v="2020-08-07T00:00:00"/>
        <d v="2021-11-24T00:00:00"/>
        <d v="2020-04-02T00:00:00"/>
        <d v="2020-02-05T00:00:00"/>
        <d v="2020-10-18T00:00:00"/>
        <d v="2023-03-03T00:00:00"/>
        <d v="2021-01-19T00:00:00"/>
        <d v="2024-12-16T00:00:00"/>
        <d v="2024-04-03T00:00:00"/>
        <d v="2022-12-06T00:00:00"/>
        <d v="2022-07-20T00:00:00"/>
        <d v="2022-08-26T00:00:00"/>
        <d v="2021-03-06T00:00:00"/>
        <d v="2023-10-06T00:00:00"/>
        <d v="2022-08-16T00:00:00"/>
        <d v="2020-07-24T00:00:00"/>
        <d v="2023-03-30T00:00:00"/>
        <d v="2020-11-10T00:00:00"/>
        <d v="2021-06-16T00:00:00"/>
        <d v="2021-07-18T00:00:00"/>
        <d v="2020-08-30T00:00:00"/>
        <d v="2021-03-21T00:00:00"/>
        <d v="2022-12-27T00:00:00"/>
        <d v="2024-11-13T00:00:00"/>
        <d v="2022-03-04T00:00:00"/>
        <d v="2021-01-20T00:00:00"/>
        <d v="2021-05-01T00:00:00"/>
        <d v="2021-08-19T00:00:00"/>
        <d v="2020-11-17T00:00:00"/>
        <d v="2020-06-07T00:00:00"/>
        <d v="2024-12-15T00:00:00"/>
        <d v="2024-03-24T00:00:00"/>
        <d v="2023-12-06T00:00:00"/>
        <d v="2022-10-03T00:00:00"/>
        <d v="2022-09-27T00:00:00"/>
        <d v="2022-02-11T00:00:00"/>
        <d v="2020-11-06T00:00:00"/>
        <d v="2021-01-10T00:00:00"/>
        <d v="2023-10-02T00:00:00"/>
        <d v="2023-06-28T00:00:00"/>
        <d v="2023-04-13T00:00:00"/>
        <d v="2024-05-07T00:00:00"/>
        <d v="2020-08-14T00:00:00"/>
        <d v="2020-08-20T00:00:00"/>
        <d v="2022-12-16T00:00:00"/>
        <d v="2020-12-01T00:00:00"/>
        <d v="2023-11-02T00:00:00"/>
        <d v="2023-11-14T00:00:00"/>
        <d v="2020-09-17T00:00:00"/>
        <d v="2023-10-07T00:00:00"/>
        <d v="2020-03-09T00:00:00"/>
        <d v="2022-03-27T00:00:00"/>
        <d v="2023-11-09T00:00:00"/>
        <d v="2021-07-17T00:00:00"/>
        <d v="2024-11-24T00:00:00"/>
        <d v="2023-10-03T00:00:00"/>
        <d v="2020-11-07T00:00:00"/>
        <d v="2020-11-28T00:00:00"/>
        <d v="2020-06-29T00:00:00"/>
        <d v="2022-12-02T00:00:00"/>
        <d v="2020-11-13T00:00:00"/>
        <d v="2024-02-06T00:00:00"/>
        <d v="2021-01-02T00:00:00"/>
      </sharedItems>
      <fieldGroup par="36"/>
    </cacheField>
    <cacheField name="Ship_Date" numFmtId="164">
      <sharedItems containsSemiMixedTypes="0" containsNonDate="0" containsDate="1" containsString="0" minDate="2020-01-05T00:00:00" maxDate="2025-01-10T00:00:00"/>
    </cacheField>
    <cacheField name="Ship_Mode" numFmtId="0">
      <sharedItems count="3">
        <s v="Same-day"/>
        <s v="Express"/>
        <s v="Standard"/>
      </sharedItems>
    </cacheField>
    <cacheField name="Region" numFmtId="0">
      <sharedItems count="5">
        <s v="Asia"/>
        <s v="North America"/>
        <s v="South America"/>
        <s v="Africa"/>
        <s v="Europe"/>
      </sharedItems>
    </cacheField>
    <cacheField name="Country" numFmtId="0">
      <sharedItems count="8">
        <s v="USA"/>
        <s v="India"/>
        <s v="Canada"/>
        <s v="China"/>
        <s v="UK"/>
        <s v="Germany"/>
        <s v="South Africa"/>
        <s v="Brazil"/>
      </sharedItems>
    </cacheField>
    <cacheField name="City" numFmtId="0">
      <sharedItems count="8">
        <s v="New York"/>
        <s v="Berlin"/>
        <s v="Mumbai"/>
        <s v="Toronto"/>
        <s v="São Paulo"/>
        <s v="Beijing"/>
        <s v="Cape Town"/>
        <s v="London"/>
      </sharedItems>
    </cacheField>
    <cacheField name="Product ID" numFmtId="0">
      <sharedItems count="779">
        <s v="OFF-PA-10000174"/>
        <s v="OFF-BI-10004094"/>
        <s v="OFF-LA-10003223"/>
        <s v="OFF-ST-10002743"/>
        <s v="OFF-AR-10003478"/>
        <s v="FUR-CH-10004063"/>
        <s v="OFF-AR-10001662"/>
        <s v="OFF-AR-10002399"/>
        <s v="OFF-BI-10004632"/>
        <s v="OFF-FA-10001883"/>
        <s v="OFF-PA-10000955"/>
        <s v="OFF-PA-10002005"/>
        <s v="TEC-PH-10004539"/>
        <s v="TEC-PH-10004977"/>
        <s v="FUR-FU-10004864"/>
        <s v="OFF-BI-10003708"/>
        <s v="OFF-AR-10004078"/>
        <s v="TEC-AC-10001266"/>
        <s v="FUR-FU-10000965"/>
        <s v="OFF-LA-10004272"/>
        <s v="FUR-FU-10000010"/>
        <s v="FUR-BO-10003034"/>
        <s v="FUR-CH-10000422"/>
        <s v="OFF-AR-10003514"/>
        <s v="OFF-BI-10003476"/>
        <s v="OFF-BI-10004187"/>
        <s v="OFF-EN-10001532"/>
        <s v="OFF-EN-10001990"/>
        <s v="OFF-PA-10002947"/>
        <s v="OFF-ST-10000025"/>
        <s v="OFF-ST-10000078"/>
        <s v="TEC-AC-10003174"/>
        <s v="FUR-BO-10003433"/>
        <s v="TEC-AC-10003628"/>
        <s v="FUR-FU-10001095"/>
        <s v="OFF-BI-10001575"/>
        <s v="OFF-LA-10001074"/>
        <s v="TEC-PH-10004614"/>
        <s v="OFF-AP-10000692"/>
        <s v="FUR-BO-10001972"/>
        <s v="OFF-BI-10003676"/>
        <s v="OFF-EN-10002504"/>
        <s v="OFF-PA-10000659"/>
        <s v="FUR-CH-10002331"/>
        <s v="FUR-FU-10002268"/>
        <s v="FUR-FU-10002918"/>
        <s v="FUR-FU-10003194"/>
        <s v="OFF-AP-10002311"/>
        <s v="OFF-AR-10002375"/>
        <s v="OFF-AR-10003811"/>
        <s v="OFF-AR-10004456"/>
        <s v="OFF-BI-10000605"/>
        <s v="OFF-BI-10003091"/>
        <s v="OFF-BI-10004364"/>
        <s v="OFF-EN-10001539"/>
        <s v="OFF-PA-10002893"/>
        <s v="OFF-ST-10000760"/>
        <s v="OFF-ST-10003123"/>
        <s v="TEC-PH-10001061"/>
        <s v="FUR-FU-10001889"/>
        <s v="FUR-FU-10001025"/>
        <s v="FUR-FU-10002445"/>
        <s v="FUR-FU-10002960"/>
        <s v="OFF-PA-10002689"/>
        <s v="TEC-PH-10001300"/>
        <s v="OFF-FA-10003467"/>
        <s v="OFF-PA-10001804"/>
        <s v="FUR-BO-10004409"/>
        <s v="FUR-FU-10001847"/>
        <s v="FUR-FU-10004587"/>
        <s v="OFF-BI-10001758"/>
        <s v="OFF-PA-10000380"/>
        <s v="OFF-PA-10003072"/>
        <s v="OFF-ST-10004337"/>
        <s v="TEC-PH-10002103"/>
        <s v="TEC-PH-10004833"/>
        <s v="FUR-TA-10003469"/>
        <s v="OFF-AR-10003179"/>
        <s v="OFF-ST-10003692"/>
        <s v="OFF-BI-10000343"/>
        <s v="OFF-PA-10001204"/>
        <s v="OFF-ST-10000991"/>
        <s v="FUR-BO-10003966"/>
        <s v="TEC-AC-10001432"/>
        <s v="OFF-BI-10000666"/>
        <s v="OFF-FA-10001843"/>
        <s v="TEC-PH-10002890"/>
        <s v="OFF-BI-10002827"/>
        <s v="OFF-BI-10004593"/>
        <s v="OFF-BI-10004230"/>
        <s v="OFF-PA-10000350"/>
        <s v="OFF-BI-10001196"/>
        <s v="OFF-LA-10002787"/>
        <s v="TEC-PH-10001615"/>
        <s v="TEC-PH-10003645"/>
        <s v="OFF-ST-10001558"/>
        <s v="TEC-AC-10000710"/>
        <s v="FUR-FU-10002111"/>
        <s v="FUR-CH-10001146"/>
        <s v="FUR-FU-10002298"/>
        <s v="FUR-TA-10003715"/>
        <s v="OFF-BI-10003291"/>
        <s v="OFF-BI-10004654"/>
        <s v="OFF-BI-10004728"/>
        <s v="OFF-LA-10004853"/>
        <s v="OFF-ST-10002583"/>
        <s v="FUR-CH-10000225"/>
        <s v="OFF-AP-10001293"/>
        <s v="OFF-PA-10000466"/>
        <s v="OFF-SU-10000157"/>
        <s v="TEC-AC-10000736"/>
        <s v="OFF-BI-10001031"/>
        <s v="OFF-AP-10001303"/>
        <s v="OFF-BI-10002012"/>
        <s v="OFF-AR-10003631"/>
        <s v="FUR-FU-10002396"/>
        <s v="OFF-ST-10000321"/>
        <s v="FUR-FU-10000221"/>
        <s v="OFF-PA-10003363"/>
        <s v="TEC-AC-10001284"/>
        <s v="OFF-PA-10001800"/>
        <s v="OFF-BI-10000320"/>
        <s v="OFF-LA-10004425"/>
        <s v="OFF-PA-10000069"/>
        <s v="OFF-AR-10003560"/>
        <s v="FUR-CH-10000863"/>
        <s v="FUR-CH-10001270"/>
        <s v="FUR-TA-10001866"/>
        <s v="OFF-FA-10004395"/>
        <s v="OFF-PA-10003036"/>
        <s v="OFF-ST-10001469"/>
        <s v="TEC-PH-10003655"/>
        <s v="OFF-PA-10000327"/>
        <s v="OFF-PA-10000587"/>
        <s v="TEC-AC-10004353"/>
        <s v="FUR-TA-10002958"/>
        <s v="OFF-AP-10002534"/>
        <s v="OFF-BI-10003429"/>
        <s v="OFF-LA-10000305"/>
        <s v="OFF-ST-10002486"/>
        <s v="TEC-PH-10004700"/>
        <s v="OFF-AR-10001374"/>
        <s v="OFF-ST-10001370"/>
        <s v="OFF-AR-10000588"/>
        <s v="OFF-BI-10001617"/>
        <s v="OFF-PA-10001878"/>
        <s v="OFF-SU-10000381"/>
        <s v="TEC-AC-10002001"/>
        <s v="FUR-CH-10002780"/>
        <s v="FUR-CH-10004477"/>
        <s v="FUR-CH-10004495"/>
        <s v="OFF-AR-10000390"/>
        <s v="OFF-AR-10001427"/>
        <s v="OFF-BI-10004224"/>
        <s v="OFF-ST-10000934"/>
        <s v="OFF-ST-10002344"/>
        <s v="OFF-AR-10001044"/>
        <s v="OFF-PA-10002259"/>
        <s v="FUR-FU-10003981"/>
        <s v="OFF-AP-10002578"/>
        <s v="OFF-AR-10001770"/>
        <s v="OFF-FA-10001561"/>
        <s v="OFF-PA-10000213"/>
        <s v="OFF-PA-10002137"/>
        <s v="TEC-PH-10000984"/>
        <s v="FUR-FU-10001979"/>
        <s v="FUR-CH-10003379"/>
        <s v="OFF-AR-10003723"/>
        <s v="OFF-BI-10003007"/>
        <s v="OFF-PA-10000176"/>
        <s v="OFF-PA-10001215"/>
        <s v="OFF-ST-10000736"/>
        <s v="OFF-ST-10003221"/>
        <s v="TEC-AC-10004877"/>
        <s v="TEC-MA-10003626"/>
        <s v="FUR-FU-10001756"/>
        <s v="OFF-BI-10000773"/>
        <s v="OFF-BI-10001543"/>
        <s v="OFF-PA-10002120"/>
        <s v="OFF-ST-10001490"/>
        <s v="TEC-PH-10002415"/>
        <s v="FUR-TA-10001950"/>
        <s v="FUR-TA-10003473"/>
        <s v="FUR-TA-10004175"/>
        <s v="OFF-AP-10001154"/>
        <s v="OFF-AP-10003971"/>
        <s v="OFF-AR-10003732"/>
        <s v="OFF-AR-10003829"/>
        <s v="OFF-BI-10000136"/>
        <s v="OFF-BI-10000309"/>
        <s v="OFF-PA-10000919"/>
        <s v="OFF-PA-10002195"/>
        <s v="OFF-PA-10002365"/>
        <s v="OFF-PA-10002960"/>
        <s v="OFF-PA-10003063"/>
        <s v="OFF-PA-10003349"/>
        <s v="OFF-PA-10003641"/>
        <s v="FUR-BO-10004218"/>
        <s v="FUR-FU-10001986"/>
        <s v="FUR-FU-10004270"/>
        <s v="FUR-FU-10004597"/>
        <s v="OFF-AR-10003183"/>
        <s v="OFF-FA-10003112"/>
        <s v="TEC-MA-10001148"/>
        <s v="TEC-MA-10002412"/>
        <s v="FUR-FU-10002508"/>
        <s v="OFF-LA-10000443"/>
        <s v="OFF-ST-10000918"/>
        <s v="TEC-AC-10002647"/>
        <s v="TEC-PH-10004667"/>
        <s v="FUR-FU-10001473"/>
        <s v="OFF-AR-10001573"/>
        <s v="OFF-AR-10004027"/>
        <s v="OFF-AR-10004685"/>
        <s v="OFF-BI-10001597"/>
        <s v="OFF-LA-10004409"/>
        <s v="OFF-LA-10004544"/>
        <s v="OFF-PA-10000675"/>
        <s v="OFF-ST-10002301"/>
        <s v="TEC-PH-10000730"/>
        <s v="FUR-CH-10001482"/>
        <s v="OFF-BI-10002735"/>
        <s v="OFF-BI-10004410"/>
        <s v="OFF-PA-10002581"/>
        <s v="OFF-LA-10004484"/>
        <s v="OFF-ST-10000585"/>
        <s v="TEC-PH-10003484"/>
        <s v="FUR-FU-10002813"/>
        <s v="OFF-PA-10004948"/>
        <s v="FUR-CH-10002439"/>
        <s v="OFF-AR-10000034"/>
        <s v="OFF-AR-10003338"/>
        <s v="TEC-AC-10002558"/>
        <s v="OFF-AR-10004272"/>
        <s v="OFF-LA-10001982"/>
        <s v="TEC-AC-10002323"/>
        <s v="TEC-PH-10004100"/>
        <s v="FUR-TA-10000198"/>
        <s v="FUR-TA-10003954"/>
        <s v="OFF-EN-10001509"/>
        <s v="TEC-PH-10003273"/>
        <s v="FUR-TA-10001889"/>
        <s v="FUR-BO-10001337"/>
        <s v="FUR-CH-10002304"/>
        <s v="OFF-AR-10001231"/>
        <s v="OFF-AR-10001915"/>
        <s v="OFF-EN-10002230"/>
        <s v="OFF-LA-10002312"/>
        <s v="OFF-ST-10001511"/>
        <s v="OFF-ST-10002957"/>
        <s v="TEC-PH-10001819"/>
        <s v="FUR-CH-10002965"/>
        <s v="OFF-AP-10002765"/>
        <s v="OFF-BI-10001097"/>
        <s v="OFF-BI-10001636"/>
        <s v="OFF-BI-10002071"/>
        <s v="OFF-BI-10003529"/>
        <s v="OFF-BI-10004390"/>
        <s v="TEC-AC-10004901"/>
        <s v="OFF-BI-10000042"/>
        <s v="OFF-BI-10000145"/>
        <s v="OFF-ST-10000636"/>
        <s v="FUR-FU-10003192"/>
        <s v="OFF-AP-10003842"/>
        <s v="OFF-PA-10001593"/>
        <s v="OFF-PA-10002986"/>
        <s v="OFF-PA-10004248"/>
        <s v="TEC-PH-10001128"/>
        <s v="OFF-EN-10001415"/>
        <s v="FUR-FU-10004020"/>
        <s v="OFF-AR-10001955"/>
        <s v="OFF-BI-10004140"/>
        <s v="OFF-LA-10001641"/>
        <s v="OFF-PA-10003797"/>
        <s v="OFF-ST-10004180"/>
        <s v="TEC-AC-10002926"/>
        <s v="OFF-AR-10000127"/>
        <s v="OFF-AR-10002952"/>
        <s v="OFF-AR-10004757"/>
        <s v="OFF-BI-10002852"/>
        <s v="OFF-BI-10004209"/>
        <s v="OFF-PA-10004071"/>
        <s v="OFF-ST-10001031"/>
        <s v="OFF-ST-10003455"/>
        <s v="OFF-SU-10002881"/>
        <s v="FUR-FU-10000747"/>
        <s v="FUR-FU-10001918"/>
        <s v="FUR-TA-10000688"/>
        <s v="FUR-TA-10001039"/>
        <s v="OFF-AR-10001725"/>
        <s v="OFF-BI-10002794"/>
        <s v="OFF-BI-10003719"/>
        <s v="OFF-PA-10001977"/>
        <s v="OFF-PA-10003309"/>
        <s v="OFF-SU-10004498"/>
        <s v="TEC-AC-10003441"/>
        <s v="TEC-AC-10004171"/>
        <s v="TEC-AC-10004659"/>
        <s v="FUR-FU-10004415"/>
        <s v="OFF-PA-10000100"/>
        <s v="OFF-PA-10003441"/>
        <s v="TEC-PH-10004922"/>
        <s v="FUR-TA-10001086"/>
        <s v="FUR-TA-10003748"/>
        <s v="FUR-TA-10004442"/>
        <s v="OFF-FA-10000611"/>
        <s v="OFF-PA-10004733"/>
        <s v="TEC-AC-10001908"/>
        <s v="OFF-BI-10004817"/>
        <s v="OFF-FA-10001332"/>
        <s v="OFF-PA-10000029"/>
        <s v="OFF-ST-10000876"/>
        <s v="TEC-AC-10001874"/>
        <s v="TEC-AC-10003399"/>
        <s v="TEC-PH-10000586"/>
        <s v="TEC-PH-10001835"/>
        <s v="OFF-AR-10002987"/>
        <s v="OFF-BI-10002764"/>
        <s v="OFF-PA-10000289"/>
        <s v="TEC-PH-10000576"/>
        <s v="TEC-PH-10001557"/>
        <s v="OFF-AR-10000122"/>
        <s v="OFF-BI-10003656"/>
        <s v="OFF-FA-10002780"/>
        <s v="OFF-LA-10002368"/>
        <s v="TEC-PH-10000702"/>
        <s v="FUR-FU-10004091"/>
        <s v="OFF-AP-10000240"/>
        <s v="FUR-CH-10002602"/>
        <s v="OFF-AR-10000657"/>
        <s v="OFF-AR-10001868"/>
        <s v="OFF-EN-10000056"/>
        <s v="OFF-FA-10000134"/>
        <s v="TEC-AC-10000474"/>
        <s v="TEC-MA-10002859"/>
        <s v="FUR-FU-10004017"/>
        <s v="OFF-BI-10003638"/>
        <s v="OFF-PA-10001569"/>
        <s v="FUR-FU-10000409"/>
        <s v="FUR-TA-10001705"/>
        <s v="OFF-ST-10004634"/>
        <s v="OFF-BI-10002976"/>
        <s v="OFF-ST-10002574"/>
        <s v="OFF-BI-10004970"/>
        <s v="OFF-EN-10004773"/>
        <s v="FUR-FU-10002191"/>
        <s v="OFF-BI-10004876"/>
        <s v="FUR-CH-10003973"/>
        <s v="FUR-FU-10003708"/>
        <s v="OFF-AP-10001391"/>
        <s v="OFF-AR-10002221"/>
        <s v="OFF-PA-10003543"/>
        <s v="TEC-PH-10004531"/>
        <s v="FUR-CH-10004886"/>
        <s v="OFF-AR-10003504"/>
        <s v="OFF-BI-10001525"/>
        <s v="OFF-AR-10004752"/>
        <s v="OFF-BI-10001628"/>
        <s v="OFF-LA-10000452"/>
        <s v="OFF-LA-10001613"/>
        <s v="OFF-ST-10000877"/>
        <s v="OFF-ST-10001128"/>
        <s v="OFF-ST-10002214"/>
        <s v="TEC-PH-10001459"/>
        <s v="FUR-CH-10001394"/>
        <s v="FUR-FU-10001424"/>
        <s v="OFF-ST-10000798"/>
        <s v="TEC-PH-10000376"/>
        <s v="OFF-AR-10004010"/>
        <s v="TEC-AC-10002550"/>
        <s v="TEC-CO-10004202"/>
        <s v="OFF-BI-10003981"/>
        <s v="OFF-BI-10004828"/>
        <s v="OFF-LA-10002195"/>
        <s v="FUR-FU-10001852"/>
        <s v="OFF-AP-10000696"/>
        <s v="OFF-BI-10001294"/>
        <s v="OFF-FA-10000840"/>
        <s v="OFF-AR-10003651"/>
        <s v="OFF-PA-10000474"/>
        <s v="OFF-PA-10001363"/>
        <s v="OFF-PA-10003016"/>
        <s v="OFF-ST-10003442"/>
        <s v="OFF-AR-10001897"/>
        <s v="OFF-BI-10003684"/>
        <s v="FUR-CH-10004675"/>
        <s v="OFF-AR-10002578"/>
        <s v="OFF-BI-10001078"/>
        <s v="TEC-CO-10001449"/>
        <s v="OFF-LA-10003121"/>
        <s v="OFF-ST-10000107"/>
        <s v="TEC-AC-10000109"/>
        <s v="FUR-BO-10004467"/>
        <s v="FUR-CH-10002320"/>
        <s v="OFF-AR-10000716"/>
        <s v="OFF-EN-10001434"/>
        <s v="OFF-PA-10004353"/>
        <s v="OFF-SU-10004737"/>
        <s v="TEC-PH-10001817"/>
        <s v="TEC-PH-10003988"/>
        <s v="FUR-CH-10000015"/>
        <s v="FUR-FU-10000723"/>
        <s v="OFF-AP-10004249"/>
        <s v="OFF-BI-10002026"/>
        <s v="TEC-AC-10001013"/>
        <s v="TEC-AC-10001465"/>
        <s v="TEC-PH-10002597"/>
        <s v="FUR-TA-10002228"/>
        <s v="OFF-BI-10004519"/>
        <s v="OFF-FA-10002815"/>
        <s v="TEC-AC-10002800"/>
        <s v="FUR-FU-10004306"/>
        <s v="TEC-AC-10002217"/>
        <s v="FUR-FU-10000308"/>
        <s v="OFF-PA-10001526"/>
        <s v="TEC-PH-10002885"/>
        <s v="OFF-BI-10001249"/>
        <s v="FUR-FU-10000076"/>
        <s v="FUR-FU-10003489"/>
        <s v="OFF-AP-10000124"/>
        <s v="OFF-AR-10004511"/>
        <s v="TEC-AC-10004227"/>
        <s v="TEC-MA-10003176"/>
        <s v="FUR-CH-10003396"/>
        <s v="OFF-BI-10000977"/>
        <s v="OFF-BI-10001071"/>
        <s v="OFF-BI-10003925"/>
        <s v="OFF-EN-10003134"/>
        <s v="OFF-PA-10001560"/>
        <s v="OFF-PA-10003022"/>
        <s v="TEC-PH-10001530"/>
        <s v="TEC-PH-10002660"/>
        <s v="TEC-PH-10003171"/>
        <s v="OFF-AP-10002118"/>
        <s v="OFF-AR-10001246"/>
        <s v="OFF-BI-10000829"/>
        <s v="OFF-BI-10000848"/>
        <s v="OFF-PA-10003177"/>
        <s v="OFF-SU-10003002"/>
        <s v="TEC-PH-10003092"/>
        <s v="OFF-PA-10002319"/>
        <s v="FUR-FU-10002553"/>
        <s v="OFF-AP-10001394"/>
        <s v="OFF-PA-10001471"/>
        <s v="FUR-BO-10000362"/>
        <s v="FUR-CH-10000988"/>
        <s v="FUR-CH-10003981"/>
        <s v="OFF-ST-10001837"/>
        <s v="TEC-PH-10000441"/>
        <s v="TEC-PH-10002726"/>
        <s v="FUR-TA-10002607"/>
        <s v="OFF-BI-10004139"/>
        <s v="OFF-ST-10001809"/>
        <s v="TEC-AC-10001606"/>
        <s v="TEC-PH-10000486"/>
        <s v="OFF-BI-10003876"/>
        <s v="TEC-PH-10001552"/>
        <s v="FUR-TA-10001539"/>
        <s v="OFF-AP-10001005"/>
        <s v="OFF-BI-10004233"/>
        <s v="OFF-PA-10001622"/>
        <s v="OFF-PA-10001712"/>
        <s v="TEC-PH-10003505"/>
        <s v="TEC-PH-10002538"/>
        <s v="TEC-PH-10002680"/>
        <s v="FUR-FU-10001935"/>
        <s v="OFF-AP-10002945"/>
        <s v="OFF-AP-10004859"/>
        <s v="OFF-AR-10002135"/>
        <s v="OFF-BI-10001072"/>
        <s v="OFF-BI-10001765"/>
        <s v="OFF-PA-10000061"/>
        <s v="OFF-PA-10004082"/>
        <s v="OFF-ST-10002276"/>
        <s v="TEC-PH-10002563"/>
        <s v="FUR-FU-10000246"/>
        <s v="OFF-BI-10001658"/>
        <s v="TEC-PH-10001425"/>
        <s v="FUR-FU-10001475"/>
        <s v="FUR-TA-10004086"/>
        <s v="OFF-EN-10004459"/>
        <s v="OFF-LA-10001771"/>
        <s v="FUR-BO-10003272"/>
        <s v="FUR-FU-10002878"/>
        <s v="OFF-AP-10001626"/>
        <s v="OFF-PA-10001685"/>
        <s v="FUR-TA-10003238"/>
        <s v="OFF-AR-10002656"/>
        <s v="OFF-BI-10002557"/>
        <s v="OFF-BI-10003982"/>
        <s v="OFF-EN-10000461"/>
        <s v="OFF-SU-10001664"/>
        <s v="FUR-TA-10002041"/>
        <s v="FUR-CH-10002647"/>
        <s v="FUR-CH-10002758"/>
        <s v="OFF-ST-10003470"/>
        <s v="FUR-FU-10001487"/>
        <s v="FUR-FU-10002685"/>
        <s v="FUR-TA-10004534"/>
        <s v="OFF-AP-10002892"/>
        <s v="OFF-AR-10001953"/>
        <s v="OFF-AR-10002335"/>
        <s v="OFF-AR-10002833"/>
        <s v="OFF-AR-10003752"/>
        <s v="OFF-BI-10003910"/>
        <s v="OFF-SU-10001225"/>
        <s v="TEC-AC-10000303"/>
        <s v="TEC-PH-10002033"/>
        <s v="TEC-PH-10002275"/>
        <s v="OFF-LA-10003930"/>
        <s v="FUR-BO-10000711"/>
        <s v="FUR-TA-10001520"/>
        <s v="OFF-BI-10002706"/>
        <s v="OFF-PA-10001952"/>
        <s v="OFF-AR-10003772"/>
        <s v="OFF-EN-10003286"/>
        <s v="OFF-BI-10004995"/>
        <s v="OFF-FA-10000624"/>
        <s v="OFF-PA-10001725"/>
        <s v="TEC-MA-10000423"/>
        <s v="TEC-PH-10000215"/>
        <s v="OFF-PA-10000167"/>
        <s v="FUR-BO-10001608"/>
        <s v="OFF-AR-10003469"/>
        <s v="OFF-BI-10000756"/>
        <s v="OFF-PA-10001166"/>
        <s v="OFF-ST-10004123"/>
        <s v="TEC-MA-10001972"/>
        <s v="TEC-PH-10000369"/>
        <s v="FUR-FU-10000550"/>
        <s v="FUR-FU-10004071"/>
        <s v="OFF-AP-10003860"/>
        <s v="OFF-AR-10001919"/>
        <s v="OFF-AR-10003056"/>
        <s v="OFF-BI-10000069"/>
        <s v="OFF-BI-10001116"/>
        <s v="OFF-BI-10002931"/>
        <s v="OFF-PA-10003883"/>
        <s v="OFF-ST-10002444"/>
        <s v="TEC-MA-10004521"/>
        <s v="TEC-PH-10001578"/>
        <s v="TEC-PH-10003963"/>
        <s v="FUR-CH-10000454"/>
        <s v="FUR-CH-10004698"/>
        <s v="OFF-BI-10001553"/>
        <s v="OFF-ST-10001097"/>
        <s v="TEC-AC-10004114"/>
        <s v="TEC-PH-10004093"/>
        <s v="OFF-AR-10002766"/>
        <s v="OFF-SU-10002522"/>
        <s v="TEC-AC-10000158"/>
        <s v="FUR-FU-10001731"/>
        <s v="FUR-TA-10004147"/>
        <s v="OFF-AR-10000475"/>
        <s v="TEC-PH-10002115"/>
        <s v="OFF-BI-10003094"/>
        <s v="OFF-FA-10003495"/>
        <s v="OFF-PA-10000304"/>
        <s v="OFF-PA-10003395"/>
        <s v="OFF-AR-10003405"/>
        <s v="OFF-BI-10000174"/>
        <s v="OFF-AR-10001026"/>
        <s v="OFF-AR-10004582"/>
        <s v="OFF-BI-10002867"/>
        <s v="OFF-BI-10004528"/>
        <s v="OFF-PA-10001144"/>
        <s v="OFF-BI-10000546"/>
        <s v="OFF-BI-10003355"/>
        <s v="TEC-PH-10004586"/>
        <s v="TEC-PH-10002923"/>
        <s v="OFF-PA-10004734"/>
        <s v="FUR-FU-10001591"/>
        <s v="OFF-BI-10001670"/>
        <s v="OFF-BI-10001787"/>
        <s v="OFF-LA-10001934"/>
        <s v="OFF-ST-10000563"/>
        <s v="OFF-ST-10001522"/>
        <s v="TEC-AC-10003911"/>
        <s v="FUR-CH-10000155"/>
        <s v="TEC-CO-10001046"/>
        <s v="FUR-CH-10002880"/>
        <s v="FUR-FU-10003039"/>
        <s v="OFF-AR-10003251"/>
        <s v="OFF-BI-10002609"/>
        <s v="OFF-LA-10004559"/>
        <s v="OFF-PA-10002245"/>
        <s v="OFF-ST-10001505"/>
        <s v="FUR-FU-10000629"/>
        <s v="OFF-BI-10002954"/>
        <s v="OFF-LA-10001175"/>
        <s v="OFF-PA-10000552"/>
        <s v="OFF-PA-10001970"/>
        <s v="TEC-PH-10000895"/>
        <s v="TEC-PH-10003885"/>
        <s v="TEC-PH-10004912"/>
        <s v="FUR-CH-10001797"/>
        <s v="FUR-CH-10002126"/>
        <s v="FUR-TA-10004575"/>
        <s v="OFF-AR-10003158"/>
        <s v="OFF-BI-10003314"/>
        <s v="TEC-AC-10002857"/>
        <s v="TEC-PH-10000439"/>
        <s v="FUR-TA-10002855"/>
        <s v="FUR-FU-10001057"/>
        <s v="OFF-AP-10000576"/>
        <s v="OFF-AR-10004999"/>
        <s v="OFF-BI-10001098"/>
        <s v="TEC-PH-10002070"/>
        <s v="TEC-PH-10002583"/>
        <s v="OFF-FA-10000304"/>
        <s v="TEC-AC-10003709"/>
        <s v="FUR-CH-10002372"/>
        <s v="OFF-BI-10002103"/>
        <s v="FUR-TA-10004152"/>
        <s v="OFF-BI-10001759"/>
        <s v="OFF-BI-10002160"/>
        <s v="OFF-BI-10003694"/>
        <s v="FUR-CH-10002024"/>
        <s v="FUR-FU-10003577"/>
        <s v="FUR-FU-10003724"/>
        <s v="OFF-AR-10003481"/>
        <s v="OFF-BI-10001982"/>
        <s v="OFF-BI-10002498"/>
        <s v="OFF-PA-10000418"/>
        <s v="OFF-PA-10002230"/>
        <s v="OFF-PA-10003971"/>
        <s v="OFF-PA-10004569"/>
        <s v="OFF-ST-10003306"/>
        <s v="TEC-AC-10000023"/>
        <s v="FUR-CH-10001215"/>
        <s v="FUR-CH-10004997"/>
        <s v="OFF-AR-10002067"/>
        <s v="OFF-BI-10000494"/>
        <s v="OFF-EN-10003567"/>
        <s v="FUR-TA-10004767"/>
        <s v="OFF-AR-10002053"/>
        <s v="OFF-AR-10003190"/>
        <s v="OFF-ST-10003058"/>
        <s v="TEC-AC-10002567"/>
        <s v="OFF-AR-10000658"/>
        <s v="OFF-SU-10004664"/>
        <s v="TEC-AC-10001314"/>
        <s v="TEC-AC-10002076"/>
        <s v="TEC-AC-10002167"/>
        <s v="FUR-FU-10004351"/>
        <s v="OFF-ST-10001228"/>
        <s v="OFF-SU-10000151"/>
        <s v="FUR-CH-10000553"/>
        <s v="FUR-CH-10003312"/>
        <s v="FUR-FU-10000719"/>
        <s v="FUR-FU-10004018"/>
        <s v="FUR-FU-10004666"/>
        <s v="OFF-AP-10003281"/>
        <s v="OFF-BI-10001524"/>
        <s v="OFF-BI-10001679"/>
        <s v="OFF-LA-10002762"/>
        <s v="OFF-ST-10004804"/>
        <s v="TEC-AC-10002006"/>
        <s v="TEC-AC-10004814"/>
        <s v="TEC-PH-10001363"/>
        <s v="OFF-PA-10002709"/>
        <s v="TEC-AC-10002842"/>
        <s v="FUR-FU-10003623"/>
        <s v="OFF-EN-10000781"/>
        <s v="OFF-FA-10000621"/>
        <s v="FUR-BO-10002916"/>
        <s v="OFF-BI-10004506"/>
        <s v="OFF-FA-10000992"/>
        <s v="OFF-LA-10000240"/>
        <s v="OFF-PA-10002377"/>
        <s v="OFF-ST-10002011"/>
        <s v="TEC-AC-10003237"/>
        <s v="FUR-TA-10004289"/>
        <s v="OFF-AP-10003622"/>
        <s v="OFF-PA-10001019"/>
        <s v="OFF-PA-10001289"/>
        <s v="OFF-SU-10002537"/>
        <s v="OFF-AP-10001271"/>
        <s v="OFF-AP-10003590"/>
        <s v="OFF-AR-10000896"/>
        <s v="OFF-PA-10000806"/>
        <s v="OFF-ST-10002289"/>
        <s v="TEC-AC-10002473"/>
        <s v="TEC-PH-10002310"/>
        <s v="FUR-CH-10002335"/>
        <s v="FUR-CH-10003817"/>
        <s v="FUR-TA-10001307"/>
        <s v="OFF-AR-10004165"/>
        <s v="OFF-AR-10004602"/>
        <s v="TEC-AC-10004510"/>
        <s v="TEC-PH-10002468"/>
        <s v="TEC-AC-10004571"/>
        <s v="FUR-BO-10000468"/>
        <s v="FUR-FU-10001602"/>
        <s v="FUR-FU-10002088"/>
        <s v="OFF-AP-10002495"/>
        <s v="OFF-AP-10004708"/>
        <s v="OFF-EN-10002500"/>
        <s v="OFF-ST-10000532"/>
        <s v="TEC-AC-10001767"/>
        <s v="TEC-CO-10001571"/>
        <s v="TEC-CO-10004115"/>
        <s v="TEC-PH-10002398"/>
        <s v="OFF-AP-10004336"/>
        <s v="OFF-AR-10004587"/>
        <s v="OFF-BI-10001718"/>
        <s v="OFF-BI-10004600"/>
        <s v="OFF-FA-10004838"/>
        <s v="OFF-LA-10000262"/>
        <s v="OFF-PA-10001667"/>
        <s v="OFF-PA-10001937"/>
        <s v="TEC-PH-10000038"/>
        <s v="FUR-FU-10003691"/>
        <s v="OFF-AR-10003903"/>
        <s v="OFF-FA-10004854"/>
        <s v="OFF-ST-10004459"/>
        <s v="OFF-AP-10002403"/>
        <s v="OFF-AR-10004344"/>
        <s v="OFF-BI-10000138"/>
        <s v="OFF-BI-10002854"/>
        <s v="OFF-PA-10000295"/>
        <s v="OFF-SU-10000432"/>
        <s v="TEC-PH-10003691"/>
        <s v="FUR-CH-10003833"/>
        <s v="OFF-AP-10003287"/>
        <s v="OFF-BI-10001989"/>
        <s v="OFF-BI-10002309"/>
        <s v="OFF-PA-10000312"/>
        <s v="OFF-FA-10002676"/>
        <s v="OFF-PA-10000595"/>
        <s v="OFF-PA-10001639"/>
        <s v="TEC-AC-10000844"/>
        <s v="OFF-AR-10004930"/>
        <s v="OFF-BI-10000632"/>
        <s v="OFF-SU-10004768"/>
        <s v="OFF-BI-10001359"/>
        <s v="OFF-PA-10000246"/>
        <s v="OFF-AR-10002804"/>
        <s v="OFF-PA-10001846"/>
        <s v="OFF-SU-10003936"/>
        <s v="FUR-FU-10003274"/>
        <s v="OFF-PA-10000019"/>
        <s v="OFF-PA-10001125"/>
        <s v="OFF-PA-10001837"/>
        <s v="OFF-PA-10001934"/>
        <s v="OFF-PA-10003936"/>
        <s v="OFF-PA-10004530"/>
        <s v="OFF-SU-10004661"/>
        <s v="TEC-PH-10000149"/>
        <s v="FUR-FU-10004586"/>
        <s v="OFF-BI-10002799"/>
        <s v="FUR-FU-10000771"/>
        <s v="OFF-BI-10002133"/>
        <s v="OFF-BI-10002225"/>
        <s v="OFF-BI-10004141"/>
        <s v="OFF-EN-10002600"/>
        <s v="OFF-PA-10004965"/>
        <s v="OFF-PA-10004983"/>
        <s v="OFF-ST-10004258"/>
        <s v="TEC-AC-10002399"/>
        <s v="OFF-AR-10003770"/>
        <s v="OFF-PA-10002160"/>
        <s v="OFF-PA-10002659"/>
        <s v="FUR-FU-10002456"/>
        <s v="FUR-TA-10003569"/>
        <s v="OFF-BI-10002215"/>
        <s v="TEC-PH-10000455"/>
        <s v="TEC-PH-10001949"/>
        <s v="FUR-TA-10001857"/>
        <s v="OFF-EN-10001749"/>
        <s v="OFF-PA-10003001"/>
        <s v="OFF-PA-10004475"/>
        <s v="OFF-BI-10002432"/>
        <s v="TEC-AC-10001635"/>
        <s v="OFF-AR-10004042"/>
        <s v="OFF-BI-10002949"/>
        <s v="OFF-BI-10004716"/>
        <s v="OFF-PA-10004100"/>
        <s v="FUR-FU-10002116"/>
      </sharedItems>
    </cacheField>
    <cacheField name="Category" numFmtId="0">
      <sharedItems count="3">
        <s v="Office Supplies"/>
        <s v="Furniture"/>
        <s v="Technology"/>
      </sharedItems>
    </cacheField>
    <cacheField name="Sub-Category" numFmtId="0">
      <sharedItems/>
    </cacheField>
    <cacheField name="Product Name" numFmtId="0">
      <sharedItems count="767">
        <s v="Message Book, Wirebound, Four 5 1/2&quot; X 4&quot; Forms/Pg., 200 Dupl. Sets/Book"/>
        <s v="GBC Standard Plastic Binding Systems Combs"/>
        <s v="Avery 508"/>
        <s v="SAFCO Boltless Steel Shelving"/>
        <s v="Avery Hi-Liter EverBold Pen Style Fluorescent Highlighters, 4/Pack"/>
        <s v="Global Deluxe High-Back Manager's Chair"/>
        <s v="Rogers Handheld Barrel Pencil Sharpener"/>
        <s v="Dixon Prang Watercolor Pencils, 10-Color Set with Brush"/>
        <s v="Ibico Hi-Tech Manual Binding System"/>
        <s v="Alliance Super-Size Bands, Assorted Sizes"/>
        <s v="Southworth 25% Cotton Granite Paper &amp; Envelopes"/>
        <s v="Xerox 225"/>
        <s v="Wireless Extenders zBoost YX545 SOHO Signal Booster"/>
        <s v="GE 30524EE4"/>
        <s v="Howard Miller 14-1/2&quot; Diameter Chrome Round Wall Clock"/>
        <s v="Acco Four Pocket Poly Ring Binder with Label Holder, Smoke, 1&quot;"/>
        <s v="Newell 312"/>
        <s v="Memorex Micro Travel Drive 8 GB"/>
        <s v="Howard Miller 11-1/2&quot; Diameter Ridgewood Wall Clock"/>
        <s v="Avery 482"/>
        <s v="DAX Value U-Channel Document Frames, Easel Back"/>
        <s v="O'Sullivan Elevations Bookcase, Cherry Finish"/>
        <s v="Global Highback Leather Tilter in Burgundy"/>
        <s v="4009 Highlighters by Sanford"/>
        <s v="Avery Metallic Poly Binders"/>
        <s v="3-ring staple pack"/>
        <s v="Brown Kraft Recycled Envelopes"/>
        <s v="Staple envelope"/>
        <s v="Xerox 1923"/>
        <s v="Fellowes Stor/Drawer Steel Plus Storage Drawers"/>
        <s v="Tennsco 6- and 18-Compartment Lockers"/>
        <s v="Plantronics S12 Corded Telephone Headset System"/>
        <s v="Sauder Cornerstone Collection Library"/>
        <s v="Logitech 910-002974 M325 Wireless Mouse for Web Scrolling"/>
        <s v="DAX Black Cherry Wood-Tone Poster Frame"/>
        <s v="GBC Linen Binding Covers"/>
        <s v="Round Specialty Laser Printer Labels"/>
        <s v="AT&amp;T 841000 Phone"/>
        <s v="Fellowes Mighty 8 Compact Surge Protector"/>
        <s v="O'Sullivan 4-Shelf Bookcase in Odessa Pine"/>
        <s v="GBC Standard Recycled Report Covers, Clear Plastic Sheets"/>
        <s v="Tyvek  Top-Opening Peel &amp; Seel Envelopes, Plain White"/>
        <s v="TOPS Carbonless Receipt Book, Four 2-3/4 x 7-1/4 Money Receipts per Page"/>
        <s v="Hon 4700 Series Mobuis Mid-Back Task Chairs with Adjustable Arms"/>
        <s v="Ultra Door Push Plate"/>
        <s v="Eldon ClusterMat Chair Mat with Cordless Antistatic Protection"/>
        <s v="Eldon Expressions Desk Accessory, Wood Pencil Holder, Oak"/>
        <s v="Holmes Replacement Filter for HEPA Air Cleaner, Very Large Room, HEPA Filter"/>
        <s v="Newell 351"/>
        <s v="Newell 327"/>
        <s v="Panasonic KP-4ABK Battery-Operated Pencil Sharpener"/>
        <s v="Acco Pressboard Covers with Storage Hooks, 9 1/2&quot; x 11&quot;, Executive Red"/>
        <s v="GBC DocuBind TL200 Manual Binding Machine"/>
        <s v="Storex Dura Pro Binders"/>
        <s v="Wirebound Service Call Books, 5 1/2&quot; x 4&quot;"/>
        <s v="Eldon Fold 'N Roll Cart System"/>
        <s v="Fellowes Bases and Tops For Staxonsteel/High-Stak Systems"/>
        <s v="Apple iPhone 5C"/>
        <s v="Ultra Door Pull Handle"/>
        <s v="Eldon Imàge Series Desk Accessories, Clear"/>
        <s v="DAX Two-Tone Rosewood/Black Document Frame, Desktop, 5 x 7"/>
        <s v="Eldon 200 Class Desk Accessories, Burgundy"/>
        <s v="Weyerhaeuser First Choice Laser/Copy Paper (20Lb. and 88 Bright)"/>
        <s v="iKross Bluetooth Portable Keyboard + Cell Phone Stand Holder + Brush for Apple iPhone 5S 5C 5, 4S 4"/>
        <s v="Alliance Big Bands Rubber Bands, 12/Pack"/>
        <s v="Xerox 195"/>
        <s v="Safco Value Mate Series Steel Bookcases, Baked Enamel Finish on Steel, Gray"/>
        <s v="Eldon Image Series Black Desk Accessories"/>
        <s v="GE General Use Halogen Bulbs, 100 Watts, 1 Bulb per Pack"/>
        <s v="Wilson Jones 14 Line Acrylic Coated Pressboard Data Binders"/>
        <s v="REDIFORM Incoming/Outgoing Call Register, 11&quot; X 8 1/2&quot;, 100 Messages"/>
        <s v="Eureka Recycled Copy Paper 8 1/2&quot; x 11&quot;, Ream"/>
        <s v="SAFCO Commercial Wire Shelving, 72h"/>
        <s v="Jabra SPEAK 410"/>
        <s v="Macally Suction Cup Mount"/>
        <s v="Balt Split Level Computer Training Table"/>
        <s v="Dixon Ticonderoga Core-Lock Colored Pencils"/>
        <s v="Recycled Steel Personal File for Hanging File Folders"/>
        <s v="Pressboard Covers with Storage Hooks, 9 1/2&quot; x 11&quot;, Light Blue"/>
        <s v="Xerox 1972"/>
        <s v="Space Solutions HD Industrial Steel Shelving."/>
        <s v="Sauder Facets Collection Library, Sky Alder Finish"/>
        <s v="Enermax Aurora Lite Keyboard"/>
        <s v="Surelock Post Binders"/>
        <s v="Staples"/>
        <s v="AT&amp;T 17929 Lendline Telephone"/>
        <s v="Avery Durable Poly Binders"/>
        <s v="Ibico Laser Imprintable Binding System Covers"/>
        <s v="GBC Recycled Grain Textured Covers"/>
        <s v="Message Book, Standard Line &quot;While You Were Out&quot;, 5 1/2&quot; X 4&quot;, 200 Sets/Book"/>
        <s v="Avery Flip-Chart Easel Binder, Black"/>
        <s v="Avery 480"/>
        <s v="AT&amp;T CL82213"/>
        <s v="Aastra 57i VoIP phone"/>
        <s v="Acco Perma 4000 Stacking Storage Drawers"/>
        <s v="Maxell DVD-RAM Discs"/>
        <s v="Master Caster Door Stop, Large Brown"/>
        <s v="Global Value Mid-Back Manager's Chair, Gray"/>
        <s v="Rubbermaid ClusterMat Chairmats, Mat Size- 66&quot; x 60&quot;, Lip 20&quot; x 11&quot; -90 Degree Angle"/>
        <s v="Hon 2111 Invitation Series Corner Table"/>
        <s v="Wilson Jones Leather-Like Binders with DublLock Round Rings"/>
        <s v="VariCap6 Expandable Binder"/>
        <s v="Wilson Jones Turn Tabs Binder Tool for Ring Binders"/>
        <s v="Avery 483"/>
        <s v="Fellowes Neat Ideas Storage Cubes"/>
        <s v="Global Geo Office Task Chair, Gray"/>
        <s v="Belkin 8 Outlet Surge Protector"/>
        <s v="Memo Book, 100 Message Capacity, 5 3/8” x 11”"/>
        <s v="Compact Automatic Electric Letter Opener"/>
        <s v="Logitech G600 MMO Gaming Mouse"/>
        <s v="Pressboard Data Binders by Wilson Jones"/>
        <s v="Holmes Cool Mist Humidifier for the Whole House with 8-Gallon Output per Day, Extended Life Filter"/>
        <s v="Wilson Jones Easy Flow II Sheet Lifters"/>
        <s v="Staples in misc. colors"/>
        <s v="DAX Copper Panel Document Frame, 5 x 7 Size"/>
        <s v="Akro Stacking Bins"/>
        <s v="Master Caster Door Stop, Brown"/>
        <s v="Xerox 204"/>
        <s v="Enermax Briskie RF Wireless Keyboard and Mouse Combo"/>
        <s v="Xerox 220"/>
        <s v="GBC Plastic Binding Combs"/>
        <s v="Staple-on labels"/>
        <s v="TOPS 4 x 6 Fluorescent Color Memo Sheets, 500 Sheets per Pack"/>
        <s v="Zebra Zazzle Fluorescent Highlighters"/>
        <s v="Novimex Swivel Fabric Task Chair"/>
        <s v="Harbour Creations Steel Folding Chair"/>
        <s v="Bevis Round Conference Room Tables and Bases"/>
        <s v="Plymouth Boxed Rubber Bands by Plymouth"/>
        <s v="Black Print Carbonless 8 1/2&quot; x 8 1/4&quot; Rapid Memo Book"/>
        <s v="Fellowes Bankers Box Recycled Super Stor/Drawer"/>
        <s v="Sannysis Cute Owl Design Soft Skin Case Cover for Samsung Galaxy S4"/>
        <s v="Xerox 1971"/>
        <s v="Array Parchment Paper, Assorted Colors"/>
        <s v="Hypercom P1300 Pinpad"/>
        <s v="Bevis Oval Conference Table, Walnut"/>
        <s v="3.6 Cubic Foot Counter Height Office Refrigerator"/>
        <s v="Cardinal HOLDit! Binder Insert Strips,Extra Strips"/>
        <s v="Avery 495"/>
        <s v="Eldon Shelf Savers Cubes and Bins"/>
        <s v="PowerGen Dual USB Car Charger"/>
        <s v="BIC Brite Liner Highlighters, Chisel Tip"/>
        <s v="Sensible Storage WireTech Storage Systems"/>
        <s v="Newell 345"/>
        <s v="GBC Wire Binding Combs"/>
        <s v="Xerox 1891"/>
        <s v="Acme Forged Steel Scissors with Black Enamel Handles"/>
        <s v="Logitech Wireless Gaming Headset G930"/>
        <s v="Office Star - Task Chair with Contemporary Loop Arms"/>
        <s v="Global Push Button Manager's Chair, Indigo"/>
        <s v="Global Leather and Oak Executive Chair, Black"/>
        <s v="Newell Chalk Holder"/>
        <s v="Newell 330"/>
        <s v="Catalog Binders with Expanding Posts"/>
        <s v="Contico 72&quot;H Heavy-Duty Storage System"/>
        <s v="Carina 42&quot;Hx23 3/4&quot;W Media Storage Unit"/>
        <s v="BOSTON Ranger #55 Pencil Sharpener, Black"/>
        <s v="Geographics Note Cards, Blank, White, 8 1/2&quot; x 11&quot;"/>
        <s v="Eldon Wave Desk Accessories"/>
        <s v="Fellowes Premier Superior Surge Suppressor, 10-Outlet, With Phone and Remote"/>
        <s v="Economy #2 Pencils"/>
        <s v="Stockwell Push Pins"/>
        <s v="Xerox 198"/>
        <s v="Southworth 100% Résumé Paper, 24lb."/>
        <s v="Panasonic KX-TG9471B"/>
        <s v="Dana Halogen Swing-Arm Architect Lamp"/>
        <s v="Global Commerce Series High-Back Swivel/Tilt Chairs"/>
        <s v="Avery Hi-Liter Fluorescent Desk Style Markers"/>
        <s v="Premium Transparent Presentation Covers, No Pattern/Clear, 8 1/2&quot; x 11&quot;"/>
        <s v="Xerox 1887"/>
        <s v="Xerox 1963"/>
        <s v="Carina Double Wide Media Storage Towers in Natural &amp; Black"/>
        <s v="Staple magnet"/>
        <s v="Imation 30456 USB Flash Drive 8GB"/>
        <s v="Hewlett-Packard Deskjet 6540 Color Inkjet Printer"/>
        <s v="Eldon Expressions Desk Accessory, Wood Photo Frame, Mahogany"/>
        <s v="Insertable Tab Post Binder Dividers"/>
        <s v="GBC VeloBinder Manual Binding System"/>
        <s v="Xerox 1889"/>
        <s v="Hot File 7-Pocket, Floor Stand"/>
        <s v="Polycom VoiceStation 500 Conference phone"/>
        <s v="Balt Solid Wood Round Tables"/>
        <s v="Bretford Rectangular Conference Table Tops"/>
        <s v="Hon 30&quot; x 60&quot; Table with Locking Drawer"/>
        <s v="Bionaire Personal Warm Mist Humidifier/Vaporizer"/>
        <s v="Belkin 6 Outlet Metallic Surge Strip"/>
        <s v="Newell 333"/>
        <s v="Newell 35"/>
        <s v="Avery Non-Stick Heavy Duty View Round Locking Ring Binders"/>
        <s v="GBC Twin Loop Wire Binding Elements, 9/16&quot; Spine, Black"/>
        <s v="Xerox 1918"/>
        <s v="Xerox 1966"/>
        <s v="Xerox 1967"/>
        <s v="Xerox 1926"/>
        <s v="EcoTones Memo Sheets"/>
        <s v="Xerox 1957"/>
        <s v="Xerox 1909"/>
        <s v="Bush Heritage Pine Collection 5-Shelf Bookcase, Albany Pine Finish, *Special Order"/>
        <s v="Dana Fluorescent Magnifying Lamp, White, 36&quot;"/>
        <s v="Executive Impressions 13&quot; Clairmont Wall Clock"/>
        <s v="Eldon Cleatmat Chair Mats for Medium Pile Carpets"/>
        <s v="Avery Fluorescent Highlighter Four-Color Set"/>
        <s v="Swingline SM12-08 MicroCut Jam Free Shredder"/>
        <s v="Cisco TelePresence System EX90 Videoconferencing Unit"/>
        <s v="Document Clip Frames"/>
        <s v="Avery 501"/>
        <s v="Crate-A-Files"/>
        <s v="Logitech Wireless Boombox Speaker - portable - wireless, wired"/>
        <s v="Cisco 8x8 Inc. 6753i IP Business Phone System"/>
        <s v="DAX Wood Document Frame"/>
        <s v="American Pencil"/>
        <s v="Binney &amp; Smith inkTank Erasable Desk Highlighter, Chisel Tip, Yellow, 12/Box"/>
        <s v="Binney &amp; Smith Crayola Metallic Colored Pencils, 8-Color Set"/>
        <s v="Wilson Jones Ledger-Size, Piano-Hinge Binder, 2&quot;, Blue"/>
        <s v="Avery 492"/>
        <s v="Avery 505"/>
        <s v="Xerox 1919"/>
        <s v="Tennsco Commercial Shelving"/>
        <s v="Samsung Galaxy S4 Active"/>
        <s v="Office Star - Mesh Screen back chair with Vinyl seat"/>
        <s v="GBC Prestige Therm-A-Bind Covers"/>
        <s v="C-Line Peel &amp; Stick Add-On Filing Pockets, 8-3/4 x 5-1/8, 10/Pack"/>
        <s v="Xerox 1951"/>
        <s v="Avery 476"/>
        <s v="Economy Rollaway Files"/>
        <s v="Ooma Telo VoIP Home Phone System"/>
        <s v="DAX Contemporary Wood Frame with Silver Metal Mat, Desktop, 11 x 14 Size"/>
        <s v="Xerox 190"/>
        <s v="Iceberg Nesting Folding Chair, 19w x 6d x 43h"/>
        <s v="BIC Brite Liner Grip Highlighters, Assorted, 5/Pack"/>
        <s v="Eberhard Faber 3 1/2&quot; Golf Pencils"/>
        <s v="Imation Swivel Flash Drive USB flash drive - 8 GB"/>
        <s v="Newell 308"/>
        <s v="Smead Alpha-Z Color-Coded Name Labels First Letter Starter Set"/>
        <s v="SanDisk Ultra 32 GB MicroSDHC Class 10 Memory Card"/>
        <s v="Griffin GC17055 Auxiliary Audio Cable"/>
        <s v="Chromcraft Bull-Nose Wood Oval Conference Tables &amp; Bases"/>
        <s v="Hon 94000 Series Round Tables"/>
        <s v="Poly String Tie Envelopes"/>
        <s v="AT&amp;T TR1909W"/>
        <s v="Bush Advantage Collection Racetrack Conference Table"/>
        <s v="O'Sullivan Living Dimensions 2-Shelf Bookcases"/>
        <s v="Global Stack Chair without Arms, Black"/>
        <s v="Sanford EarthWrite Recycled Pencils, Medium Soft, #2"/>
        <s v="Peel-Off China Markers"/>
        <s v="Airmail Envelopes"/>
        <s v="Avery 490"/>
        <s v="Space Solutions Commercial Steel Shelving"/>
        <s v="Sterilite Show Offs Storage Containers"/>
        <s v="Innergie mMini Combo Duo USB Travel Charging Kit"/>
        <s v="Global Leather Highback Executive Chair with Pneumatic Height Adjustment, Black"/>
        <s v="Fellowes Advanced Computer Series Surge Protectors"/>
        <s v="Avery Hole Reinforcements"/>
        <s v="Ibico Plastic and Wire Spiral Binding Combs"/>
        <s v="Fellowes Black Plastic Comb Bindings"/>
        <s v="Avery Round Ring Poly Binders"/>
        <s v="GBC DocuBind 200 Manual Binding Machine"/>
        <s v="Kensington SlimBlade Notebook Wireless Mouse with Nano Receiver"/>
        <s v="Pressboard Data Binder, Crimson, 12&quot; X 8 1/2&quot;"/>
        <s v="Zipper Ring Binder Pockets"/>
        <s v="Rogers Profile Extra Capacity Storage Tub"/>
        <s v="Luxo Adjustable Task Clamp Lamp"/>
        <s v="Euro-Pro Shark Turbo Vacuum"/>
        <s v="Xerox 1947"/>
        <s v="Xerox 1898"/>
        <s v="Xerox 1990"/>
        <s v="Motorola Droid Maxx"/>
        <s v="Advantus Panel Wall Acrylic Frame"/>
        <s v="Newell 319"/>
        <s v="Avery Non-Stick Binders"/>
        <s v="Avery 518"/>
        <s v="Xerox 209"/>
        <s v="Safco Commercial Shelving"/>
        <s v="Logitech Wireless Marathon Mouse M705"/>
        <s v="Newell 321"/>
        <s v="Stanley Contemporary Battery Pencil Sharpeners"/>
        <s v="Crayola Colored Pencils"/>
        <s v="Ibico Standard Transparent Covers"/>
        <s v="Fellowes Twister Kit, Gray/Clear, 3/pkg"/>
        <s v="Eaton Premium Continuous-Feed Paper, 25% Cotton, Letter Size, White, 1000 Shts/Box"/>
        <s v="Adjustable Personal File Tote"/>
        <s v="Tenex File Box, Personal Filing Tote with Lid, Black"/>
        <s v="Martin Yale Chadless Opener Electric Letter Opener"/>
        <s v="Tenex B1-RE Series Chair Mats for Low Pile Carpets"/>
        <s v="C-Line Cubicle Keepers Polyproplyene Holder With Velcro Backings"/>
        <s v="Chromcraft Bull-Nose Wood Round Conference Table Top, Wood Base"/>
        <s v="KI Adjustable-Height Table"/>
        <s v="Boston Home &amp; Office Model 2000 Electric Pencil Sharpeners"/>
        <s v="Avery Trapezoid Ring Binder, 3&quot; Capacity, Black, 1040 sheets"/>
        <s v="Large Capacity Hanging Post Binders"/>
        <s v="Xerox 194"/>
        <s v="Xerox 211"/>
        <s v="Martin-Yale Premier Letter Opener"/>
        <s v="Kingston Digital DataTraveler 32GB USB 2.0"/>
        <s v="Razer Kraken 7.1 Surround Sound Over Ear USB Gaming Headset"/>
        <s v="Imation Secure+ Hardware Encrypted USB 2.0 Flash Drive; 16GB"/>
        <s v="Stacking Tray, Side-Loading, Legal, Smoke"/>
        <s v="Xerox 1945"/>
        <s v="Xerox 226"/>
        <s v="RCA Visys Integrated PBX 8-Line Router"/>
        <s v="SAFCO PlanMaster Boards, 60w x 37-1/2d, White Melamine"/>
        <s v="Bevis 36 x 72 Conference Tables"/>
        <s v="Riverside Furniture Stanwyck Manor Table Series"/>
        <s v="Binder Clips by OIC"/>
        <s v="Things To Do Today Spiral Book"/>
        <s v="Logitech Wireless Headset h800"/>
        <s v="GBC Personal VeloBind Strips"/>
        <s v="Acco Banker's Clasps, 5 3/4&quot;-Long"/>
        <s v="Xerox 224"/>
        <s v="Eldon Simplefile Box Office"/>
        <s v="Logitech Wireless Anywhere Mouse MX for PC and Mac"/>
        <s v="Memorex Mini Travel Drive 64 GB USB 2.0 Flash Drive"/>
        <s v="AT&amp;T SB67148 SynJ"/>
        <s v="Jawbone JAMBOX Wireless Bluetooth Speaker"/>
        <s v="Prismacolor Color Pencil Set"/>
        <s v="Recycled Pressboard Report Cover with Reinforced Top Hinge"/>
        <s v="Xerox 213"/>
        <s v="AT&amp;T 1080 Corded phone"/>
        <s v="Pyle PMP37LED"/>
        <s v="Newell 314"/>
        <s v="Fellowes PB200 Plastic Comb Binding Machine"/>
        <s v="Avery 479"/>
        <s v="Square Credit Card Reader, 4 1/2&quot; x 4 1/2&quot; x 1&quot;, White"/>
        <s v="Howard Miller 13&quot; Diameter Goldtone Round Wall Clock"/>
        <s v="Belkin F9G930V10-GRY 9 Outlet Surge"/>
        <s v="DMI Arturo Collection Mission-style Design Wood Chair"/>
        <s v="Binney &amp; Smith inkTank Desk Highlighter, Chisel Tip, Yellow, 12/Box"/>
        <s v="Prang Dustless Chalk Sticks"/>
        <s v="Cameo Buff Policy Envelopes"/>
        <s v="Advantus Push Pins, Aluminum Head"/>
        <s v="Kensington Expert Mouse Optical USB Trackball for PC or Mac"/>
        <s v="Ativa MDM8000 8-Sheet Micro-Cut Shredder"/>
        <s v="Executive Impressions 13&quot; Chairman Wall Clock"/>
        <s v="GBC Durable Plastic Covers"/>
        <s v="Xerox 232"/>
        <s v="GE 4 Foot Flourescent Tube, 40 Watt"/>
        <s v="Bush Advantage Collection Round Conference Table"/>
        <s v="Personal Folder Holder, Ebony"/>
        <s v="ACCOHIDE Binder by Acco"/>
        <s v="SAFCO Commercial Wire Shelving, Black"/>
        <s v="ACCOHIDE 3-Ring Binder, Blue, 1&quot;"/>
        <s v="G.E. Halogen Desk Lamp Bulbs"/>
        <s v="Wilson Jones Suede Grain Vinyl Binders"/>
        <s v="GuestStacker Chair with Chrome Finish Legs"/>
        <s v="Tenex Traditional Chairmats for Medium Pile Carpet, Standard Lip, 36&quot; x 48&quot;"/>
        <s v="Kensington 6 Outlet MasterPiece HOMEOFFICE Power Control Center"/>
        <s v="12 Colored Short Pencils"/>
        <s v="Xerox 1985"/>
        <s v="AT&amp;T CL2909"/>
        <s v="Bevis Steel Folding Chairs"/>
        <s v="Newell 347"/>
        <s v="Acco Pressboard Covers with Storage Hooks, 14 7/8&quot; x 11&quot;, Executive Red"/>
        <s v="Blackstonian Pencils"/>
        <s v="Acco Data Flex Cable Posts For Top &amp; Bottom Load Binders, 6&quot; Capacity"/>
        <s v="Avery 488"/>
        <s v="Avery File Folder Labels"/>
        <s v="Recycled Steel Personal File for Standard File Folders"/>
        <s v="Carina Mini System Audio Rack, Model AR050B"/>
        <s v="X-Rack File for Hanging Folders"/>
        <s v="Samsung Galaxy Mega 6.3"/>
        <s v="Global Leather Executive Chair"/>
        <s v="Dax Clear Box Frame"/>
        <s v="2300 Heavy-Duty Transfer File Systems by Perma"/>
        <s v="Square Credit Card Reader"/>
        <s v="Hunt Boston Vacuum Mount KS Pencil Sharpener"/>
        <s v="Maxell 4.7GB DVD-RW 3/Pack"/>
        <s v="Brother DCP1000 Digital 3 in 1 Multifunction Machine"/>
        <s v="Avery Durable Plastic 1&quot; Binders"/>
        <s v="GBC Poly Designer Binding Covers"/>
        <s v="Avery 481"/>
        <s v="Eldon Regeneration Recycled Desk Accessories, Smoke"/>
        <s v="Holmes Odor Grabber"/>
        <s v="Fellowes Binding Cases"/>
        <s v="OIC Thumb-Tacks"/>
        <s v="Newell 350"/>
        <s v="Easy-staple paper"/>
        <s v="Xerox 1933"/>
        <s v="Adams &quot;While You Were Out&quot; Message Pads"/>
        <s v="Eldon Portable Mobile Manager"/>
        <s v="Model L Table or Wall-Mount Pencil Sharpener"/>
        <s v="Wilson Jones Legal Size Ring Binders"/>
        <s v="Lifetime Advantage Folding Chairs, 4/Carton"/>
        <s v="Newell 335"/>
        <s v="Acco PRESSTEX Data Binder with Storage Hooks, Dark Blue, 14 7/8&quot; X 11&quot;"/>
        <s v="Hewlett Packard LaserJet 3310 Copier"/>
        <s v="Avery 506"/>
        <s v="Fellowes Super Stor/Drawer"/>
        <s v="Sony Micro Vault Click 16 GB USB 2.0 Flash Drive"/>
        <s v="Bestar Classic Bookcase"/>
        <s v="Hon Pagoda Stacking Chairs"/>
        <s v="DIXON Ticonderoga Erasable Checking Pencils"/>
        <s v="Strathmore #10 Envelopes, Ultimate White"/>
        <s v="Southworth 25% Cotton Premium Laser Paper and Envelopes"/>
        <s v="Acme Design Stainless Steel Bent Scissors"/>
        <s v="Wilson Electronics DB Pro Signal Booster"/>
        <s v="LF Elite 3D Dazzle Designer Hard Case Cover, Lf Stylus Pen and Wiper For Apple Iphone 5c Mini Lite"/>
        <s v="Hon Multipurpose Stacking Arm Chairs"/>
        <s v="Deflect-o EconoMat Studded, No Bevel Mat for Low Pile Carpeting"/>
        <s v="Staple holder"/>
        <s v="Avery Arch Ring Binders"/>
        <s v="Logitech ClearChat Comfort/USB Headset H390"/>
        <s v="SanDisk Cruzer 64 GB USB Flash Drive"/>
        <s v="Xblue XB-1670-86 X16 Small Office Telephone - Titanium"/>
        <s v="Bevis Traditional Conference Table Top, Plinth Base"/>
        <s v="GBC DocuBind P100 Manual Binding Machine"/>
        <s v="Plantronics Audio 478 Stereo USB Headset"/>
        <s v="Electrix Halogen Magnifier Lamp"/>
        <s v="Imation Clip USB flash drive - 8 GB"/>
        <s v="Deflect-o Glass Clear Studded Chair Mats"/>
        <s v="Xerox 1949"/>
        <s v="Apple iPhone 5"/>
        <s v="Avery Heavy-Duty EZD View Binder with Locking Rings"/>
        <s v="24-Hour Round Wall Clock"/>
        <s v="Contemporary Borderless Frame"/>
        <s v="Acco 6 Outlet Guardian Basic Surge Suppressor"/>
        <s v="Sanford Colorific Scented Colored Pencils, 12/Pack"/>
        <s v="SanDisk Ultra 16 GB MicroSDHC Class 10 Memory Card"/>
        <s v="Okidata B400 Printer"/>
        <s v="Global Deluxe Steno Chair"/>
        <s v="Ibico Plastic Spiral Binding Combs"/>
        <s v="GBC ProClick Punch Binding System"/>
        <s v="Fellowes PB300 Plastic Comb Binding Machine"/>
        <s v="Adams Telephone Message Books, 5 1/4” x 11”"/>
        <s v="Xerox 1992"/>
        <s v="Plantronics Voyager Pro Legend"/>
        <s v="Nortel Networks T7316 E Nt8 B27"/>
        <s v="Plantronics Encore H101 Dual Earpieces Headset"/>
        <s v="1.7 Cubic Foot Compact &quot;Cube&quot; Office Refrigerators"/>
        <s v="Newell 317"/>
        <s v="Angle-D Ring Binders"/>
        <s v="Xerox 1999"/>
        <s v="Letter Slitter"/>
        <s v="Motorola L804"/>
        <s v="Xerox 1944"/>
        <s v="Electrix Incandescent Magnifying Lamp, Black"/>
        <s v="Harmony Air Purifier"/>
        <s v="Strathmore Photo Frame Cards"/>
        <s v="Sauder Inglewood Library Bookcases"/>
        <s v="Hon Olson Stacker Stools"/>
        <s v="Global Commerce Series Low-Back Swivel/Tilt Chairs"/>
        <s v="SAFCO Mobile Desk Side File, Wire Frame"/>
        <s v="VTech DS6151"/>
        <s v="netTALK DUO VoIP Telephone Service"/>
        <s v="KI Conference Tables"/>
        <s v="Fellowes Presentation Covers for Comb Binding Machines"/>
        <s v="Fellowes Officeware Wire Shelving"/>
        <s v="Logitech Wireless Performance Mouse MX for PC and Mac"/>
        <s v="Plantronics HL10 Handset Lifter"/>
        <s v="Green Canvas Binder for 8-1/2&quot; x 14&quot; Sheets"/>
        <s v="I Need's 3d Hello Kitty Hybrid Silicone Case Cover for HTC One X 4g with 3d Hello Kitty Stylus Pen Green/pink"/>
        <s v="Chromcraft Rectangular Conference Tables"/>
        <s v="Honeywell Quietcare HEPA Air Cleaner"/>
        <s v="GBC Pre-Punched Binding Paper, Plastic, White, 8-1/2&quot; x 11&quot;"/>
        <s v="Ampad Poly Cover Wirebound Steno Book, 6&quot; x 9&quot; Assorted Colors, Gregg Ruled"/>
        <s v="Xerox 1948"/>
        <s v="Geemarc AmpliPOWER60"/>
        <s v="Grandstream GXP1160 VoIP phone"/>
        <s v="Samsung Galaxy Note 3"/>
        <s v="3M Hangers With Command Adhesive"/>
        <s v="Honeywell Enviracaire Portable HEPA Air Cleaner for 17' x 22' Room"/>
        <s v="Acco 6 Outlet Guardian Premium Surge Suppressor"/>
        <s v="Boston Heavy-Duty Trimline Electric Pencil Sharpeners"/>
        <s v="GBC Clear Cover, 8-1/2 x 11, unpunched, 25 covers per pack"/>
        <s v="Wilson Jones Heavy-Duty Casebound Ring Binders with Metal Hinges"/>
        <s v="Xerox 205"/>
        <s v="Adams Telephone Message Book w/Frequently-Called Numbers Space, 400 Messages per Book"/>
        <s v="Safco Steel Mobile File Cart"/>
        <s v="Adtran 1202752G1"/>
        <s v="Aluminum Document Frame"/>
        <s v="GBC Standard Therm-A-Bind Covers"/>
        <s v="Mophie Juice Pack Helium for iPhone"/>
        <s v="Contract Clock, 14&quot;, Brown"/>
        <s v="Security-Tint Envelopes"/>
        <s v="Avery 513"/>
        <s v="O'Sullivan Living Dimensions 5-Shelf Bookcases"/>
        <s v="Seth Thomas 14&quot; Day/Date Wall Clock"/>
        <s v="Commercial WindTunnel Clean Air Upright Vacuum, Replacement Belts, Filtration Bags"/>
        <s v="Chromcraft Bull-Nose Wood 48&quot; x 96&quot; Rectangular Conference Tables"/>
        <s v="Sanford Liquid Accent Highlighters"/>
        <s v="Presstex Flexible Ring Binders"/>
        <s v="Wilson Jones Century Plastic Molded Ring Binders"/>
        <s v="#10- 4 1/8&quot; x 9 1/2&quot; Recycled Envelopes"/>
        <s v="Acme Office Executive Series Stainless Steel Trimmers"/>
        <s v="Bevis Round Conference Table Top, X-Base"/>
        <s v="Situations Contoured Folding Chairs, 4/Set"/>
        <s v="Hon Deluxe Fabric Upholstered Stacking Chairs, Squared Back"/>
        <s v="Tennsco Snap-Together Open Shelving Units, Starter Sets and Add-On Units"/>
        <s v="Eldon Expressions Wood and Plastic Desk Accessories, Cherry Wood"/>
        <s v="Executive Impressions 13-1/2&quot; Indoor/Outdoor Wall Clock"/>
        <s v="Bevis 44 x 96 Conference Tables"/>
        <s v="Belkin F5C206VTEL 6 Outlet Surge"/>
        <s v="Boston 1645 Deluxe Heavier-Duty Electric Pencil Sharpener"/>
        <s v="DIXON Oriole Pencils"/>
        <s v="Newell 322"/>
        <s v="Deluxe Chalkboard Eraser Cleaner"/>
        <s v="DXL Angle-View Binders with Locking Rings by Samsill"/>
        <s v="Staple remover"/>
        <s v="Logitech M510 Wireless Mouse"/>
        <s v="Konftel 250 Conference phone - Charcoal black"/>
        <s v="Mitel 5320 IP Phone VoIP phone"/>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GBC DocuBind P400 Electric Binding System"/>
        <s v="OIC Binder Clips"/>
        <s v="Xerox 1892"/>
        <s v="Texas Instruments TI-34 Scientific Calculator"/>
        <s v="Plantronics Cordless Phone Headset with In-line Volume - M214C"/>
        <s v="Xerox 1925"/>
        <s v="Hon Metal Bookcases, Black"/>
        <s v="Nontoxic Chalk"/>
        <s v="Storex DuraTech Recycled Plastic Frosted Binders"/>
        <s v="Xerox 2"/>
        <s v="Safco Industrial Wire Shelving System"/>
        <s v="Okidata C331dn Printer"/>
        <s v="HTC One Mini"/>
        <s v="Stacking Trays by OIC"/>
        <s v="Luxo Professional Magnifying Clamp-On Fluorescent Lamps"/>
        <s v="Fellowes Advanced 8 Outlet Surge Suppressor with Phone/Fax Protection"/>
        <s v="OIC #2 Pencils, Medium Soft"/>
        <s v="Newell 341"/>
        <s v="GBC Prepunched Paper, 19-Hole, for Binding Systems, 24-lb"/>
        <s v="Wilson Jones 1&quot; Hanging DublLock Ring Binders"/>
        <s v="Avery Trapezoid Extra Heavy Duty 4&quot; Binders"/>
        <s v="Message Book, Phone, Wirebound Standard Line Memo, 2 3/4&quot; X 5&quot;"/>
        <s v="Recycled Eldon Regeneration Jumbo File"/>
        <s v="Epson Perfection V600 Photo Scanner"/>
        <s v="Polycom SoundStation2 EX Conference phone"/>
        <s v="GE 2-Jack Phone Line Splitter"/>
        <s v="Hon Deluxe Fabric Upholstered Stacking Chairs, Rounded Back"/>
        <s v="Padded Folding Chairs, Black, 4/Carton"/>
        <s v="SpineVue Locking Slant-D Ring Binders by Cardinal"/>
        <s v="Office Impressions Heavy Duty Welded Shelving &amp; Multimedia Storage Drawers"/>
        <s v="KeyTronic 6101 Series - Keyboard - Black"/>
        <s v="Panasonic Kx-TS550"/>
        <s v="Prang Drawing Pencil Set"/>
        <s v="Acme Kleen Earth Office Shears"/>
        <s v="Sony 64GB Class 10 Micro SDHC R40 Memory Card"/>
        <s v="Acrylic Self-Standing Desk Frames"/>
        <s v="Hon 4060 Series Tables"/>
        <s v="Hunt BOSTON Vista Battery-Operated Pencil Sharpener, Black"/>
        <s v="Plantronics 81402"/>
        <s v="Self-Adhesive Ring Binder Labels"/>
        <s v="Xerox 1995"/>
        <s v="Xerox 1941"/>
        <s v="Dixon My First Ticonderoga Pencil, #2"/>
        <s v="Wilson Jones Clip &amp; Carry Folder Binder Tool for Ring Binders, Clear"/>
        <s v="Sanford Uni-Blazer View Highlighters, Chisel Tip, Yellow"/>
        <s v="BIC Brite Liner Grip Highlighters"/>
        <s v="GBC Recycled Regency Composition Covers"/>
        <s v="Cardinal Poly Pocket Divider Pockets for Ring Binders"/>
        <s v="Xerox 1913"/>
        <s v="Avery Durable Binders"/>
        <s v="Cardinal Holdit Business Card Pockets"/>
        <s v="Wilson SignalBoost 841262 DB PRO Amplifier Kit"/>
        <s v="Logitech B530 USB Headset - headset - Full size, Binaural"/>
        <s v="Southworth Structures Collection"/>
        <s v="Advantus Panel Wall Certificate Holder - 8.5x11"/>
        <s v="Vinyl Sectional Post Binders"/>
        <s v="Wilson Jones Four-Pocket Poly Binders"/>
        <s v="Avery 516"/>
        <s v="Fellowes Bankers Box Stor/Drawer Steel Plus"/>
        <s v="Gould Plastics 18-Pocket Panel Bin, 34w x 5-1/4d x 20-1/2h"/>
        <s v="NETGEAR AC1750 Dual Band Gigabit Smart WiFi Router"/>
        <s v="Global Comet Stacking Armless Chair"/>
        <s v="Canon Imageclass D680 Copier / Fax"/>
        <s v="Global High-Back Leather Tilter, Burgundy"/>
        <s v="Howard Miller 11-1/2&quot; Diameter Grantwood Wall Clock"/>
        <s v="Avery Hidden Tab Dividers for Binding Systems"/>
        <s v="Avery 49"/>
        <s v="Xerox 1895"/>
        <s v="Perma STOR-ALL Hanging File Box, 13 1/8&quot;W x 12 1/4&quot;D x 10 1/2&quot;H"/>
        <s v="9-3/4 Diameter Round Wall Clock"/>
        <s v="Newell 3-Hole Punched Plastic Slotted Magazine Holders for Binders"/>
        <s v="Avery 514"/>
        <s v="Xerox 200"/>
        <s v="Xerox 1881"/>
        <s v="Polycom VVX 310 VoIP phone"/>
        <s v="Cisco SPA508G"/>
        <s v="Cisco SPA112 2 Port Phone Adapter"/>
        <s v="Safco Chair Connectors, 6/Carton"/>
        <s v="Hon Deluxe Fabric Upholstered Stacking Chairs"/>
        <s v="Hon 5100 Series Wood Tables"/>
        <s v="Fluorescent Highlighters by Dixon"/>
        <s v="Tuff Stuff Recycled Round Ring Binders"/>
        <s v="Verbatim 25 GB 6x Blu-ray Single Layer Recordable Disc, 1/Pack"/>
        <s v="GE DSL Phone Line Filter"/>
        <s v="Bevis Round Conference Table Top &amp; Single Column Base"/>
        <s v="Tensor Track Tree Floor Lamp"/>
        <s v="Belkin 7 Outlet SurgeMaster II"/>
        <s v="Newell 315"/>
        <s v="Acco D-Ring Binder w/DublLock"/>
        <s v="Griffin GC36547 PowerJolt SE Lightning Charger"/>
        <s v="iOttie HLCRIO102 Car Mount"/>
        <s v="Advantus Push Pins"/>
        <s v="Maxell 4.7GB DVD-R 5/Pack"/>
        <s v="Office Star - Ergonomically Designed Knee Chair"/>
        <s v="Cardinal Slant-D Ring Binder, Heavy Gauge Vinyl"/>
        <s v="Barricks 18&quot; x 48&quot; Non-Folding Utility Table with Bottom Storage Shelf"/>
        <s v="Acco Pressboard Covers with Storage Hooks, 14 7/8&quot; x 11&quot;, Dark Blue"/>
        <s v="Acco Hanging Data Binders"/>
        <s v="Avery 3 1/2&quot; Diskette Storage Pages, 10/Pack"/>
        <s v="HON 5400 Series Task Chairs for Big and Tall"/>
        <s v="Nu-Dell Leatherette Frames"/>
        <s v="Westinghouse Clip-On Gooseneck Lamps"/>
        <s v="Newell 348"/>
        <s v="Wilson Jones Custom Binder Spines &amp; Labels"/>
        <s v="Clear Mylar Reinforcing Strips"/>
        <s v="Xerox 189"/>
        <s v="Xerox 1897"/>
        <s v="Xerox 1965"/>
        <s v="Wirebound Message Books, Two 4 1/4&quot; x 5&quot; Forms per Page"/>
        <s v="Letter Size Cart"/>
        <s v="Maxell 74 Minute CD-R Spindle, 50/Pack"/>
        <s v="Global Troy Executive Leather Low-Back Tilter"/>
        <s v="Hon Every-Day Series Multi-Task Chairs"/>
        <s v="Newell 334"/>
        <s v="Acco Economy Flexible Poly Round Ring Binder"/>
        <s v="Inter-Office Recycled Envelopes, Brown Kraft, Button-String,10&quot; x 13&quot; , 100/Box"/>
        <s v="Safco Drafting Table"/>
        <s v="Premium Writing Pencils, Soft, #2 by Central Association for the Blind"/>
        <s v="Newell 32"/>
        <s v="Eldon Mobile Mega Data Cart  Mega Stackable  Add-On Trays"/>
        <s v="Logitech G602 Wireless Gaming Mouse"/>
        <s v="Newell 324"/>
        <s v="Acme Softgrip Scissors"/>
        <s v="Case Logic 2.4GHz Wireless Keyboard"/>
        <s v="Microsoft Natural Keyboard Elite"/>
        <s v="Imation 8gb Micro Traveldrive Usb 2.0 Flash Drive"/>
        <s v="Staple-based wall hangings"/>
        <s v="Fellowes Personal Hanging Folder Files, Navy"/>
        <s v="High Speed Automatic Electric Letter Opener"/>
        <s v="Metal Folding Chairs, Beige, 4/Carton"/>
        <s v="Hon 2090 “Pillow Soft” Series Mid Back Swivel/Tilt Chairs"/>
        <s v="DAX Cubicle Frames, 8-1/2 x 11"/>
        <s v="Tensor Computer Mounted Lamp"/>
        <s v="DAX Clear Channel Poster Frame"/>
        <s v="Acco 6 Outlet Guardian Standard Surge Suppressor"/>
        <s v="GBC Premium Transparent Covers with Diagonal Lined Pattern"/>
        <s v="GBC Instant Index System for Binding Systems"/>
        <s v="Avery 485"/>
        <s v="Belkin 19&quot; Vented Equipment Shelf, Black"/>
        <s v="Memorex Micro Travel Drive 16 GB"/>
        <s v="Logitech Illuminated Ultrathin Keyboard with Backlighting"/>
        <s v="Apple iPhone 5S"/>
        <s v="Xerox 1956"/>
        <s v="WD My Passport Ultra 2TB Portable External Hard Drive"/>
        <s v="DataProducts Ampli Magnifier Task Lamp, Black,"/>
        <s v="OIC Colored Binder Clips, Assorted Sizes"/>
        <s v="Rush Hierlooms Collection 1&quot; Thick Stackable Bookcases"/>
        <s v="Wilson Jones data.warehouse D-Ring Binders with DublLock"/>
        <s v="Acco Clips to Go Binder Clips, 24 Clips in Two Sizes"/>
        <s v="Self-Adhesive Address Labels for Typewriters by Universal"/>
        <s v="Xerox 1916"/>
        <s v="Smead Adjustable Mobile File Trolley with Lockable Top"/>
        <s v="Memorex Micro Travel Drive 4 GB"/>
        <s v="BoxOffice By Design Rectangular and Half-Moon Meeting Room Tables"/>
        <s v="Bravo II Megaboss 12-Amp Hard Body Upright, Replacement Belts, 2 Belts per Pack"/>
        <s v="Xerox 1884"/>
        <s v="White Computer Printout Paper by Universal"/>
        <s v="Acme Box Cutter Scissors"/>
        <s v="Eureka The Boss Cordless Rechargeable Stick Vac"/>
        <s v="Hoover WindTunnel Plus Canister Vacuum"/>
        <s v="Newell 329"/>
        <s v="Xerox 1934"/>
        <s v="Safco Wire Cube Shelving System, For Use as 4 or 5 14&quot; Cubes, Black"/>
        <s v="Maxell 4.7GB DVD-R"/>
        <s v="Panasonic KX T7731-B Digital phone"/>
        <s v="Hon GuestStacker Chair"/>
        <s v="Global Value Steno Chair, Gray"/>
        <s v="SAFCO PlanMaster Heigh-Adjustable Drafting Table Base, 43w x 30d x 30-37h, Black"/>
        <s v="Binney &amp; Smith inkTank Erasable Pocket Highlighter, Chisel Tip, Yellow"/>
        <s v="Boston KS Multi-Size Manual Pencil Sharpener"/>
        <s v="Adams Phone Message Book, Professional, 400 Message Capacity, 5 3/6” x 11”"/>
        <s v="Logitech Desktop MK120 Mouse and keyboard Combo"/>
        <s v="Plantronics CS 50-USB - headset - Convertible, Monaural"/>
        <s v="Logitech G700s Rechargeable Gaming Mouse"/>
        <s v="O'Sullivan 2-Shelf Heavy-Duty Bookcases"/>
        <s v="Eldon Delta Triangular Chair Mat, 52&quot; x 58&quot;, Clear"/>
        <s v="Nu-Dell Float Frame 11 x 14 1/2"/>
        <s v="Acco Smartsocket Table Surge Protector, 6 Color-Coded Adapter Outlets"/>
        <s v="Fellowes Superior 10 Outlet Split Surge Protector"/>
        <s v="Globe Weis Peel &amp; Seel First Class Envelopes"/>
        <s v="Advantus Rolling Drawer Organizers"/>
        <s v="SanDisk Ultra 64 GB MicroSDHC Class 10 Memory Card"/>
        <s v="Sharp 1540cs Digital Laser Copier"/>
        <s v="Sharp AL-1530CS Digital Copier"/>
        <s v="AT&amp;T 1070 Corded Phone"/>
        <s v="Conquest 14 Commercial Heavy-Duty Upright Vacuum, Collection System, Accessory Kit"/>
        <s v="Boston 1827 Commercial Additional Cutter, Drive Gear &amp; Gear Rack for 1606"/>
        <s v="GBC DocuBind P50 Personal Binding Machine"/>
        <s v="Ibico Ibimaster 300 Manual Binding System"/>
        <s v="Super Bands, 12/Pack"/>
        <s v="Avery 494"/>
        <s v="Great White Multi-Use Recycled Paper (20Lb. and 84 Bright)"/>
        <s v="Xerox 21"/>
        <s v="Jawbone MINI JAMBOX Wireless Bluetooth Speaker"/>
        <s v="Cisco Unified IP Phone 7945G VoIP phone"/>
        <s v="Eldon Image Series Desk Accessories, Ebony"/>
        <s v="Sanford 52201 APSCO Electric Pencil Sharpener"/>
        <s v="Vinyl Coated Wire Paper Clips in Organizer Box, 800/Box"/>
        <s v="Tennsco Single-Tier Lockers"/>
        <s v="Acco Smartsocket Color-Coded Six-Outlet AC Adapter Model Surge Protectors"/>
        <s v="Bulldog Vacuum Base Pencil Sharpener"/>
        <s v="Acco Translucent Poly Ring Binders"/>
        <s v="Performers Binder/Pad Holder, Black"/>
        <s v="Xerox 229"/>
        <s v="Acco Side-Punched Conventional Columnar Pads"/>
        <s v="BlackBerry Q10"/>
        <s v="Novimex Fabric Task Chair"/>
        <s v="Tripp Lite TLP810NET Broadband Surge for Modem/Fax"/>
        <s v="Premium Transparent Presentation Covers by GBC"/>
        <s v="Avery Heavy-Duty EZD  Binder With Locking Rings"/>
        <s v="Xerox 1955"/>
        <s v="Colored Push Pins"/>
        <s v="Xerox 1929"/>
        <s v="Xerox 203"/>
        <s v="Logitech Gaming G510s - Keyboard"/>
        <s v="Turquoise Lead Holder with Pocket Clip"/>
        <s v="Satellite Sectional Post Binders"/>
        <s v="Acme Kleencut Forged Steel Scissors"/>
        <s v="GBC DocuBind TL300 Electric Binding System"/>
        <s v="Riverleaf Stik-Withit Designer Note Cubes"/>
        <s v="Faber Castell Col-Erase Pencils"/>
        <s v="Xerox 1899"/>
        <s v="Acme Serrated Blade Letter Opener"/>
        <s v="Regeneration Desk Collection"/>
        <s v="Xerox 1931"/>
        <s v="Xerox 1988"/>
        <s v="Xerox 1976"/>
        <s v="Xerox 1993"/>
        <s v="Xerox 1994"/>
        <s v="Personal Creations Ink Jet Cards and Labels"/>
        <s v="Acme Titanium Bonded Scissors"/>
        <s v="Cisco SPA525G2 IP Phone - Wireless"/>
        <s v="G.E. Longer-Life Indoor Recessed Floodlight Bulbs"/>
        <s v="SlimView Poly Binder, 3/8&quot;"/>
        <s v="Eldon 200 Class Desk Accessories, Smoke"/>
        <s v="Wilson Jones Elliptical Ring 3 1/2&quot; Capacity Binders, 800 sheets"/>
        <s v="Square Ring Data Binders, Rigid 75 Pt. Covers, 11&quot; x 14-7/8&quot;"/>
        <s v="Insertable Tab Indexes For Data Binders"/>
        <s v="Redi-Strip #10 Envelopes, 4 1/8 x 9 1/2"/>
        <s v="Xerox 1921"/>
        <s v="Xerox 23"/>
        <s v="Portable Personal File Box"/>
        <s v="SanDisk Cruzer 32 GB USB Flash Drive"/>
        <s v="Newell 340"/>
        <s v="Xerox 1978"/>
        <s v="Avoid Verbal Orders Carbonless Minifold Book"/>
        <s v="Master Caster Door Stop, Large Neon Orange"/>
        <s v="Bretford CR8500 Series Meeting Room Furniture"/>
        <s v="Wilson Jones Hanging View Binder, White, 1&quot;"/>
        <s v="GE 30522EE2"/>
        <s v="Cisco SPA 501G IP Phone"/>
        <s v="Balt Solid Wood Rectangular Table"/>
        <s v="Jiffy Padded Mailers with Self-Seal Closure"/>
        <s v="Xerox 1986"/>
        <s v="Xerox 1940"/>
        <s v="Wilson Jones Standard D-Ring Binders"/>
        <s v="KeyTronic KT400U2 - Keyboard - Black"/>
        <s v="BOSTON Model 1800 Electric Pencil Sharpeners, Putty/Woodgrain"/>
        <s v="Prestige Round Ring Binders"/>
        <s v="Wilson Jones Hanging Recycled Pressboard Data Binders"/>
        <s v="Xerox 216"/>
        <s v="Tenex Carpeted, Granite-Look or Clear Contemporary Contour Shape Chair Mats"/>
      </sharedItems>
    </cacheField>
    <cacheField name="Unit_Price" numFmtId="0">
      <sharedItems containsSemiMixedTypes="0" containsString="0" containsNumber="1" minValue="5.26" maxValue="499.5"/>
    </cacheField>
    <cacheField name="Quantity" numFmtId="0">
      <sharedItems containsSemiMixedTypes="0" containsString="0" containsNumber="1" containsInteger="1" minValue="1" maxValue="99"/>
    </cacheField>
    <cacheField name="Total_Sales_Rev" numFmtId="0">
      <sharedItems containsSemiMixedTypes="0" containsString="0" containsNumber="1" minValue="92.850000000000009" maxValue="46714.64"/>
    </cacheField>
    <cacheField name="Supplier_ID" numFmtId="0">
      <sharedItems/>
    </cacheField>
    <cacheField name="Supplier_Name" numFmtId="0">
      <sharedItems count="5">
        <s v="Alpha Corp"/>
        <s v="Delta Traders"/>
        <s v="Gamma Inc"/>
        <s v="Epsilon LLC"/>
        <s v="Beta Ltd"/>
      </sharedItems>
    </cacheField>
    <cacheField name="Warehouse_ID" numFmtId="0">
      <sharedItems/>
    </cacheField>
    <cacheField name="Transport_Mode" numFmtId="0">
      <sharedItems count="4">
        <s v="Air"/>
        <s v="Road"/>
        <s v="Rail"/>
        <s v="Sea"/>
      </sharedItems>
    </cacheField>
    <cacheField name="Carrier" numFmtId="0">
      <sharedItems/>
    </cacheField>
    <cacheField name="Route" numFmtId="0">
      <sharedItems/>
    </cacheField>
    <cacheField name="Stock_On_Hand" numFmtId="0">
      <sharedItems containsSemiMixedTypes="0" containsString="0" containsNumber="1" containsInteger="1" minValue="9" maxValue="4999"/>
    </cacheField>
    <cacheField name="Reorder_Level" numFmtId="0">
      <sharedItems containsSemiMixedTypes="0" containsString="0" containsNumber="1" containsInteger="1" minValue="50" maxValue="499"/>
    </cacheField>
    <cacheField name="Reorder Status" numFmtId="0">
      <sharedItems count="2">
        <b v="0"/>
        <b v="1"/>
      </sharedItems>
    </cacheField>
    <cacheField name="Lead_Time_Days" numFmtId="0">
      <sharedItems containsSemiMixedTypes="0" containsString="0" containsNumber="1" containsInteger="1" minValue="1" maxValue="29"/>
    </cacheField>
    <cacheField name="Procurement_Cost" numFmtId="0">
      <sharedItems containsSemiMixedTypes="0" containsString="0" containsNumber="1" minValue="50.33" maxValue="1998.97"/>
    </cacheField>
    <cacheField name="Transportation_Cost" numFmtId="0">
      <sharedItems containsSemiMixedTypes="0" containsString="0" containsNumber="1" minValue="10.39" maxValue="499.23"/>
    </cacheField>
    <cacheField name="Total_Cost" numFmtId="165">
      <sharedItems containsSemiMixedTypes="0" containsString="0" containsNumber="1" minValue="86.34" maxValue="2442.4"/>
    </cacheField>
    <cacheField name="Delivery_Status" numFmtId="0">
      <sharedItems/>
    </cacheField>
    <cacheField name="Delay_Days" numFmtId="0">
      <sharedItems containsSemiMixedTypes="0" containsString="0" containsNumber="1" containsInteger="1" minValue="0" maxValue="14"/>
    </cacheField>
    <cacheField name="Fill_Rate" numFmtId="0">
      <sharedItems containsSemiMixedTypes="0" containsString="0" containsNumber="1" minValue="70.02" maxValue="99.96"/>
    </cacheField>
    <cacheField name="Forecast_Demand" numFmtId="0">
      <sharedItems containsSemiMixedTypes="0" containsString="0" containsNumber="1" containsInteger="1" minValue="50" maxValue="499"/>
    </cacheField>
    <cacheField name="Actual_Demand" numFmtId="0">
      <sharedItems containsSemiMixedTypes="0" containsString="0" containsNumber="1" containsInteger="1" minValue="10" maxValue="546"/>
    </cacheField>
    <cacheField name="Inventory Turnover Ratio " numFmtId="2">
      <sharedItems containsSemiMixedTypes="0" containsString="0" containsNumber="1" minValue="1.7474195506982391E-2" maxValue="141.27555555555557"/>
    </cacheField>
    <cacheField name="Months (Order_Date)" numFmtId="0" databaseField="0">
      <fieldGroup base="2">
        <rangePr groupBy="months" startDate="2020-01-01T00:00:00" endDate="2025-01-02T00:00:00"/>
        <groupItems count="14">
          <s v="&lt;01/01/2020"/>
          <s v="Jan"/>
          <s v="Feb"/>
          <s v="Mar"/>
          <s v="Apr"/>
          <s v="May"/>
          <s v="Jun"/>
          <s v="Jul"/>
          <s v="Aug"/>
          <s v="Sept"/>
          <s v="Oct"/>
          <s v="Nov"/>
          <s v="Dec"/>
          <s v="&gt;02/01/2025"/>
        </groupItems>
      </fieldGroup>
    </cacheField>
    <cacheField name="Quarters (Order_Date)" numFmtId="0" databaseField="0">
      <fieldGroup base="2">
        <rangePr groupBy="quarters" startDate="2020-01-01T00:00:00" endDate="2025-01-02T00:00:00"/>
        <groupItems count="6">
          <s v="&lt;01/01/2020"/>
          <s v="Qtr1"/>
          <s v="Qtr2"/>
          <s v="Qtr3"/>
          <s v="Qtr4"/>
          <s v="&gt;02/01/2025"/>
        </groupItems>
      </fieldGroup>
    </cacheField>
    <cacheField name="Years (Order_Date)" numFmtId="0" databaseField="0">
      <fieldGroup base="2">
        <rangePr groupBy="years" startDate="2020-01-01T00:00:00" endDate="2025-01-02T00:00:00"/>
        <groupItems count="8">
          <s v="&lt;01/01/2020"/>
          <s v="2020"/>
          <s v="2021"/>
          <s v="2022"/>
          <s v="2023"/>
          <s v="2024"/>
          <s v="2025"/>
          <s v="&gt;02/01/2025"/>
        </groupItems>
      </fieldGroup>
    </cacheField>
  </cacheFields>
  <extLst>
    <ext xmlns:x14="http://schemas.microsoft.com/office/spreadsheetml/2009/9/main" uri="{725AE2AE-9491-48be-B2B4-4EB974FC3084}">
      <x14:pivotCacheDefinition pivotCacheId="8225189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C6915"/>
    <x v="0"/>
    <d v="2020-11-25T00:00:00"/>
    <x v="0"/>
    <x v="0"/>
    <x v="0"/>
    <x v="0"/>
    <x v="0"/>
    <x v="0"/>
    <s v="Paper"/>
    <x v="0"/>
    <n v="373.69"/>
    <n v="55"/>
    <n v="20552.95"/>
    <s v="S933"/>
    <x v="0"/>
    <s v="W10"/>
    <x v="0"/>
    <s v="FedEx"/>
    <s v="Beijing-New York"/>
    <n v="4259"/>
    <n v="214"/>
    <x v="0"/>
    <n v="9"/>
    <n v="1474.56"/>
    <n v="406.15"/>
    <n v="1880.71"/>
    <s v="Delayed"/>
    <n v="8"/>
    <n v="93.39"/>
    <n v="341"/>
    <n v="291"/>
    <n v="0.44158487907959615"/>
  </r>
  <r>
    <x v="1"/>
    <s v="C5679"/>
    <x v="1"/>
    <d v="2020-10-15T00:00:00"/>
    <x v="1"/>
    <x v="1"/>
    <x v="1"/>
    <x v="1"/>
    <x v="1"/>
    <x v="0"/>
    <s v="Binders"/>
    <x v="1"/>
    <n v="264.69"/>
    <n v="3"/>
    <n v="794.06999999999994"/>
    <s v="S987"/>
    <x v="1"/>
    <s v="W49"/>
    <x v="1"/>
    <s v="FedEx"/>
    <s v="Toronto-Cape Town"/>
    <n v="1173"/>
    <n v="386"/>
    <x v="0"/>
    <n v="24"/>
    <n v="1874.56"/>
    <n v="421.77"/>
    <n v="2296.33"/>
    <s v="On-time"/>
    <n v="0"/>
    <n v="95.29"/>
    <n v="482"/>
    <n v="477"/>
    <n v="1.9576555839727194"/>
  </r>
  <r>
    <x v="2"/>
    <s v="C3498"/>
    <x v="2"/>
    <d v="2023-07-16T00:00:00"/>
    <x v="2"/>
    <x v="1"/>
    <x v="2"/>
    <x v="2"/>
    <x v="2"/>
    <x v="0"/>
    <s v="Labels"/>
    <x v="2"/>
    <n v="497.44"/>
    <n v="80"/>
    <n v="39795.199999999997"/>
    <s v="S822"/>
    <x v="0"/>
    <s v="W38"/>
    <x v="0"/>
    <s v="DHL"/>
    <s v="São Paulo-Cape Town"/>
    <n v="588"/>
    <n v="398"/>
    <x v="0"/>
    <n v="27"/>
    <n v="439.67"/>
    <n v="289.19"/>
    <n v="728.86"/>
    <s v="On-time"/>
    <n v="0"/>
    <n v="76.63"/>
    <n v="461"/>
    <n v="476"/>
    <n v="1.2395578231292517"/>
  </r>
  <r>
    <x v="3"/>
    <s v="C8748"/>
    <x v="3"/>
    <d v="2022-11-23T00:00:00"/>
    <x v="1"/>
    <x v="2"/>
    <x v="3"/>
    <x v="3"/>
    <x v="3"/>
    <x v="0"/>
    <s v="Storage"/>
    <x v="3"/>
    <n v="266.87"/>
    <n v="44"/>
    <n v="11742.28"/>
    <s v="S114"/>
    <x v="2"/>
    <s v="W45"/>
    <x v="2"/>
    <s v="Maersk"/>
    <s v="Cape Town-Toronto"/>
    <n v="4700"/>
    <n v="381"/>
    <x v="0"/>
    <n v="29"/>
    <n v="1378.1"/>
    <n v="321.73"/>
    <n v="1699.83"/>
    <s v="On-time"/>
    <n v="0"/>
    <n v="85.24"/>
    <n v="150"/>
    <n v="198"/>
    <n v="0.36166595744680852"/>
  </r>
  <r>
    <x v="4"/>
    <s v="C7620"/>
    <x v="4"/>
    <d v="2024-02-18T00:00:00"/>
    <x v="2"/>
    <x v="3"/>
    <x v="4"/>
    <x v="1"/>
    <x v="4"/>
    <x v="0"/>
    <s v="Art"/>
    <x v="4"/>
    <n v="360.94"/>
    <n v="18"/>
    <n v="6496.92"/>
    <s v="S554"/>
    <x v="1"/>
    <s v="W16"/>
    <x v="2"/>
    <s v="BlueDart"/>
    <s v="Berlin-São Paulo"/>
    <n v="1795"/>
    <n v="415"/>
    <x v="0"/>
    <n v="27"/>
    <n v="861.29"/>
    <n v="351.29"/>
    <n v="1212.58"/>
    <s v="On-time"/>
    <n v="0"/>
    <n v="86.44"/>
    <n v="89"/>
    <n v="93"/>
    <n v="0.67553203342618384"/>
  </r>
  <r>
    <x v="5"/>
    <s v="C2078"/>
    <x v="5"/>
    <d v="2022-02-10T00:00:00"/>
    <x v="1"/>
    <x v="1"/>
    <x v="5"/>
    <x v="0"/>
    <x v="5"/>
    <x v="1"/>
    <s v="Chairs"/>
    <x v="5"/>
    <n v="172.93"/>
    <n v="35"/>
    <n v="6052.55"/>
    <s v="S135"/>
    <x v="3"/>
    <s v="W15"/>
    <x v="1"/>
    <s v="DHL"/>
    <s v="Toronto-Toronto"/>
    <n v="1159"/>
    <n v="228"/>
    <x v="0"/>
    <n v="13"/>
    <n v="690.34"/>
    <n v="410.07"/>
    <n v="1100.4100000000001"/>
    <s v="On-time"/>
    <n v="0"/>
    <n v="88.12"/>
    <n v="348"/>
    <n v="325"/>
    <n v="0.94944779982743754"/>
  </r>
  <r>
    <x v="6"/>
    <s v="C6228"/>
    <x v="6"/>
    <d v="2024-11-05T00:00:00"/>
    <x v="2"/>
    <x v="3"/>
    <x v="6"/>
    <x v="4"/>
    <x v="6"/>
    <x v="0"/>
    <s v="Art"/>
    <x v="6"/>
    <n v="103.93"/>
    <n v="38"/>
    <n v="3949.34"/>
    <s v="S974"/>
    <x v="2"/>
    <s v="W34"/>
    <x v="2"/>
    <s v="Maersk"/>
    <s v="Cape Town-São Paulo"/>
    <n v="3330"/>
    <n v="425"/>
    <x v="0"/>
    <n v="28"/>
    <n v="1828.88"/>
    <n v="314.18"/>
    <n v="2143.06"/>
    <s v="On-time"/>
    <n v="0"/>
    <n v="93.23"/>
    <n v="488"/>
    <n v="511"/>
    <n v="0.64356156156156152"/>
  </r>
  <r>
    <x v="7"/>
    <s v="C7718"/>
    <x v="7"/>
    <d v="2023-01-12T00:00:00"/>
    <x v="2"/>
    <x v="0"/>
    <x v="3"/>
    <x v="0"/>
    <x v="7"/>
    <x v="0"/>
    <s v="Art"/>
    <x v="7"/>
    <n v="130.35"/>
    <n v="32"/>
    <n v="4171.2"/>
    <s v="S154"/>
    <x v="0"/>
    <s v="W6"/>
    <x v="1"/>
    <s v="UPS"/>
    <s v="Berlin-New York"/>
    <n v="4252"/>
    <n v="229"/>
    <x v="0"/>
    <n v="22"/>
    <n v="468.41"/>
    <n v="453.18"/>
    <n v="921.59"/>
    <s v="On-time"/>
    <n v="0"/>
    <n v="86.46"/>
    <n v="425"/>
    <n v="378"/>
    <n v="0.21674270931326436"/>
  </r>
  <r>
    <x v="8"/>
    <s v="C3973"/>
    <x v="8"/>
    <d v="2023-08-07T00:00:00"/>
    <x v="1"/>
    <x v="0"/>
    <x v="3"/>
    <x v="1"/>
    <x v="8"/>
    <x v="0"/>
    <s v="Binders"/>
    <x v="8"/>
    <n v="45.53"/>
    <n v="27"/>
    <n v="1229.31"/>
    <s v="S357"/>
    <x v="0"/>
    <s v="W25"/>
    <x v="2"/>
    <s v="UPS"/>
    <s v="New York-Beijing"/>
    <n v="1395"/>
    <n v="419"/>
    <x v="0"/>
    <n v="27"/>
    <n v="1249.0999999999999"/>
    <n v="147.27000000000001"/>
    <n v="1396.37"/>
    <s v="Delayed"/>
    <n v="5"/>
    <n v="98.59"/>
    <n v="379"/>
    <n v="402"/>
    <n v="1.0009820788530466"/>
  </r>
  <r>
    <x v="9"/>
    <s v="C1323"/>
    <x v="9"/>
    <d v="2021-03-07T00:00:00"/>
    <x v="1"/>
    <x v="0"/>
    <x v="5"/>
    <x v="0"/>
    <x v="9"/>
    <x v="0"/>
    <s v="Fasteners"/>
    <x v="9"/>
    <n v="65.62"/>
    <n v="65"/>
    <n v="4265.3"/>
    <s v="S160"/>
    <x v="4"/>
    <s v="W5"/>
    <x v="0"/>
    <s v="UPS"/>
    <s v="London-Berlin"/>
    <n v="1590"/>
    <n v="246"/>
    <x v="0"/>
    <n v="29"/>
    <n v="1632.88"/>
    <n v="415.97"/>
    <n v="2048.85"/>
    <s v="Delayed"/>
    <n v="11"/>
    <n v="84.77"/>
    <n v="300"/>
    <n v="306"/>
    <n v="1.2885849056603773"/>
  </r>
  <r>
    <x v="10"/>
    <s v="C3178"/>
    <x v="9"/>
    <d v="2020-08-16T00:00:00"/>
    <x v="0"/>
    <x v="4"/>
    <x v="0"/>
    <x v="5"/>
    <x v="10"/>
    <x v="0"/>
    <s v="Paper"/>
    <x v="10"/>
    <n v="309.55"/>
    <n v="93"/>
    <n v="28788.15"/>
    <s v="S132"/>
    <x v="0"/>
    <s v="W4"/>
    <x v="3"/>
    <s v="DHL"/>
    <s v="Mumbai-Cape Town"/>
    <n v="2116"/>
    <n v="291"/>
    <x v="0"/>
    <n v="4"/>
    <n v="384.63"/>
    <n v="337.66"/>
    <n v="722.29"/>
    <s v="On-time"/>
    <n v="0"/>
    <n v="94.8"/>
    <n v="425"/>
    <n v="386"/>
    <n v="0.34134688090737236"/>
  </r>
  <r>
    <x v="11"/>
    <s v="C3505"/>
    <x v="10"/>
    <d v="2020-07-18T00:00:00"/>
    <x v="1"/>
    <x v="4"/>
    <x v="3"/>
    <x v="1"/>
    <x v="11"/>
    <x v="0"/>
    <s v="Paper"/>
    <x v="11"/>
    <n v="186.56"/>
    <n v="93"/>
    <n v="17350.080000000002"/>
    <s v="S546"/>
    <x v="0"/>
    <s v="W47"/>
    <x v="1"/>
    <s v="UPS"/>
    <s v="Cape Town-Mumbai"/>
    <n v="4911"/>
    <n v="358"/>
    <x v="0"/>
    <n v="18"/>
    <n v="706.31"/>
    <n v="293.54000000000002"/>
    <n v="999.84999999999991"/>
    <s v="On-time"/>
    <n v="0"/>
    <n v="70.02"/>
    <n v="257"/>
    <n v="257"/>
    <n v="0.20359397271431479"/>
  </r>
  <r>
    <x v="12"/>
    <s v="C4735"/>
    <x v="11"/>
    <d v="2020-07-12T00:00:00"/>
    <x v="2"/>
    <x v="2"/>
    <x v="6"/>
    <x v="6"/>
    <x v="12"/>
    <x v="2"/>
    <s v="Phones"/>
    <x v="12"/>
    <n v="88.2"/>
    <n v="91"/>
    <n v="8026.2"/>
    <s v="S468"/>
    <x v="3"/>
    <s v="W29"/>
    <x v="2"/>
    <s v="DHL"/>
    <s v="Beijing-London"/>
    <n v="2805"/>
    <n v="490"/>
    <x v="0"/>
    <n v="2"/>
    <n v="1263.24"/>
    <n v="80.16"/>
    <n v="1343.4"/>
    <s v="On-time"/>
    <n v="0"/>
    <n v="76.64"/>
    <n v="428"/>
    <n v="434"/>
    <n v="0.47893048128342247"/>
  </r>
  <r>
    <x v="13"/>
    <s v="C1316"/>
    <x v="12"/>
    <d v="2024-04-21T00:00:00"/>
    <x v="2"/>
    <x v="2"/>
    <x v="6"/>
    <x v="4"/>
    <x v="13"/>
    <x v="2"/>
    <s v="Phones"/>
    <x v="13"/>
    <n v="165.4"/>
    <n v="55"/>
    <n v="9097"/>
    <s v="S674"/>
    <x v="1"/>
    <s v="W1"/>
    <x v="0"/>
    <s v="DHL"/>
    <s v="Berlin-Cape Town"/>
    <n v="4728"/>
    <n v="220"/>
    <x v="0"/>
    <n v="26"/>
    <n v="1831.52"/>
    <n v="70.27"/>
    <n v="1901.79"/>
    <s v="Delayed"/>
    <n v="10"/>
    <n v="91.19"/>
    <n v="252"/>
    <n v="222"/>
    <n v="0.40223984771573601"/>
  </r>
  <r>
    <x v="14"/>
    <s v="C8897"/>
    <x v="13"/>
    <d v="2021-08-27T00:00:00"/>
    <x v="1"/>
    <x v="1"/>
    <x v="4"/>
    <x v="5"/>
    <x v="14"/>
    <x v="1"/>
    <s v="Furnishings"/>
    <x v="14"/>
    <n v="20.3"/>
    <n v="56"/>
    <n v="1136.8"/>
    <s v="S777"/>
    <x v="4"/>
    <s v="W40"/>
    <x v="0"/>
    <s v="DHL"/>
    <s v="Beijing-Cape Town"/>
    <n v="3385"/>
    <n v="274"/>
    <x v="0"/>
    <n v="6"/>
    <n v="1243.6500000000001"/>
    <n v="168.46"/>
    <n v="1412.11"/>
    <s v="On-time"/>
    <n v="0"/>
    <n v="83.04"/>
    <n v="421"/>
    <n v="445"/>
    <n v="0.41716691285081237"/>
  </r>
  <r>
    <x v="15"/>
    <s v="C9273"/>
    <x v="14"/>
    <d v="2024-05-17T00:00:00"/>
    <x v="1"/>
    <x v="1"/>
    <x v="1"/>
    <x v="5"/>
    <x v="15"/>
    <x v="0"/>
    <s v="Binders"/>
    <x v="15"/>
    <n v="94.21"/>
    <n v="19"/>
    <n v="1789.9899999999998"/>
    <s v="S303"/>
    <x v="0"/>
    <s v="W9"/>
    <x v="2"/>
    <s v="BlueDart"/>
    <s v="Berlin-Beijing"/>
    <n v="551"/>
    <n v="202"/>
    <x v="0"/>
    <n v="20"/>
    <n v="245.11"/>
    <n v="180.68"/>
    <n v="425.79"/>
    <s v="On-time"/>
    <n v="0"/>
    <n v="93.23"/>
    <n v="199"/>
    <n v="218"/>
    <n v="0.77275862068965517"/>
  </r>
  <r>
    <x v="16"/>
    <s v="C8456"/>
    <x v="15"/>
    <d v="2021-12-24T00:00:00"/>
    <x v="1"/>
    <x v="2"/>
    <x v="0"/>
    <x v="2"/>
    <x v="16"/>
    <x v="0"/>
    <s v="Art"/>
    <x v="16"/>
    <n v="33"/>
    <n v="16"/>
    <n v="528"/>
    <s v="S613"/>
    <x v="2"/>
    <s v="W1"/>
    <x v="2"/>
    <s v="Maersk"/>
    <s v="Mumbai-New York"/>
    <n v="2548"/>
    <n v="53"/>
    <x v="0"/>
    <n v="8"/>
    <n v="1545.99"/>
    <n v="22.39"/>
    <n v="1568.38"/>
    <s v="On-time"/>
    <n v="0"/>
    <n v="76.39"/>
    <n v="320"/>
    <n v="313"/>
    <n v="0.61553375196232341"/>
  </r>
  <r>
    <x v="17"/>
    <s v="C2608"/>
    <x v="16"/>
    <d v="2024-08-26T00:00:00"/>
    <x v="2"/>
    <x v="1"/>
    <x v="6"/>
    <x v="5"/>
    <x v="17"/>
    <x v="2"/>
    <s v="Accessories"/>
    <x v="17"/>
    <n v="397.89"/>
    <n v="60"/>
    <n v="23873.399999999998"/>
    <s v="S227"/>
    <x v="1"/>
    <s v="W3"/>
    <x v="0"/>
    <s v="UPS"/>
    <s v="New York-Cape Town"/>
    <n v="1899"/>
    <n v="368"/>
    <x v="0"/>
    <n v="1"/>
    <n v="1961.05"/>
    <n v="348.86"/>
    <n v="2309.91"/>
    <s v="On-time"/>
    <n v="0"/>
    <n v="92.39"/>
    <n v="263"/>
    <n v="226"/>
    <n v="1.2163823064770931"/>
  </r>
  <r>
    <x v="18"/>
    <s v="C3534"/>
    <x v="17"/>
    <d v="2023-05-10T00:00:00"/>
    <x v="2"/>
    <x v="4"/>
    <x v="0"/>
    <x v="4"/>
    <x v="18"/>
    <x v="1"/>
    <s v="Furnishings"/>
    <x v="18"/>
    <n v="127.64"/>
    <n v="27"/>
    <n v="3446.28"/>
    <s v="S665"/>
    <x v="3"/>
    <s v="W4"/>
    <x v="1"/>
    <s v="BlueDart"/>
    <s v="Toronto-Toronto"/>
    <n v="2169"/>
    <n v="153"/>
    <x v="0"/>
    <n v="12"/>
    <n v="972.32"/>
    <n v="327.31"/>
    <n v="1299.6300000000001"/>
    <s v="On-time"/>
    <n v="0"/>
    <n v="74.36"/>
    <n v="356"/>
    <n v="350"/>
    <n v="0.59918395573997241"/>
  </r>
  <r>
    <x v="19"/>
    <s v="C6902"/>
    <x v="18"/>
    <d v="2024-02-28T00:00:00"/>
    <x v="2"/>
    <x v="1"/>
    <x v="5"/>
    <x v="4"/>
    <x v="19"/>
    <x v="0"/>
    <s v="Labels"/>
    <x v="19"/>
    <n v="209.01"/>
    <n v="84"/>
    <n v="17556.84"/>
    <s v="S742"/>
    <x v="4"/>
    <s v="W28"/>
    <x v="2"/>
    <s v="UPS"/>
    <s v="Cape Town-New York"/>
    <n v="4885"/>
    <n v="158"/>
    <x v="0"/>
    <n v="1"/>
    <n v="1991.58"/>
    <n v="297.87"/>
    <n v="2289.4499999999998"/>
    <s v="On-time"/>
    <n v="0"/>
    <n v="80.67"/>
    <n v="456"/>
    <n v="477"/>
    <n v="0.46866939611054242"/>
  </r>
  <r>
    <x v="20"/>
    <s v="C9827"/>
    <x v="19"/>
    <d v="2020-03-21T00:00:00"/>
    <x v="2"/>
    <x v="2"/>
    <x v="2"/>
    <x v="7"/>
    <x v="20"/>
    <x v="1"/>
    <s v="Furnishings"/>
    <x v="20"/>
    <n v="173.65"/>
    <n v="94"/>
    <n v="16323.1"/>
    <s v="S752"/>
    <x v="2"/>
    <s v="W28"/>
    <x v="0"/>
    <s v="Maersk"/>
    <s v="Mumbai-São Paulo"/>
    <n v="3809"/>
    <n v="442"/>
    <x v="0"/>
    <n v="27"/>
    <n v="842.25"/>
    <n v="325.32"/>
    <n v="1167.57"/>
    <s v="On-time"/>
    <n v="0"/>
    <n v="81.75"/>
    <n v="298"/>
    <n v="300"/>
    <n v="0.30652927277500652"/>
  </r>
  <r>
    <x v="21"/>
    <s v="C4756"/>
    <x v="20"/>
    <d v="2024-11-05T00:00:00"/>
    <x v="1"/>
    <x v="3"/>
    <x v="5"/>
    <x v="4"/>
    <x v="21"/>
    <x v="1"/>
    <s v="Bookcases"/>
    <x v="21"/>
    <n v="118.26"/>
    <n v="88"/>
    <n v="10406.880000000001"/>
    <s v="S448"/>
    <x v="4"/>
    <s v="W26"/>
    <x v="1"/>
    <s v="Maersk"/>
    <s v="Cape Town-Mumbai"/>
    <n v="3553"/>
    <n v="417"/>
    <x v="0"/>
    <n v="25"/>
    <n v="1100.94"/>
    <n v="287.49"/>
    <n v="1388.43"/>
    <s v="Delayed"/>
    <n v="5"/>
    <n v="94.24"/>
    <n v="466"/>
    <n v="491"/>
    <n v="0.39077680833098793"/>
  </r>
  <r>
    <x v="22"/>
    <s v="C6997"/>
    <x v="21"/>
    <d v="2020-07-09T00:00:00"/>
    <x v="0"/>
    <x v="4"/>
    <x v="0"/>
    <x v="3"/>
    <x v="22"/>
    <x v="1"/>
    <s v="Chairs"/>
    <x v="22"/>
    <n v="282.82"/>
    <n v="52"/>
    <n v="14706.64"/>
    <s v="S825"/>
    <x v="1"/>
    <s v="W44"/>
    <x v="3"/>
    <s v="BlueDart"/>
    <s v="Cape Town-London"/>
    <n v="2101"/>
    <n v="169"/>
    <x v="0"/>
    <n v="8"/>
    <n v="1318.04"/>
    <n v="448.9"/>
    <n v="1766.94"/>
    <s v="On-time"/>
    <n v="0"/>
    <n v="93.64"/>
    <n v="128"/>
    <n v="123"/>
    <n v="0.84099952403617328"/>
  </r>
  <r>
    <x v="23"/>
    <s v="C1028"/>
    <x v="22"/>
    <d v="2020-08-01T00:00:00"/>
    <x v="2"/>
    <x v="2"/>
    <x v="0"/>
    <x v="1"/>
    <x v="23"/>
    <x v="0"/>
    <s v="Art"/>
    <x v="23"/>
    <n v="332.15"/>
    <n v="64"/>
    <n v="21257.599999999999"/>
    <s v="S576"/>
    <x v="0"/>
    <s v="W8"/>
    <x v="2"/>
    <s v="DHL"/>
    <s v="London-São Paulo"/>
    <n v="2108"/>
    <n v="181"/>
    <x v="0"/>
    <n v="5"/>
    <n v="596.41"/>
    <n v="250.91"/>
    <n v="847.31999999999994"/>
    <s v="On-time"/>
    <n v="0"/>
    <n v="70.77"/>
    <n v="316"/>
    <n v="343"/>
    <n v="0.40195445920303602"/>
  </r>
  <r>
    <x v="24"/>
    <s v="C4401"/>
    <x v="23"/>
    <d v="2022-02-15T00:00:00"/>
    <x v="2"/>
    <x v="2"/>
    <x v="0"/>
    <x v="6"/>
    <x v="24"/>
    <x v="0"/>
    <s v="Binders"/>
    <x v="24"/>
    <n v="320.01"/>
    <n v="42"/>
    <n v="13440.42"/>
    <s v="S412"/>
    <x v="3"/>
    <s v="W30"/>
    <x v="1"/>
    <s v="Maersk"/>
    <s v="London-Toronto"/>
    <n v="861"/>
    <n v="169"/>
    <x v="0"/>
    <n v="24"/>
    <n v="1865.44"/>
    <n v="442.41"/>
    <n v="2307.85"/>
    <s v="On-time"/>
    <n v="0"/>
    <n v="78.569999999999993"/>
    <n v="335"/>
    <n v="311"/>
    <n v="2.680429732868757"/>
  </r>
  <r>
    <x v="25"/>
    <s v="C4979"/>
    <x v="24"/>
    <d v="2024-11-29T00:00:00"/>
    <x v="1"/>
    <x v="0"/>
    <x v="3"/>
    <x v="1"/>
    <x v="25"/>
    <x v="0"/>
    <s v="Binders"/>
    <x v="25"/>
    <n v="386.85"/>
    <n v="93"/>
    <n v="35977.050000000003"/>
    <s v="S664"/>
    <x v="4"/>
    <s v="W15"/>
    <x v="0"/>
    <s v="BlueDart"/>
    <s v="Berlin-Toronto"/>
    <n v="1879"/>
    <n v="64"/>
    <x v="0"/>
    <n v="4"/>
    <n v="1019.67"/>
    <n v="486.56"/>
    <n v="1506.23"/>
    <s v="On-time"/>
    <n v="0"/>
    <n v="95.27"/>
    <n v="85"/>
    <n v="121"/>
    <n v="0.80161255987227253"/>
  </r>
  <r>
    <x v="26"/>
    <s v="C9865"/>
    <x v="25"/>
    <d v="2020-12-27T00:00:00"/>
    <x v="2"/>
    <x v="3"/>
    <x v="5"/>
    <x v="2"/>
    <x v="26"/>
    <x v="0"/>
    <s v="Envelopes"/>
    <x v="26"/>
    <n v="145.83000000000001"/>
    <n v="81"/>
    <n v="11812.230000000001"/>
    <s v="S710"/>
    <x v="0"/>
    <s v="W7"/>
    <x v="1"/>
    <s v="Maersk"/>
    <s v="New York-São Paulo"/>
    <n v="2241"/>
    <n v="314"/>
    <x v="0"/>
    <n v="14"/>
    <n v="1043.45"/>
    <n v="220.42"/>
    <n v="1263.8699999999999"/>
    <s v="On-time"/>
    <n v="0"/>
    <n v="81.22"/>
    <n v="325"/>
    <n v="287"/>
    <n v="0.56397590361445782"/>
  </r>
  <r>
    <x v="27"/>
    <s v="C4004"/>
    <x v="26"/>
    <d v="2024-12-04T00:00:00"/>
    <x v="1"/>
    <x v="4"/>
    <x v="2"/>
    <x v="6"/>
    <x v="27"/>
    <x v="0"/>
    <s v="Envelopes"/>
    <x v="27"/>
    <n v="468.12"/>
    <n v="82"/>
    <n v="38385.840000000004"/>
    <s v="S764"/>
    <x v="1"/>
    <s v="W4"/>
    <x v="2"/>
    <s v="Maersk"/>
    <s v="Cape Town-New York"/>
    <n v="4837"/>
    <n v="267"/>
    <x v="0"/>
    <n v="10"/>
    <n v="1473.47"/>
    <n v="10.39"/>
    <n v="1483.86"/>
    <s v="On-time"/>
    <n v="0"/>
    <n v="79.400000000000006"/>
    <n v="297"/>
    <n v="342"/>
    <n v="0.30677279305354554"/>
  </r>
  <r>
    <x v="28"/>
    <s v="C6243"/>
    <x v="27"/>
    <d v="2020-03-24T00:00:00"/>
    <x v="2"/>
    <x v="2"/>
    <x v="0"/>
    <x v="1"/>
    <x v="28"/>
    <x v="0"/>
    <s v="Paper"/>
    <x v="28"/>
    <n v="242.57"/>
    <n v="80"/>
    <n v="19405.599999999999"/>
    <s v="S306"/>
    <x v="2"/>
    <s v="W25"/>
    <x v="2"/>
    <s v="UPS"/>
    <s v="São Paulo-London"/>
    <n v="4069"/>
    <n v="438"/>
    <x v="0"/>
    <n v="29"/>
    <n v="1043.1099999999999"/>
    <n v="204.1"/>
    <n v="1247.21"/>
    <s v="On-time"/>
    <n v="0"/>
    <n v="83.57"/>
    <n v="121"/>
    <n v="161"/>
    <n v="0.30651511427869255"/>
  </r>
  <r>
    <x v="29"/>
    <s v="C4550"/>
    <x v="28"/>
    <d v="2023-06-01T00:00:00"/>
    <x v="1"/>
    <x v="2"/>
    <x v="6"/>
    <x v="1"/>
    <x v="29"/>
    <x v="0"/>
    <s v="Storage"/>
    <x v="29"/>
    <n v="351.99"/>
    <n v="13"/>
    <n v="4575.87"/>
    <s v="S936"/>
    <x v="1"/>
    <s v="W44"/>
    <x v="2"/>
    <s v="UPS"/>
    <s v="Beijing-Berlin"/>
    <n v="844"/>
    <n v="135"/>
    <x v="0"/>
    <n v="22"/>
    <n v="828.72"/>
    <n v="468.59"/>
    <n v="1297.31"/>
    <s v="Delayed"/>
    <n v="1"/>
    <n v="93.61"/>
    <n v="69"/>
    <n v="22"/>
    <n v="1.5370971563981042"/>
  </r>
  <r>
    <x v="30"/>
    <s v="C4586"/>
    <x v="29"/>
    <d v="2021-04-09T00:00:00"/>
    <x v="1"/>
    <x v="4"/>
    <x v="3"/>
    <x v="3"/>
    <x v="30"/>
    <x v="0"/>
    <s v="Storage"/>
    <x v="30"/>
    <n v="411.06"/>
    <n v="7"/>
    <n v="2877.42"/>
    <s v="S366"/>
    <x v="4"/>
    <s v="W30"/>
    <x v="2"/>
    <s v="UPS"/>
    <s v="Toronto-Cape Town"/>
    <n v="94"/>
    <n v="201"/>
    <x v="1"/>
    <n v="25"/>
    <n v="1488.94"/>
    <n v="168.71"/>
    <n v="1657.65"/>
    <s v="On-time"/>
    <n v="0"/>
    <n v="79.900000000000006"/>
    <n v="107"/>
    <n v="114"/>
    <n v="17.634574468085109"/>
  </r>
  <r>
    <x v="31"/>
    <s v="C1027"/>
    <x v="30"/>
    <d v="2024-08-12T00:00:00"/>
    <x v="2"/>
    <x v="3"/>
    <x v="0"/>
    <x v="4"/>
    <x v="31"/>
    <x v="2"/>
    <s v="Accessories"/>
    <x v="31"/>
    <n v="137.82"/>
    <n v="54"/>
    <n v="7442.28"/>
    <s v="S203"/>
    <x v="0"/>
    <s v="W13"/>
    <x v="1"/>
    <s v="DHL"/>
    <s v="São Paulo-Mumbai"/>
    <n v="69"/>
    <n v="344"/>
    <x v="1"/>
    <n v="25"/>
    <n v="1967.45"/>
    <n v="375.64"/>
    <n v="2343.09"/>
    <s v="On-time"/>
    <n v="0"/>
    <n v="83.54"/>
    <n v="438"/>
    <n v="395"/>
    <n v="33.957826086956523"/>
  </r>
  <r>
    <x v="32"/>
    <s v="C9007"/>
    <x v="31"/>
    <d v="2021-11-14T00:00:00"/>
    <x v="1"/>
    <x v="4"/>
    <x v="2"/>
    <x v="2"/>
    <x v="32"/>
    <x v="1"/>
    <s v="Bookcases"/>
    <x v="32"/>
    <n v="300.33999999999997"/>
    <n v="24"/>
    <n v="7208.16"/>
    <s v="S104"/>
    <x v="4"/>
    <s v="W30"/>
    <x v="0"/>
    <s v="UPS"/>
    <s v="Mumbai-Mumbai"/>
    <n v="4925"/>
    <n v="263"/>
    <x v="0"/>
    <n v="24"/>
    <n v="1282.05"/>
    <n v="333.53"/>
    <n v="1615.58"/>
    <s v="On-time"/>
    <n v="0"/>
    <n v="89.63"/>
    <n v="210"/>
    <n v="216"/>
    <n v="0.32803654822335027"/>
  </r>
  <r>
    <x v="33"/>
    <s v="C5653"/>
    <x v="16"/>
    <d v="2023-11-08T00:00:00"/>
    <x v="2"/>
    <x v="1"/>
    <x v="0"/>
    <x v="3"/>
    <x v="33"/>
    <x v="2"/>
    <s v="Accessories"/>
    <x v="33"/>
    <n v="216.49"/>
    <n v="37"/>
    <n v="8010.13"/>
    <s v="S156"/>
    <x v="4"/>
    <s v="W25"/>
    <x v="3"/>
    <s v="BlueDart"/>
    <s v="London-Cape Town"/>
    <n v="3907"/>
    <n v="302"/>
    <x v="0"/>
    <n v="15"/>
    <n v="1106.1099999999999"/>
    <n v="27.21"/>
    <n v="1133.32"/>
    <s v="On-time"/>
    <n v="0"/>
    <n v="71.8"/>
    <n v="53"/>
    <n v="52"/>
    <n v="0.29007422574865627"/>
  </r>
  <r>
    <x v="34"/>
    <s v="C1669"/>
    <x v="32"/>
    <d v="2021-12-03T00:00:00"/>
    <x v="2"/>
    <x v="2"/>
    <x v="3"/>
    <x v="1"/>
    <x v="34"/>
    <x v="1"/>
    <s v="Furnishings"/>
    <x v="34"/>
    <n v="333.08"/>
    <n v="75"/>
    <n v="24981"/>
    <s v="S386"/>
    <x v="0"/>
    <s v="W8"/>
    <x v="3"/>
    <s v="DHL"/>
    <s v="Beijing-Beijing"/>
    <n v="2211"/>
    <n v="55"/>
    <x v="0"/>
    <n v="11"/>
    <n v="578.38"/>
    <n v="28.73"/>
    <n v="607.11"/>
    <s v="Delayed"/>
    <n v="9"/>
    <n v="94.51"/>
    <n v="319"/>
    <n v="343"/>
    <n v="0.27458616010854819"/>
  </r>
  <r>
    <x v="35"/>
    <s v="C7631"/>
    <x v="33"/>
    <d v="2022-07-18T00:00:00"/>
    <x v="2"/>
    <x v="4"/>
    <x v="3"/>
    <x v="1"/>
    <x v="35"/>
    <x v="0"/>
    <s v="Binders"/>
    <x v="35"/>
    <n v="145.38"/>
    <n v="1"/>
    <n v="145.38"/>
    <s v="S148"/>
    <x v="4"/>
    <s v="W37"/>
    <x v="3"/>
    <s v="Maersk"/>
    <s v="Cape Town-Berlin"/>
    <n v="3348"/>
    <n v="136"/>
    <x v="0"/>
    <n v="13"/>
    <n v="1821.62"/>
    <n v="340.54"/>
    <n v="2162.16"/>
    <s v="On-time"/>
    <n v="0"/>
    <n v="78.680000000000007"/>
    <n v="87"/>
    <n v="40"/>
    <n v="0.64580645161290318"/>
  </r>
  <r>
    <x v="36"/>
    <s v="C3771"/>
    <x v="34"/>
    <d v="2021-11-30T00:00:00"/>
    <x v="2"/>
    <x v="1"/>
    <x v="4"/>
    <x v="5"/>
    <x v="36"/>
    <x v="0"/>
    <s v="Labels"/>
    <x v="36"/>
    <n v="480"/>
    <n v="51"/>
    <n v="24480"/>
    <s v="S525"/>
    <x v="1"/>
    <s v="W14"/>
    <x v="0"/>
    <s v="UPS"/>
    <s v="Cape Town-Mumbai"/>
    <n v="1715"/>
    <n v="134"/>
    <x v="0"/>
    <n v="4"/>
    <n v="1113.7"/>
    <n v="465.86"/>
    <n v="1579.56"/>
    <s v="On-time"/>
    <n v="0"/>
    <n v="98.67"/>
    <n v="94"/>
    <n v="120"/>
    <n v="0.92102623906705539"/>
  </r>
  <r>
    <x v="37"/>
    <s v="C9325"/>
    <x v="35"/>
    <d v="2022-03-07T00:00:00"/>
    <x v="1"/>
    <x v="3"/>
    <x v="4"/>
    <x v="3"/>
    <x v="37"/>
    <x v="2"/>
    <s v="Phones"/>
    <x v="37"/>
    <n v="470.66"/>
    <n v="68"/>
    <n v="32004.880000000001"/>
    <s v="S845"/>
    <x v="0"/>
    <s v="W23"/>
    <x v="2"/>
    <s v="FedEx"/>
    <s v="Berlin-Mumbai"/>
    <n v="4201"/>
    <n v="360"/>
    <x v="0"/>
    <n v="28"/>
    <n v="606.94000000000005"/>
    <n v="164.04"/>
    <n v="770.98"/>
    <s v="Delayed"/>
    <n v="7"/>
    <n v="70.42"/>
    <n v="286"/>
    <n v="243"/>
    <n v="0.18352297072125684"/>
  </r>
  <r>
    <x v="38"/>
    <s v="C9195"/>
    <x v="36"/>
    <d v="2020-03-05T00:00:00"/>
    <x v="2"/>
    <x v="0"/>
    <x v="1"/>
    <x v="0"/>
    <x v="38"/>
    <x v="0"/>
    <s v="Appliances"/>
    <x v="38"/>
    <n v="180"/>
    <n v="67"/>
    <n v="12060"/>
    <s v="S139"/>
    <x v="0"/>
    <s v="W4"/>
    <x v="1"/>
    <s v="BlueDart"/>
    <s v="São Paulo-Mumbai"/>
    <n v="1642"/>
    <n v="144"/>
    <x v="0"/>
    <n v="2"/>
    <n v="1800.52"/>
    <n v="464.69"/>
    <n v="2265.21"/>
    <s v="Delayed"/>
    <n v="13"/>
    <n v="74.709999999999994"/>
    <n v="255"/>
    <n v="255"/>
    <n v="1.379543239951279"/>
  </r>
  <r>
    <x v="39"/>
    <s v="C4804"/>
    <x v="37"/>
    <d v="2022-08-18T00:00:00"/>
    <x v="2"/>
    <x v="2"/>
    <x v="7"/>
    <x v="5"/>
    <x v="39"/>
    <x v="1"/>
    <s v="Bookcases"/>
    <x v="39"/>
    <n v="99.22"/>
    <n v="60"/>
    <n v="5953.2"/>
    <s v="S546"/>
    <x v="3"/>
    <s v="W46"/>
    <x v="2"/>
    <s v="Maersk"/>
    <s v="Toronto-London"/>
    <n v="4384"/>
    <n v="346"/>
    <x v="0"/>
    <n v="21"/>
    <n v="1003.34"/>
    <n v="141.62"/>
    <n v="1144.96"/>
    <s v="On-time"/>
    <n v="0"/>
    <n v="76.63"/>
    <n v="433"/>
    <n v="448"/>
    <n v="0.26116788321167883"/>
  </r>
  <r>
    <x v="40"/>
    <s v="C8013"/>
    <x v="38"/>
    <d v="2024-12-07T00:00:00"/>
    <x v="2"/>
    <x v="2"/>
    <x v="0"/>
    <x v="6"/>
    <x v="40"/>
    <x v="0"/>
    <s v="Binders"/>
    <x v="40"/>
    <n v="214.03"/>
    <n v="46"/>
    <n v="9845.3799999999992"/>
    <s v="S990"/>
    <x v="4"/>
    <s v="W35"/>
    <x v="2"/>
    <s v="DHL"/>
    <s v="Toronto-Toronto"/>
    <n v="141"/>
    <n v="93"/>
    <x v="0"/>
    <n v="22"/>
    <n v="720.04"/>
    <n v="53.53"/>
    <n v="773.56999999999994"/>
    <s v="On-time"/>
    <n v="0"/>
    <n v="70.56"/>
    <n v="136"/>
    <n v="142"/>
    <n v="5.4863120567375878"/>
  </r>
  <r>
    <x v="41"/>
    <s v="C6886"/>
    <x v="39"/>
    <d v="2023-09-03T00:00:00"/>
    <x v="2"/>
    <x v="3"/>
    <x v="7"/>
    <x v="3"/>
    <x v="41"/>
    <x v="0"/>
    <s v="Envelopes"/>
    <x v="41"/>
    <n v="101.7"/>
    <n v="40"/>
    <n v="4068"/>
    <s v="S112"/>
    <x v="0"/>
    <s v="W29"/>
    <x v="0"/>
    <s v="DHL"/>
    <s v="São Paulo-Beijing"/>
    <n v="2411"/>
    <n v="281"/>
    <x v="0"/>
    <n v="15"/>
    <n v="915.63"/>
    <n v="97.85"/>
    <n v="1013.48"/>
    <s v="On-time"/>
    <n v="0"/>
    <n v="79.010000000000005"/>
    <n v="411"/>
    <n v="389"/>
    <n v="0.42035669846536705"/>
  </r>
  <r>
    <x v="42"/>
    <s v="C8484"/>
    <x v="40"/>
    <d v="2024-10-17T00:00:00"/>
    <x v="2"/>
    <x v="3"/>
    <x v="6"/>
    <x v="3"/>
    <x v="42"/>
    <x v="0"/>
    <s v="Paper"/>
    <x v="42"/>
    <n v="35.479999999999997"/>
    <n v="88"/>
    <n v="3122.24"/>
    <s v="S370"/>
    <x v="0"/>
    <s v="W28"/>
    <x v="0"/>
    <s v="BlueDart"/>
    <s v="Cape Town-New York"/>
    <n v="4523"/>
    <n v="193"/>
    <x v="0"/>
    <n v="25"/>
    <n v="1326.42"/>
    <n v="235.58"/>
    <n v="1562"/>
    <s v="On-time"/>
    <n v="0"/>
    <n v="79.67"/>
    <n v="306"/>
    <n v="256"/>
    <n v="0.34534600928587222"/>
  </r>
  <r>
    <x v="43"/>
    <s v="C2385"/>
    <x v="41"/>
    <d v="2021-09-15T00:00:00"/>
    <x v="1"/>
    <x v="3"/>
    <x v="5"/>
    <x v="5"/>
    <x v="43"/>
    <x v="1"/>
    <s v="Chairs"/>
    <x v="43"/>
    <n v="10.63"/>
    <n v="28"/>
    <n v="297.64000000000004"/>
    <s v="S505"/>
    <x v="1"/>
    <s v="W39"/>
    <x v="3"/>
    <s v="FedEx"/>
    <s v="Toronto-São Paulo"/>
    <n v="2820"/>
    <n v="366"/>
    <x v="0"/>
    <n v="12"/>
    <n v="212.88"/>
    <n v="153.52000000000001"/>
    <n v="366.4"/>
    <s v="On-time"/>
    <n v="0"/>
    <n v="75.5"/>
    <n v="233"/>
    <n v="185"/>
    <n v="0.12992907801418438"/>
  </r>
  <r>
    <x v="44"/>
    <s v="C2707"/>
    <x v="42"/>
    <d v="2024-03-07T00:00:00"/>
    <x v="2"/>
    <x v="3"/>
    <x v="0"/>
    <x v="0"/>
    <x v="44"/>
    <x v="1"/>
    <s v="Furnishings"/>
    <x v="44"/>
    <n v="463.15"/>
    <n v="17"/>
    <n v="7873.5499999999993"/>
    <s v="S602"/>
    <x v="2"/>
    <s v="W48"/>
    <x v="3"/>
    <s v="BlueDart"/>
    <s v="Beijing-São Paulo"/>
    <n v="4892"/>
    <n v="165"/>
    <x v="0"/>
    <n v="14"/>
    <n v="1330.81"/>
    <n v="261.88"/>
    <n v="1592.69"/>
    <s v="On-time"/>
    <n v="0"/>
    <n v="76.61"/>
    <n v="93"/>
    <n v="102"/>
    <n v="0.32557031888798038"/>
  </r>
  <r>
    <x v="45"/>
    <s v="C9057"/>
    <x v="43"/>
    <d v="2022-01-12T00:00:00"/>
    <x v="1"/>
    <x v="4"/>
    <x v="5"/>
    <x v="4"/>
    <x v="45"/>
    <x v="1"/>
    <s v="Furnishings"/>
    <x v="45"/>
    <n v="208.71"/>
    <n v="61"/>
    <n v="12731.310000000001"/>
    <s v="S598"/>
    <x v="3"/>
    <s v="W9"/>
    <x v="0"/>
    <s v="DHL"/>
    <s v="London-Berlin"/>
    <n v="4975"/>
    <n v="368"/>
    <x v="0"/>
    <n v="11"/>
    <n v="1868.54"/>
    <n v="45.52"/>
    <n v="1914.06"/>
    <s v="On-time"/>
    <n v="0"/>
    <n v="88.77"/>
    <n v="305"/>
    <n v="315"/>
    <n v="0.38473567839195977"/>
  </r>
  <r>
    <x v="46"/>
    <s v="C1719"/>
    <x v="44"/>
    <d v="2023-04-28T00:00:00"/>
    <x v="2"/>
    <x v="3"/>
    <x v="4"/>
    <x v="5"/>
    <x v="46"/>
    <x v="1"/>
    <s v="Furnishings"/>
    <x v="46"/>
    <n v="18.760000000000002"/>
    <n v="44"/>
    <n v="825.44"/>
    <s v="S272"/>
    <x v="2"/>
    <s v="W24"/>
    <x v="2"/>
    <s v="DHL"/>
    <s v="Mumbai-Mumbai"/>
    <n v="4633"/>
    <n v="97"/>
    <x v="0"/>
    <n v="15"/>
    <n v="391.26"/>
    <n v="106.04"/>
    <n v="497.3"/>
    <s v="On-time"/>
    <n v="0"/>
    <n v="71.75"/>
    <n v="411"/>
    <n v="364"/>
    <n v="0.10733865745737103"/>
  </r>
  <r>
    <x v="47"/>
    <s v="C1158"/>
    <x v="45"/>
    <d v="2024-06-27T00:00:00"/>
    <x v="1"/>
    <x v="3"/>
    <x v="6"/>
    <x v="6"/>
    <x v="46"/>
    <x v="1"/>
    <s v="Furnishings"/>
    <x v="46"/>
    <n v="93.37"/>
    <n v="86"/>
    <n v="8029.8200000000006"/>
    <s v="S953"/>
    <x v="0"/>
    <s v="W13"/>
    <x v="0"/>
    <s v="UPS"/>
    <s v="London-Cape Town"/>
    <n v="1142"/>
    <n v="296"/>
    <x v="0"/>
    <n v="23"/>
    <n v="1209.5"/>
    <n v="292.60000000000002"/>
    <n v="1502.1"/>
    <s v="On-time"/>
    <n v="0"/>
    <n v="94.7"/>
    <n v="398"/>
    <n v="410"/>
    <n v="1.315323992994746"/>
  </r>
  <r>
    <x v="48"/>
    <s v="C4222"/>
    <x v="46"/>
    <d v="2022-03-05T00:00:00"/>
    <x v="2"/>
    <x v="3"/>
    <x v="0"/>
    <x v="6"/>
    <x v="47"/>
    <x v="0"/>
    <s v="Appliances"/>
    <x v="47"/>
    <n v="365.29"/>
    <n v="29"/>
    <n v="10593.41"/>
    <s v="S958"/>
    <x v="2"/>
    <s v="W5"/>
    <x v="1"/>
    <s v="Maersk"/>
    <s v="Cape Town-New York"/>
    <n v="4605"/>
    <n v="112"/>
    <x v="0"/>
    <n v="10"/>
    <n v="1592.91"/>
    <n v="57.77"/>
    <n v="1650.68"/>
    <s v="On-time"/>
    <n v="0"/>
    <n v="93.45"/>
    <n v="252"/>
    <n v="217"/>
    <n v="0.35845385450597178"/>
  </r>
  <r>
    <x v="49"/>
    <s v="C8957"/>
    <x v="47"/>
    <d v="2022-10-12T00:00:00"/>
    <x v="1"/>
    <x v="0"/>
    <x v="0"/>
    <x v="1"/>
    <x v="48"/>
    <x v="0"/>
    <s v="Art"/>
    <x v="48"/>
    <n v="110.25"/>
    <n v="52"/>
    <n v="5733"/>
    <s v="S392"/>
    <x v="0"/>
    <s v="W26"/>
    <x v="0"/>
    <s v="UPS"/>
    <s v="Berlin-Beijing"/>
    <n v="2592"/>
    <n v="140"/>
    <x v="0"/>
    <n v="17"/>
    <n v="1427.44"/>
    <n v="305.92"/>
    <n v="1733.36"/>
    <s v="On-time"/>
    <n v="0"/>
    <n v="94.22"/>
    <n v="229"/>
    <n v="207"/>
    <n v="0.66873456790123453"/>
  </r>
  <r>
    <x v="50"/>
    <s v="C7555"/>
    <x v="48"/>
    <d v="2023-03-05T00:00:00"/>
    <x v="1"/>
    <x v="1"/>
    <x v="2"/>
    <x v="7"/>
    <x v="49"/>
    <x v="0"/>
    <s v="Art"/>
    <x v="49"/>
    <n v="205.05"/>
    <n v="48"/>
    <n v="9842.4000000000015"/>
    <s v="S837"/>
    <x v="1"/>
    <s v="W17"/>
    <x v="3"/>
    <s v="Maersk"/>
    <s v="São Paulo-New York"/>
    <n v="4968"/>
    <n v="316"/>
    <x v="0"/>
    <n v="4"/>
    <n v="1153.44"/>
    <n v="179.71"/>
    <n v="1333.15"/>
    <s v="On-time"/>
    <n v="0"/>
    <n v="86.04"/>
    <n v="198"/>
    <n v="178"/>
    <n v="0.26834742351046703"/>
  </r>
  <r>
    <x v="51"/>
    <s v="C1034"/>
    <x v="49"/>
    <d v="2022-02-09T00:00:00"/>
    <x v="0"/>
    <x v="4"/>
    <x v="0"/>
    <x v="4"/>
    <x v="50"/>
    <x v="0"/>
    <s v="Art"/>
    <x v="50"/>
    <n v="216.53"/>
    <n v="23"/>
    <n v="4980.1899999999996"/>
    <s v="S814"/>
    <x v="0"/>
    <s v="W46"/>
    <x v="3"/>
    <s v="UPS"/>
    <s v="Berlin-Cape Town"/>
    <n v="4279"/>
    <n v="344"/>
    <x v="0"/>
    <n v="21"/>
    <n v="709.52"/>
    <n v="456.6"/>
    <n v="1166.1199999999999"/>
    <s v="On-time"/>
    <n v="0"/>
    <n v="90.13"/>
    <n v="400"/>
    <n v="380"/>
    <n v="0.2725216172002804"/>
  </r>
  <r>
    <x v="52"/>
    <s v="C4232"/>
    <x v="50"/>
    <d v="2022-07-31T00:00:00"/>
    <x v="1"/>
    <x v="2"/>
    <x v="4"/>
    <x v="4"/>
    <x v="51"/>
    <x v="0"/>
    <s v="Binders"/>
    <x v="51"/>
    <n v="101.14"/>
    <n v="62"/>
    <n v="6270.68"/>
    <s v="S613"/>
    <x v="2"/>
    <s v="W44"/>
    <x v="0"/>
    <s v="UPS"/>
    <s v="New York-New York"/>
    <n v="4009"/>
    <n v="402"/>
    <x v="0"/>
    <n v="4"/>
    <n v="1354.13"/>
    <n v="410.63"/>
    <n v="1764.76"/>
    <s v="On-time"/>
    <n v="0"/>
    <n v="93.56"/>
    <n v="201"/>
    <n v="202"/>
    <n v="0.44019955101022701"/>
  </r>
  <r>
    <x v="53"/>
    <s v="C7882"/>
    <x v="51"/>
    <d v="2021-01-06T00:00:00"/>
    <x v="2"/>
    <x v="2"/>
    <x v="7"/>
    <x v="1"/>
    <x v="52"/>
    <x v="0"/>
    <s v="Binders"/>
    <x v="52"/>
    <n v="465.3"/>
    <n v="45"/>
    <n v="20938.5"/>
    <s v="S278"/>
    <x v="4"/>
    <s v="W21"/>
    <x v="3"/>
    <s v="FedEx"/>
    <s v="London-Mumbai"/>
    <n v="4235"/>
    <n v="96"/>
    <x v="0"/>
    <n v="15"/>
    <n v="1212.1099999999999"/>
    <n v="115.93"/>
    <n v="1328.04"/>
    <s v="On-time"/>
    <n v="0"/>
    <n v="72.56"/>
    <n v="353"/>
    <n v="308"/>
    <n v="0.31358677685950415"/>
  </r>
  <r>
    <x v="54"/>
    <s v="C7862"/>
    <x v="52"/>
    <d v="2022-06-25T00:00:00"/>
    <x v="2"/>
    <x v="3"/>
    <x v="5"/>
    <x v="4"/>
    <x v="53"/>
    <x v="0"/>
    <s v="Binders"/>
    <x v="53"/>
    <n v="276.12"/>
    <n v="14"/>
    <n v="3865.6800000000003"/>
    <s v="S157"/>
    <x v="4"/>
    <s v="W20"/>
    <x v="1"/>
    <s v="Maersk"/>
    <s v="Mumbai-Cape Town"/>
    <n v="4843"/>
    <n v="135"/>
    <x v="0"/>
    <n v="12"/>
    <n v="225.58"/>
    <n v="162.09"/>
    <n v="387.67"/>
    <s v="On-time"/>
    <n v="0"/>
    <n v="72.78"/>
    <n v="128"/>
    <n v="95"/>
    <n v="8.0047491224447653E-2"/>
  </r>
  <r>
    <x v="55"/>
    <s v="C9281"/>
    <x v="53"/>
    <d v="2020-03-23T00:00:00"/>
    <x v="1"/>
    <x v="1"/>
    <x v="1"/>
    <x v="3"/>
    <x v="54"/>
    <x v="0"/>
    <s v="Envelopes"/>
    <x v="27"/>
    <n v="325.14999999999998"/>
    <n v="83"/>
    <n v="26987.449999999997"/>
    <s v="S763"/>
    <x v="4"/>
    <s v="W7"/>
    <x v="3"/>
    <s v="Maersk"/>
    <s v="Toronto-Mumbai"/>
    <n v="4036"/>
    <n v="69"/>
    <x v="0"/>
    <n v="10"/>
    <n v="1946.25"/>
    <n v="366.75"/>
    <n v="2313"/>
    <s v="On-time"/>
    <n v="0"/>
    <n v="86.74"/>
    <n v="486"/>
    <n v="490"/>
    <n v="0.57309217046580774"/>
  </r>
  <r>
    <x v="56"/>
    <s v="C5357"/>
    <x v="54"/>
    <d v="2021-09-11T00:00:00"/>
    <x v="2"/>
    <x v="1"/>
    <x v="1"/>
    <x v="0"/>
    <x v="55"/>
    <x v="0"/>
    <s v="Paper"/>
    <x v="54"/>
    <n v="11.75"/>
    <n v="81"/>
    <n v="951.75"/>
    <s v="S919"/>
    <x v="2"/>
    <s v="W5"/>
    <x v="1"/>
    <s v="BlueDart"/>
    <s v="Beijing-Berlin"/>
    <n v="4874"/>
    <n v="145"/>
    <x v="0"/>
    <n v="20"/>
    <n v="65.150000000000006"/>
    <n v="114.97"/>
    <n v="180.12"/>
    <s v="On-time"/>
    <n v="0"/>
    <n v="76.459999999999994"/>
    <n v="125"/>
    <n v="115"/>
    <n v="3.6955272876487484E-2"/>
  </r>
  <r>
    <x v="57"/>
    <s v="C3108"/>
    <x v="55"/>
    <d v="2024-06-19T00:00:00"/>
    <x v="2"/>
    <x v="1"/>
    <x v="2"/>
    <x v="7"/>
    <x v="56"/>
    <x v="0"/>
    <s v="Storage"/>
    <x v="55"/>
    <n v="203.59"/>
    <n v="55"/>
    <n v="11197.45"/>
    <s v="S306"/>
    <x v="2"/>
    <s v="W48"/>
    <x v="1"/>
    <s v="Maersk"/>
    <s v="Mumbai-Berlin"/>
    <n v="1329"/>
    <n v="449"/>
    <x v="0"/>
    <n v="29"/>
    <n v="1258.25"/>
    <n v="152.4"/>
    <n v="1410.65"/>
    <s v="On-time"/>
    <n v="0"/>
    <n v="90.85"/>
    <n v="456"/>
    <n v="455"/>
    <n v="1.0614371708051167"/>
  </r>
  <r>
    <x v="58"/>
    <s v="C3864"/>
    <x v="56"/>
    <d v="2023-09-28T00:00:00"/>
    <x v="0"/>
    <x v="1"/>
    <x v="4"/>
    <x v="5"/>
    <x v="57"/>
    <x v="0"/>
    <s v="Storage"/>
    <x v="56"/>
    <n v="76.849999999999994"/>
    <n v="10"/>
    <n v="768.5"/>
    <s v="S538"/>
    <x v="3"/>
    <s v="W9"/>
    <x v="2"/>
    <s v="DHL"/>
    <s v="Berlin-Toronto"/>
    <n v="2697"/>
    <n v="484"/>
    <x v="0"/>
    <n v="11"/>
    <n v="533.53"/>
    <n v="376.26"/>
    <n v="909.79"/>
    <s v="On-time"/>
    <n v="0"/>
    <n v="73.2"/>
    <n v="255"/>
    <n v="255"/>
    <n v="0.33733407489803485"/>
  </r>
  <r>
    <x v="59"/>
    <s v="C4873"/>
    <x v="57"/>
    <d v="2023-09-26T00:00:00"/>
    <x v="2"/>
    <x v="4"/>
    <x v="6"/>
    <x v="6"/>
    <x v="58"/>
    <x v="2"/>
    <s v="Phones"/>
    <x v="57"/>
    <n v="105.66"/>
    <n v="34"/>
    <n v="3592.44"/>
    <s v="S285"/>
    <x v="0"/>
    <s v="W11"/>
    <x v="2"/>
    <s v="UPS"/>
    <s v="London-Toronto"/>
    <n v="1661"/>
    <n v="358"/>
    <x v="0"/>
    <n v="8"/>
    <n v="893.39"/>
    <n v="406.09"/>
    <n v="1299.48"/>
    <s v="On-time"/>
    <n v="0"/>
    <n v="76.42"/>
    <n v="483"/>
    <n v="511"/>
    <n v="0.78234798314268517"/>
  </r>
  <r>
    <x v="60"/>
    <s v="C2688"/>
    <x v="58"/>
    <d v="2020-03-14T00:00:00"/>
    <x v="2"/>
    <x v="3"/>
    <x v="4"/>
    <x v="4"/>
    <x v="59"/>
    <x v="1"/>
    <s v="Furnishings"/>
    <x v="58"/>
    <n v="476.68"/>
    <n v="98"/>
    <n v="46714.64"/>
    <s v="S930"/>
    <x v="1"/>
    <s v="W31"/>
    <x v="1"/>
    <s v="FedEx"/>
    <s v="Beijing-Cape Town"/>
    <n v="4942"/>
    <n v="55"/>
    <x v="0"/>
    <n v="21"/>
    <n v="497.09"/>
    <n v="96.28"/>
    <n v="593.37"/>
    <s v="Delayed"/>
    <n v="13"/>
    <n v="99.02"/>
    <n v="94"/>
    <n v="45"/>
    <n v="0.12006677458518819"/>
  </r>
  <r>
    <x v="61"/>
    <s v="C6903"/>
    <x v="59"/>
    <d v="2021-07-02T00:00:00"/>
    <x v="2"/>
    <x v="2"/>
    <x v="0"/>
    <x v="4"/>
    <x v="60"/>
    <x v="1"/>
    <s v="Furnishings"/>
    <x v="59"/>
    <n v="166.59"/>
    <n v="85"/>
    <n v="14160.15"/>
    <s v="S198"/>
    <x v="2"/>
    <s v="W40"/>
    <x v="1"/>
    <s v="DHL"/>
    <s v="São Paulo-Toronto"/>
    <n v="3485"/>
    <n v="108"/>
    <x v="0"/>
    <n v="14"/>
    <n v="978.84"/>
    <n v="473.11"/>
    <n v="1451.95"/>
    <s v="On-time"/>
    <n v="0"/>
    <n v="82.29"/>
    <n v="78"/>
    <n v="123"/>
    <n v="0.41662840746054519"/>
  </r>
  <r>
    <x v="62"/>
    <s v="C2104"/>
    <x v="60"/>
    <d v="2024-02-16T00:00:00"/>
    <x v="2"/>
    <x v="0"/>
    <x v="0"/>
    <x v="3"/>
    <x v="61"/>
    <x v="1"/>
    <s v="Furnishings"/>
    <x v="60"/>
    <n v="33.25"/>
    <n v="10"/>
    <n v="332.5"/>
    <s v="S968"/>
    <x v="3"/>
    <s v="W40"/>
    <x v="0"/>
    <s v="UPS"/>
    <s v="São Paulo-Cape Town"/>
    <n v="147"/>
    <n v="426"/>
    <x v="1"/>
    <n v="14"/>
    <n v="1774.41"/>
    <n v="347.7"/>
    <n v="2122.11"/>
    <s v="On-time"/>
    <n v="0"/>
    <n v="90.92"/>
    <n v="479"/>
    <n v="523"/>
    <n v="14.436122448979592"/>
  </r>
  <r>
    <x v="63"/>
    <s v="C1767"/>
    <x v="61"/>
    <d v="2024-03-01T00:00:00"/>
    <x v="1"/>
    <x v="1"/>
    <x v="4"/>
    <x v="4"/>
    <x v="62"/>
    <x v="1"/>
    <s v="Furnishings"/>
    <x v="61"/>
    <n v="483.49"/>
    <n v="59"/>
    <n v="28525.91"/>
    <s v="S379"/>
    <x v="2"/>
    <s v="W35"/>
    <x v="3"/>
    <s v="FedEx"/>
    <s v="Berlin-Berlin"/>
    <n v="2253"/>
    <n v="495"/>
    <x v="0"/>
    <n v="1"/>
    <n v="1916.37"/>
    <n v="51.89"/>
    <n v="1968.26"/>
    <s v="On-time"/>
    <n v="0"/>
    <n v="85.52"/>
    <n v="124"/>
    <n v="99"/>
    <n v="0.8736173990235242"/>
  </r>
  <r>
    <x v="64"/>
    <s v="C5982"/>
    <x v="62"/>
    <d v="2024-06-03T00:00:00"/>
    <x v="2"/>
    <x v="1"/>
    <x v="6"/>
    <x v="0"/>
    <x v="63"/>
    <x v="0"/>
    <s v="Paper"/>
    <x v="62"/>
    <n v="313.57"/>
    <n v="23"/>
    <n v="7212.11"/>
    <s v="S919"/>
    <x v="0"/>
    <s v="W38"/>
    <x v="3"/>
    <s v="DHL"/>
    <s v="Cape Town-New York"/>
    <n v="2488"/>
    <n v="50"/>
    <x v="0"/>
    <n v="28"/>
    <n v="1727.84"/>
    <n v="103.95"/>
    <n v="1831.79"/>
    <s v="On-time"/>
    <n v="0"/>
    <n v="84.33"/>
    <n v="335"/>
    <n v="343"/>
    <n v="0.73624999999999996"/>
  </r>
  <r>
    <x v="65"/>
    <s v="C6311"/>
    <x v="63"/>
    <d v="2022-08-13T00:00:00"/>
    <x v="1"/>
    <x v="2"/>
    <x v="3"/>
    <x v="5"/>
    <x v="64"/>
    <x v="2"/>
    <s v="Phones"/>
    <x v="63"/>
    <n v="146.75"/>
    <n v="43"/>
    <n v="6310.25"/>
    <s v="S440"/>
    <x v="2"/>
    <s v="W19"/>
    <x v="3"/>
    <s v="UPS"/>
    <s v="Berlin-Berlin"/>
    <n v="3200"/>
    <n v="86"/>
    <x v="0"/>
    <n v="20"/>
    <n v="1073.94"/>
    <n v="308.13"/>
    <n v="1382.07"/>
    <s v="On-time"/>
    <n v="0"/>
    <n v="98.94"/>
    <n v="386"/>
    <n v="384"/>
    <n v="0.43189687499999996"/>
  </r>
  <r>
    <x v="66"/>
    <s v="C3432"/>
    <x v="64"/>
    <d v="2023-05-05T00:00:00"/>
    <x v="2"/>
    <x v="0"/>
    <x v="3"/>
    <x v="3"/>
    <x v="65"/>
    <x v="0"/>
    <s v="Fasteners"/>
    <x v="64"/>
    <n v="84.76"/>
    <n v="32"/>
    <n v="2712.32"/>
    <s v="S285"/>
    <x v="3"/>
    <s v="W34"/>
    <x v="2"/>
    <s v="FedEx"/>
    <s v="New York-São Paulo"/>
    <n v="4423"/>
    <n v="260"/>
    <x v="0"/>
    <n v="29"/>
    <n v="451.29"/>
    <n v="370.49"/>
    <n v="821.78"/>
    <s v="Delayed"/>
    <n v="7"/>
    <n v="70.27"/>
    <n v="170"/>
    <n v="146"/>
    <n v="0.18579697038209358"/>
  </r>
  <r>
    <x v="67"/>
    <s v="C8169"/>
    <x v="65"/>
    <d v="2020-04-02T00:00:00"/>
    <x v="2"/>
    <x v="1"/>
    <x v="4"/>
    <x v="7"/>
    <x v="66"/>
    <x v="0"/>
    <s v="Paper"/>
    <x v="65"/>
    <n v="390.58"/>
    <n v="13"/>
    <n v="5077.54"/>
    <s v="S557"/>
    <x v="3"/>
    <s v="W23"/>
    <x v="0"/>
    <s v="Maersk"/>
    <s v="São Paulo-Mumbai"/>
    <n v="9"/>
    <n v="470"/>
    <x v="1"/>
    <n v="18"/>
    <n v="793.99"/>
    <n v="477.49"/>
    <n v="1271.48"/>
    <s v="On-time"/>
    <n v="0"/>
    <n v="91.78"/>
    <n v="133"/>
    <n v="89"/>
    <n v="141.27555555555557"/>
  </r>
  <r>
    <x v="68"/>
    <s v="C5354"/>
    <x v="66"/>
    <d v="2021-09-19T00:00:00"/>
    <x v="0"/>
    <x v="3"/>
    <x v="4"/>
    <x v="3"/>
    <x v="67"/>
    <x v="1"/>
    <s v="Bookcases"/>
    <x v="66"/>
    <n v="461.67"/>
    <n v="17"/>
    <n v="7848.39"/>
    <s v="S518"/>
    <x v="0"/>
    <s v="W5"/>
    <x v="2"/>
    <s v="BlueDart"/>
    <s v="London-Cape Town"/>
    <n v="3119"/>
    <n v="403"/>
    <x v="0"/>
    <n v="19"/>
    <n v="1454.25"/>
    <n v="161.87"/>
    <n v="1616.12"/>
    <s v="On-time"/>
    <n v="0"/>
    <n v="96.67"/>
    <n v="479"/>
    <n v="460"/>
    <n v="0.51815325424815639"/>
  </r>
  <r>
    <x v="69"/>
    <s v="C1433"/>
    <x v="67"/>
    <d v="2023-07-10T00:00:00"/>
    <x v="2"/>
    <x v="3"/>
    <x v="1"/>
    <x v="5"/>
    <x v="68"/>
    <x v="1"/>
    <s v="Furnishings"/>
    <x v="67"/>
    <n v="179.86"/>
    <n v="11"/>
    <n v="1978.46"/>
    <s v="S529"/>
    <x v="0"/>
    <s v="W5"/>
    <x v="3"/>
    <s v="Maersk"/>
    <s v="Beijing-Toronto"/>
    <n v="3541"/>
    <n v="355"/>
    <x v="0"/>
    <n v="25"/>
    <n v="994.43"/>
    <n v="429.07"/>
    <n v="1423.5"/>
    <s v="On-time"/>
    <n v="0"/>
    <n v="97.89"/>
    <n v="122"/>
    <n v="144"/>
    <n v="0.4020050833097995"/>
  </r>
  <r>
    <x v="70"/>
    <s v="C9862"/>
    <x v="68"/>
    <d v="2022-05-29T00:00:00"/>
    <x v="2"/>
    <x v="2"/>
    <x v="1"/>
    <x v="6"/>
    <x v="69"/>
    <x v="1"/>
    <s v="Furnishings"/>
    <x v="68"/>
    <n v="113.1"/>
    <n v="87"/>
    <n v="9839.6999999999989"/>
    <s v="S426"/>
    <x v="0"/>
    <s v="W12"/>
    <x v="3"/>
    <s v="Maersk"/>
    <s v="Cape Town-London"/>
    <n v="1673"/>
    <n v="493"/>
    <x v="0"/>
    <n v="5"/>
    <n v="1386.02"/>
    <n v="317.89999999999998"/>
    <n v="1703.92"/>
    <s v="On-time"/>
    <n v="0"/>
    <n v="97.31"/>
    <n v="480"/>
    <n v="451"/>
    <n v="1.0184817692767485"/>
  </r>
  <r>
    <x v="71"/>
    <s v="C2478"/>
    <x v="69"/>
    <d v="2024-07-16T00:00:00"/>
    <x v="2"/>
    <x v="0"/>
    <x v="6"/>
    <x v="1"/>
    <x v="70"/>
    <x v="0"/>
    <s v="Binders"/>
    <x v="69"/>
    <n v="129.01"/>
    <n v="62"/>
    <n v="7998.619999999999"/>
    <s v="S943"/>
    <x v="3"/>
    <s v="W35"/>
    <x v="0"/>
    <s v="UPS"/>
    <s v="Cape Town-London"/>
    <n v="371"/>
    <n v="180"/>
    <x v="0"/>
    <n v="16"/>
    <n v="312.06"/>
    <n v="85.69"/>
    <n v="397.75"/>
    <s v="On-time"/>
    <n v="0"/>
    <n v="87.37"/>
    <n v="250"/>
    <n v="299"/>
    <n v="1.0721024258760108"/>
  </r>
  <r>
    <x v="72"/>
    <s v="C2586"/>
    <x v="70"/>
    <d v="2022-11-16T00:00:00"/>
    <x v="1"/>
    <x v="2"/>
    <x v="0"/>
    <x v="7"/>
    <x v="71"/>
    <x v="0"/>
    <s v="Paper"/>
    <x v="70"/>
    <n v="294.23"/>
    <n v="31"/>
    <n v="9121.130000000001"/>
    <s v="S333"/>
    <x v="1"/>
    <s v="W12"/>
    <x v="3"/>
    <s v="BlueDart"/>
    <s v="Beijing-Berlin"/>
    <n v="4004"/>
    <n v="425"/>
    <x v="0"/>
    <n v="6"/>
    <n v="627.67999999999995"/>
    <n v="329.71"/>
    <n v="957.38999999999987"/>
    <s v="On-time"/>
    <n v="0"/>
    <n v="90.19"/>
    <n v="267"/>
    <n v="238"/>
    <n v="0.23910839160839156"/>
  </r>
  <r>
    <x v="73"/>
    <s v="C9473"/>
    <x v="39"/>
    <d v="2020-04-11T00:00:00"/>
    <x v="2"/>
    <x v="1"/>
    <x v="0"/>
    <x v="0"/>
    <x v="72"/>
    <x v="0"/>
    <s v="Paper"/>
    <x v="71"/>
    <n v="84.81"/>
    <n v="76"/>
    <n v="6445.56"/>
    <s v="S664"/>
    <x v="3"/>
    <s v="W27"/>
    <x v="2"/>
    <s v="UPS"/>
    <s v="Mumbai-Toronto"/>
    <n v="2204"/>
    <n v="205"/>
    <x v="0"/>
    <n v="26"/>
    <n v="1805.72"/>
    <n v="60.63"/>
    <n v="1866.35"/>
    <s v="Delayed"/>
    <n v="10"/>
    <n v="91.14"/>
    <n v="449"/>
    <n v="441"/>
    <n v="0.84680127041742281"/>
  </r>
  <r>
    <x v="74"/>
    <s v="C1081"/>
    <x v="71"/>
    <d v="2023-11-27T00:00:00"/>
    <x v="1"/>
    <x v="3"/>
    <x v="7"/>
    <x v="5"/>
    <x v="73"/>
    <x v="0"/>
    <s v="Storage"/>
    <x v="72"/>
    <n v="398.93"/>
    <n v="37"/>
    <n v="14760.41"/>
    <s v="S243"/>
    <x v="3"/>
    <s v="W13"/>
    <x v="3"/>
    <s v="DHL"/>
    <s v="São Paulo-Mumbai"/>
    <n v="1456"/>
    <n v="373"/>
    <x v="0"/>
    <n v="24"/>
    <n v="1916.61"/>
    <n v="465.67"/>
    <n v="2382.2800000000002"/>
    <s v="On-time"/>
    <n v="0"/>
    <n v="87.17"/>
    <n v="75"/>
    <n v="94"/>
    <n v="1.6361813186813188"/>
  </r>
  <r>
    <x v="75"/>
    <s v="C5251"/>
    <x v="72"/>
    <d v="2023-05-17T00:00:00"/>
    <x v="0"/>
    <x v="4"/>
    <x v="4"/>
    <x v="2"/>
    <x v="74"/>
    <x v="2"/>
    <s v="Phones"/>
    <x v="73"/>
    <n v="125.42"/>
    <n v="55"/>
    <n v="6898.1"/>
    <s v="S159"/>
    <x v="3"/>
    <s v="W43"/>
    <x v="0"/>
    <s v="Maersk"/>
    <s v="Toronto-Beijing"/>
    <n v="2429"/>
    <n v="287"/>
    <x v="0"/>
    <n v="10"/>
    <n v="1932.32"/>
    <n v="457.87"/>
    <n v="2390.19"/>
    <s v="On-time"/>
    <n v="0"/>
    <n v="73.22"/>
    <n v="458"/>
    <n v="460"/>
    <n v="0.98402223137093459"/>
  </r>
  <r>
    <x v="76"/>
    <s v="C6830"/>
    <x v="10"/>
    <d v="2023-07-05T00:00:00"/>
    <x v="2"/>
    <x v="1"/>
    <x v="3"/>
    <x v="0"/>
    <x v="75"/>
    <x v="2"/>
    <s v="Phones"/>
    <x v="74"/>
    <n v="421.19"/>
    <n v="94"/>
    <n v="39591.86"/>
    <s v="S687"/>
    <x v="2"/>
    <s v="W25"/>
    <x v="3"/>
    <s v="BlueDart"/>
    <s v="Berlin-Beijing"/>
    <n v="1882"/>
    <n v="79"/>
    <x v="0"/>
    <n v="2"/>
    <n v="317.02999999999997"/>
    <n v="51.07"/>
    <n v="368.1"/>
    <s v="On-time"/>
    <n v="0"/>
    <n v="97.46"/>
    <n v="174"/>
    <n v="196"/>
    <n v="0.19558979808714136"/>
  </r>
  <r>
    <x v="77"/>
    <s v="C5957"/>
    <x v="73"/>
    <d v="2024-10-03T00:00:00"/>
    <x v="0"/>
    <x v="3"/>
    <x v="5"/>
    <x v="1"/>
    <x v="76"/>
    <x v="1"/>
    <s v="Tables"/>
    <x v="75"/>
    <n v="477.18"/>
    <n v="3"/>
    <n v="1431.54"/>
    <s v="S107"/>
    <x v="4"/>
    <s v="W46"/>
    <x v="3"/>
    <s v="Maersk"/>
    <s v="Toronto-São Paulo"/>
    <n v="3877"/>
    <n v="192"/>
    <x v="0"/>
    <n v="1"/>
    <n v="1855.28"/>
    <n v="50.64"/>
    <n v="1905.92"/>
    <s v="On-time"/>
    <n v="0"/>
    <n v="70.52"/>
    <n v="367"/>
    <n v="349"/>
    <n v="0.4915965953056487"/>
  </r>
  <r>
    <x v="78"/>
    <s v="C1883"/>
    <x v="74"/>
    <d v="2020-01-18T00:00:00"/>
    <x v="1"/>
    <x v="0"/>
    <x v="7"/>
    <x v="7"/>
    <x v="77"/>
    <x v="0"/>
    <s v="Art"/>
    <x v="76"/>
    <n v="337.18"/>
    <n v="93"/>
    <n v="31357.74"/>
    <s v="S542"/>
    <x v="2"/>
    <s v="W32"/>
    <x v="1"/>
    <s v="UPS"/>
    <s v="London-Beijing"/>
    <n v="2196"/>
    <n v="82"/>
    <x v="0"/>
    <n v="18"/>
    <n v="1393.52"/>
    <n v="460.58"/>
    <n v="1854.1"/>
    <s v="On-time"/>
    <n v="0"/>
    <n v="92.1"/>
    <n v="52"/>
    <n v="71"/>
    <n v="0.84430783242258645"/>
  </r>
  <r>
    <x v="79"/>
    <s v="C6759"/>
    <x v="27"/>
    <d v="2020-02-08T00:00:00"/>
    <x v="1"/>
    <x v="1"/>
    <x v="4"/>
    <x v="5"/>
    <x v="78"/>
    <x v="0"/>
    <s v="Storage"/>
    <x v="77"/>
    <n v="494.42"/>
    <n v="70"/>
    <n v="34609.4"/>
    <s v="S253"/>
    <x v="2"/>
    <s v="W38"/>
    <x v="2"/>
    <s v="UPS"/>
    <s v="Cape Town-New York"/>
    <n v="2637"/>
    <n v="382"/>
    <x v="0"/>
    <n v="9"/>
    <n v="288.72000000000003"/>
    <n v="145.82"/>
    <n v="434.54"/>
    <s v="On-time"/>
    <n v="0"/>
    <n v="95.93"/>
    <n v="476"/>
    <n v="434"/>
    <n v="0.1647857413727721"/>
  </r>
  <r>
    <x v="80"/>
    <s v="C2813"/>
    <x v="75"/>
    <d v="2024-06-11T00:00:00"/>
    <x v="2"/>
    <x v="1"/>
    <x v="3"/>
    <x v="2"/>
    <x v="79"/>
    <x v="0"/>
    <s v="Binders"/>
    <x v="78"/>
    <n v="318.36"/>
    <n v="32"/>
    <n v="10187.52"/>
    <s v="S162"/>
    <x v="0"/>
    <s v="W14"/>
    <x v="2"/>
    <s v="BlueDart"/>
    <s v="Berlin-Toronto"/>
    <n v="2040"/>
    <n v="449"/>
    <x v="0"/>
    <n v="17"/>
    <n v="1988.88"/>
    <n v="48.76"/>
    <n v="2037.64"/>
    <s v="On-time"/>
    <n v="0"/>
    <n v="82.41"/>
    <n v="341"/>
    <n v="328"/>
    <n v="0.99884313725490204"/>
  </r>
  <r>
    <x v="81"/>
    <s v="C9596"/>
    <x v="76"/>
    <d v="2023-08-17T00:00:00"/>
    <x v="2"/>
    <x v="3"/>
    <x v="0"/>
    <x v="7"/>
    <x v="80"/>
    <x v="0"/>
    <s v="Paper"/>
    <x v="79"/>
    <n v="66.62"/>
    <n v="91"/>
    <n v="6062.42"/>
    <s v="S565"/>
    <x v="3"/>
    <s v="W35"/>
    <x v="0"/>
    <s v="Maersk"/>
    <s v="Cape Town-Mumbai"/>
    <n v="322"/>
    <n v="157"/>
    <x v="0"/>
    <n v="13"/>
    <n v="482.06"/>
    <n v="470.6"/>
    <n v="952.66000000000008"/>
    <s v="On-time"/>
    <n v="0"/>
    <n v="96.56"/>
    <n v="428"/>
    <n v="400"/>
    <n v="2.9585714285714286"/>
  </r>
  <r>
    <x v="82"/>
    <s v="C3541"/>
    <x v="77"/>
    <d v="2023-04-10T00:00:00"/>
    <x v="1"/>
    <x v="1"/>
    <x v="4"/>
    <x v="5"/>
    <x v="81"/>
    <x v="0"/>
    <s v="Storage"/>
    <x v="80"/>
    <n v="382.6"/>
    <n v="58"/>
    <n v="22190.800000000003"/>
    <s v="S148"/>
    <x v="3"/>
    <s v="W35"/>
    <x v="3"/>
    <s v="UPS"/>
    <s v="Beijing-London"/>
    <n v="4787"/>
    <n v="251"/>
    <x v="0"/>
    <n v="5"/>
    <n v="766.38"/>
    <n v="397.16"/>
    <n v="1163.54"/>
    <s v="On-time"/>
    <n v="0"/>
    <n v="98.72"/>
    <n v="159"/>
    <n v="199"/>
    <n v="0.24306246083141841"/>
  </r>
  <r>
    <x v="83"/>
    <s v="C9877"/>
    <x v="78"/>
    <d v="2022-10-26T00:00:00"/>
    <x v="0"/>
    <x v="1"/>
    <x v="6"/>
    <x v="4"/>
    <x v="82"/>
    <x v="1"/>
    <s v="Bookcases"/>
    <x v="81"/>
    <n v="265.38"/>
    <n v="3"/>
    <n v="796.14"/>
    <s v="S897"/>
    <x v="4"/>
    <s v="W31"/>
    <x v="3"/>
    <s v="BlueDart"/>
    <s v="São Paulo-New York"/>
    <n v="4928"/>
    <n v="263"/>
    <x v="0"/>
    <n v="16"/>
    <n v="230.38"/>
    <n v="481.69"/>
    <n v="712.06999999999994"/>
    <s v="Delayed"/>
    <n v="8"/>
    <n v="71.47"/>
    <n v="64"/>
    <n v="85"/>
    <n v="0.14449472402597402"/>
  </r>
  <r>
    <x v="84"/>
    <s v="C4954"/>
    <x v="79"/>
    <d v="2023-02-28T00:00:00"/>
    <x v="2"/>
    <x v="2"/>
    <x v="1"/>
    <x v="3"/>
    <x v="83"/>
    <x v="2"/>
    <s v="Accessories"/>
    <x v="82"/>
    <n v="345.62"/>
    <n v="94"/>
    <n v="32488.28"/>
    <s v="S393"/>
    <x v="4"/>
    <s v="W16"/>
    <x v="2"/>
    <s v="DHL"/>
    <s v="New York-Beijing"/>
    <n v="2578"/>
    <n v="194"/>
    <x v="0"/>
    <n v="20"/>
    <n v="740.63"/>
    <n v="466.35"/>
    <n v="1206.98"/>
    <s v="On-time"/>
    <n v="0"/>
    <n v="72.010000000000005"/>
    <n v="271"/>
    <n v="273"/>
    <n v="0.46818463925523662"/>
  </r>
  <r>
    <x v="85"/>
    <s v="C1507"/>
    <x v="80"/>
    <d v="2022-07-31T00:00:00"/>
    <x v="2"/>
    <x v="4"/>
    <x v="0"/>
    <x v="2"/>
    <x v="84"/>
    <x v="0"/>
    <s v="Binders"/>
    <x v="83"/>
    <n v="202.34"/>
    <n v="90"/>
    <n v="18210.599999999999"/>
    <s v="S369"/>
    <x v="4"/>
    <s v="W30"/>
    <x v="3"/>
    <s v="UPS"/>
    <s v="Toronto-Toronto"/>
    <n v="1813"/>
    <n v="355"/>
    <x v="0"/>
    <n v="18"/>
    <n v="1709.45"/>
    <n v="52.8"/>
    <n v="1762.25"/>
    <s v="On-time"/>
    <n v="0"/>
    <n v="77.23"/>
    <n v="150"/>
    <n v="173"/>
    <n v="0.97200772200772201"/>
  </r>
  <r>
    <x v="86"/>
    <s v="C8854"/>
    <x v="44"/>
    <d v="2023-08-07T00:00:00"/>
    <x v="2"/>
    <x v="4"/>
    <x v="1"/>
    <x v="2"/>
    <x v="85"/>
    <x v="0"/>
    <s v="Fasteners"/>
    <x v="84"/>
    <n v="334.08"/>
    <n v="31"/>
    <n v="10356.48"/>
    <s v="S988"/>
    <x v="1"/>
    <s v="W44"/>
    <x v="1"/>
    <s v="DHL"/>
    <s v="Berlin-New York"/>
    <n v="285"/>
    <n v="358"/>
    <x v="1"/>
    <n v="22"/>
    <n v="75.290000000000006"/>
    <n v="59.79"/>
    <n v="135.08000000000001"/>
    <s v="On-time"/>
    <n v="0"/>
    <n v="78.28"/>
    <n v="106"/>
    <n v="91"/>
    <n v="0.47396491228070181"/>
  </r>
  <r>
    <x v="87"/>
    <s v="C5795"/>
    <x v="81"/>
    <d v="2021-10-04T00:00:00"/>
    <x v="2"/>
    <x v="0"/>
    <x v="4"/>
    <x v="1"/>
    <x v="86"/>
    <x v="2"/>
    <s v="Phones"/>
    <x v="85"/>
    <n v="138.94"/>
    <n v="63"/>
    <n v="8753.2199999999993"/>
    <s v="S522"/>
    <x v="1"/>
    <s v="W23"/>
    <x v="2"/>
    <s v="DHL"/>
    <s v="Cape Town-Toronto"/>
    <n v="2031"/>
    <n v="394"/>
    <x v="0"/>
    <n v="10"/>
    <n v="307.20999999999998"/>
    <n v="404.94"/>
    <n v="712.15"/>
    <s v="Delayed"/>
    <n v="6"/>
    <n v="93.45"/>
    <n v="269"/>
    <n v="276"/>
    <n v="0.35064007877892661"/>
  </r>
  <r>
    <x v="88"/>
    <s v="C3846"/>
    <x v="82"/>
    <d v="2022-06-10T00:00:00"/>
    <x v="2"/>
    <x v="4"/>
    <x v="1"/>
    <x v="5"/>
    <x v="87"/>
    <x v="0"/>
    <s v="Binders"/>
    <x v="86"/>
    <n v="193.87"/>
    <n v="60"/>
    <n v="11632.2"/>
    <s v="S995"/>
    <x v="0"/>
    <s v="W41"/>
    <x v="2"/>
    <s v="FedEx"/>
    <s v="Mumbai-Mumbai"/>
    <n v="314"/>
    <n v="197"/>
    <x v="0"/>
    <n v="19"/>
    <n v="562.65"/>
    <n v="216.69"/>
    <n v="779.33999999999992"/>
    <s v="On-time"/>
    <n v="0"/>
    <n v="98.85"/>
    <n v="422"/>
    <n v="435"/>
    <n v="2.4819745222929934"/>
  </r>
  <r>
    <x v="89"/>
    <s v="C3309"/>
    <x v="83"/>
    <d v="2020-09-10T00:00:00"/>
    <x v="2"/>
    <x v="3"/>
    <x v="7"/>
    <x v="5"/>
    <x v="88"/>
    <x v="0"/>
    <s v="Binders"/>
    <x v="87"/>
    <n v="260.93"/>
    <n v="54"/>
    <n v="14090.220000000001"/>
    <s v="S801"/>
    <x v="4"/>
    <s v="W13"/>
    <x v="1"/>
    <s v="FedEx"/>
    <s v="London-Mumbai"/>
    <n v="1922"/>
    <n v="247"/>
    <x v="0"/>
    <n v="18"/>
    <n v="250.84"/>
    <n v="235.61"/>
    <n v="486.45"/>
    <s v="Delayed"/>
    <n v="4"/>
    <n v="85.03"/>
    <n v="199"/>
    <n v="247"/>
    <n v="0.25309573361082205"/>
  </r>
  <r>
    <x v="90"/>
    <s v="C3502"/>
    <x v="84"/>
    <d v="2024-10-29T00:00:00"/>
    <x v="2"/>
    <x v="0"/>
    <x v="3"/>
    <x v="0"/>
    <x v="40"/>
    <x v="0"/>
    <s v="Binders"/>
    <x v="40"/>
    <n v="131.12"/>
    <n v="19"/>
    <n v="2491.2800000000002"/>
    <s v="S312"/>
    <x v="4"/>
    <s v="W14"/>
    <x v="0"/>
    <s v="FedEx"/>
    <s v="Beijing-Cape Town"/>
    <n v="981"/>
    <n v="383"/>
    <x v="0"/>
    <n v="19"/>
    <n v="499.6"/>
    <n v="298.77"/>
    <n v="798.37"/>
    <s v="On-time"/>
    <n v="0"/>
    <n v="93.08"/>
    <n v="290"/>
    <n v="292"/>
    <n v="0.8138328236493374"/>
  </r>
  <r>
    <x v="91"/>
    <s v="C1182"/>
    <x v="85"/>
    <d v="2023-03-13T00:00:00"/>
    <x v="2"/>
    <x v="3"/>
    <x v="2"/>
    <x v="5"/>
    <x v="89"/>
    <x v="0"/>
    <s v="Binders"/>
    <x v="88"/>
    <n v="344.87"/>
    <n v="64"/>
    <n v="22071.68"/>
    <s v="S310"/>
    <x v="4"/>
    <s v="W37"/>
    <x v="2"/>
    <s v="BlueDart"/>
    <s v="Cape Town-Beijing"/>
    <n v="573"/>
    <n v="266"/>
    <x v="0"/>
    <n v="22"/>
    <n v="911.46"/>
    <n v="432.92"/>
    <n v="1344.38"/>
    <s v="On-time"/>
    <n v="0"/>
    <n v="71.239999999999995"/>
    <n v="182"/>
    <n v="139"/>
    <n v="2.3462129144851658"/>
  </r>
  <r>
    <x v="92"/>
    <s v="C5319"/>
    <x v="86"/>
    <d v="2024-05-09T00:00:00"/>
    <x v="2"/>
    <x v="1"/>
    <x v="3"/>
    <x v="0"/>
    <x v="90"/>
    <x v="0"/>
    <s v="Paper"/>
    <x v="89"/>
    <n v="480.26"/>
    <n v="49"/>
    <n v="23532.739999999998"/>
    <s v="S550"/>
    <x v="3"/>
    <s v="W20"/>
    <x v="1"/>
    <s v="Maersk"/>
    <s v="London-Cape Town"/>
    <n v="19"/>
    <n v="294"/>
    <x v="1"/>
    <n v="13"/>
    <n v="1232.99"/>
    <n v="204.09"/>
    <n v="1437.08"/>
    <s v="On-time"/>
    <n v="0"/>
    <n v="79.959999999999994"/>
    <n v="159"/>
    <n v="201"/>
    <n v="75.635789473684213"/>
  </r>
  <r>
    <x v="93"/>
    <s v="C5567"/>
    <x v="87"/>
    <d v="2022-06-16T00:00:00"/>
    <x v="2"/>
    <x v="1"/>
    <x v="4"/>
    <x v="7"/>
    <x v="91"/>
    <x v="0"/>
    <s v="Binders"/>
    <x v="90"/>
    <n v="396.85"/>
    <n v="11"/>
    <n v="4365.3500000000004"/>
    <s v="S166"/>
    <x v="1"/>
    <s v="W38"/>
    <x v="1"/>
    <s v="BlueDart"/>
    <s v="New York-Toronto"/>
    <n v="4611"/>
    <n v="314"/>
    <x v="0"/>
    <n v="9"/>
    <n v="447.65"/>
    <n v="407.79"/>
    <n v="855.44"/>
    <s v="On-time"/>
    <n v="0"/>
    <n v="78.97"/>
    <n v="326"/>
    <n v="359"/>
    <n v="0.1855215788332249"/>
  </r>
  <r>
    <x v="94"/>
    <s v="C4479"/>
    <x v="88"/>
    <d v="2022-02-02T00:00:00"/>
    <x v="2"/>
    <x v="0"/>
    <x v="1"/>
    <x v="3"/>
    <x v="92"/>
    <x v="0"/>
    <s v="Labels"/>
    <x v="91"/>
    <n v="202.73"/>
    <n v="60"/>
    <n v="12163.8"/>
    <s v="S254"/>
    <x v="3"/>
    <s v="W44"/>
    <x v="0"/>
    <s v="FedEx"/>
    <s v="New York-Mumbai"/>
    <n v="3869"/>
    <n v="326"/>
    <x v="0"/>
    <n v="16"/>
    <n v="136.93"/>
    <n v="71.87"/>
    <n v="208.8"/>
    <s v="On-time"/>
    <n v="0"/>
    <n v="84.22"/>
    <n v="134"/>
    <n v="150"/>
    <n v="5.3967433445334716E-2"/>
  </r>
  <r>
    <x v="95"/>
    <s v="C3143"/>
    <x v="89"/>
    <d v="2021-07-20T00:00:00"/>
    <x v="2"/>
    <x v="1"/>
    <x v="5"/>
    <x v="1"/>
    <x v="93"/>
    <x v="2"/>
    <s v="Phones"/>
    <x v="92"/>
    <n v="299.20999999999998"/>
    <n v="6"/>
    <n v="1795.2599999999998"/>
    <s v="S690"/>
    <x v="3"/>
    <s v="W32"/>
    <x v="2"/>
    <s v="UPS"/>
    <s v="Mumbai-Toronto"/>
    <n v="1359"/>
    <n v="492"/>
    <x v="0"/>
    <n v="19"/>
    <n v="990.92"/>
    <n v="227.18"/>
    <n v="1218.0999999999999"/>
    <s v="On-time"/>
    <n v="0"/>
    <n v="95.45"/>
    <n v="383"/>
    <n v="368"/>
    <n v="0.8963208241353936"/>
  </r>
  <r>
    <x v="96"/>
    <s v="C3261"/>
    <x v="90"/>
    <d v="2020-07-04T00:00:00"/>
    <x v="2"/>
    <x v="2"/>
    <x v="2"/>
    <x v="4"/>
    <x v="94"/>
    <x v="2"/>
    <s v="Phones"/>
    <x v="93"/>
    <n v="384.51"/>
    <n v="4"/>
    <n v="1538.04"/>
    <s v="S674"/>
    <x v="1"/>
    <s v="W27"/>
    <x v="1"/>
    <s v="FedEx"/>
    <s v="London-London"/>
    <n v="3902"/>
    <n v="428"/>
    <x v="0"/>
    <n v="12"/>
    <n v="1950.62"/>
    <n v="262.37"/>
    <n v="2212.9899999999998"/>
    <s v="Delayed"/>
    <n v="5"/>
    <n v="86.75"/>
    <n v="241"/>
    <n v="281"/>
    <n v="0.56714249103024084"/>
  </r>
  <r>
    <x v="97"/>
    <s v="C3141"/>
    <x v="91"/>
    <d v="2023-03-26T00:00:00"/>
    <x v="2"/>
    <x v="2"/>
    <x v="6"/>
    <x v="6"/>
    <x v="95"/>
    <x v="0"/>
    <s v="Storage"/>
    <x v="94"/>
    <n v="257.55"/>
    <n v="98"/>
    <n v="25239.9"/>
    <s v="S349"/>
    <x v="2"/>
    <s v="W39"/>
    <x v="3"/>
    <s v="BlueDart"/>
    <s v="Cape Town-São Paulo"/>
    <n v="1335"/>
    <n v="465"/>
    <x v="0"/>
    <n v="17"/>
    <n v="1186.31"/>
    <n v="225.66"/>
    <n v="1411.97"/>
    <s v="On-time"/>
    <n v="0"/>
    <n v="72.88"/>
    <n v="53"/>
    <n v="45"/>
    <n v="1.0576554307116106"/>
  </r>
  <r>
    <x v="98"/>
    <s v="C4662"/>
    <x v="92"/>
    <d v="2024-10-01T00:00:00"/>
    <x v="2"/>
    <x v="2"/>
    <x v="0"/>
    <x v="2"/>
    <x v="96"/>
    <x v="2"/>
    <s v="Accessories"/>
    <x v="95"/>
    <n v="343.74"/>
    <n v="80"/>
    <n v="27499.200000000001"/>
    <s v="S347"/>
    <x v="1"/>
    <s v="W14"/>
    <x v="1"/>
    <s v="DHL"/>
    <s v="London-Mumbai"/>
    <n v="3407"/>
    <n v="254"/>
    <x v="0"/>
    <n v="11"/>
    <n v="1259.18"/>
    <n v="159.79"/>
    <n v="1418.97"/>
    <s v="On-time"/>
    <n v="0"/>
    <n v="83.31"/>
    <n v="127"/>
    <n v="137"/>
    <n v="0.41648664514235401"/>
  </r>
  <r>
    <x v="99"/>
    <s v="C1633"/>
    <x v="93"/>
    <d v="2020-04-06T00:00:00"/>
    <x v="1"/>
    <x v="2"/>
    <x v="0"/>
    <x v="0"/>
    <x v="97"/>
    <x v="1"/>
    <s v="Furnishings"/>
    <x v="96"/>
    <n v="49.63"/>
    <n v="54"/>
    <n v="2680.02"/>
    <s v="S438"/>
    <x v="3"/>
    <s v="W48"/>
    <x v="1"/>
    <s v="FedEx"/>
    <s v="Mumbai-Mumbai"/>
    <n v="4208"/>
    <n v="227"/>
    <x v="0"/>
    <n v="8"/>
    <n v="1611.64"/>
    <n v="298.77999999999997"/>
    <n v="1910.42"/>
    <s v="Delayed"/>
    <n v="9"/>
    <n v="92.49"/>
    <n v="182"/>
    <n v="195"/>
    <n v="0.45399714828897342"/>
  </r>
  <r>
    <x v="100"/>
    <s v="C3638"/>
    <x v="94"/>
    <d v="2023-07-05T00:00:00"/>
    <x v="1"/>
    <x v="4"/>
    <x v="4"/>
    <x v="2"/>
    <x v="98"/>
    <x v="1"/>
    <s v="Chairs"/>
    <x v="97"/>
    <n v="217.4"/>
    <n v="52"/>
    <n v="11304.800000000001"/>
    <s v="S558"/>
    <x v="3"/>
    <s v="W44"/>
    <x v="1"/>
    <s v="BlueDart"/>
    <s v="Cape Town-Cape Town"/>
    <n v="3788"/>
    <n v="271"/>
    <x v="0"/>
    <n v="18"/>
    <n v="142.26"/>
    <n v="414.86"/>
    <n v="557.12"/>
    <s v="On-time"/>
    <n v="0"/>
    <n v="70.540000000000006"/>
    <n v="488"/>
    <n v="516"/>
    <n v="0.14707497360084476"/>
  </r>
  <r>
    <x v="101"/>
    <s v="C1912"/>
    <x v="95"/>
    <d v="2020-09-19T00:00:00"/>
    <x v="1"/>
    <x v="4"/>
    <x v="4"/>
    <x v="1"/>
    <x v="99"/>
    <x v="1"/>
    <s v="Furnishings"/>
    <x v="98"/>
    <n v="156.72999999999999"/>
    <n v="9"/>
    <n v="1410.57"/>
    <s v="S176"/>
    <x v="2"/>
    <s v="W28"/>
    <x v="3"/>
    <s v="Maersk"/>
    <s v="Cape Town-Berlin"/>
    <n v="4586"/>
    <n v="75"/>
    <x v="0"/>
    <n v="15"/>
    <n v="1947.99"/>
    <n v="369.69"/>
    <n v="2317.6799999999998"/>
    <s v="On-time"/>
    <n v="0"/>
    <n v="86.63"/>
    <n v="433"/>
    <n v="422"/>
    <n v="0.50538159616223288"/>
  </r>
  <r>
    <x v="102"/>
    <s v="C6462"/>
    <x v="96"/>
    <d v="2021-08-05T00:00:00"/>
    <x v="2"/>
    <x v="4"/>
    <x v="5"/>
    <x v="6"/>
    <x v="100"/>
    <x v="1"/>
    <s v="Tables"/>
    <x v="99"/>
    <n v="209.52"/>
    <n v="89"/>
    <n v="18647.280000000002"/>
    <s v="S594"/>
    <x v="1"/>
    <s v="W42"/>
    <x v="1"/>
    <s v="Maersk"/>
    <s v="New York-São Paulo"/>
    <n v="3490"/>
    <n v="147"/>
    <x v="0"/>
    <n v="21"/>
    <n v="279.87"/>
    <n v="299.02999999999997"/>
    <n v="578.9"/>
    <s v="On-time"/>
    <n v="0"/>
    <n v="71.27"/>
    <n v="497"/>
    <n v="517"/>
    <n v="0.16587392550143265"/>
  </r>
  <r>
    <x v="103"/>
    <s v="C2679"/>
    <x v="97"/>
    <d v="2020-10-30T00:00:00"/>
    <x v="1"/>
    <x v="3"/>
    <x v="2"/>
    <x v="5"/>
    <x v="101"/>
    <x v="0"/>
    <s v="Binders"/>
    <x v="100"/>
    <n v="104.74"/>
    <n v="35"/>
    <n v="3665.8999999999996"/>
    <s v="S678"/>
    <x v="4"/>
    <s v="W4"/>
    <x v="0"/>
    <s v="UPS"/>
    <s v="São Paulo-Beijing"/>
    <n v="670"/>
    <n v="115"/>
    <x v="0"/>
    <n v="17"/>
    <n v="1865.24"/>
    <n v="376.87"/>
    <n v="2242.11"/>
    <s v="Delayed"/>
    <n v="11"/>
    <n v="96.13"/>
    <n v="106"/>
    <n v="112"/>
    <n v="3.3464328358208957"/>
  </r>
  <r>
    <x v="104"/>
    <s v="C1468"/>
    <x v="98"/>
    <d v="2021-01-25T00:00:00"/>
    <x v="1"/>
    <x v="2"/>
    <x v="2"/>
    <x v="6"/>
    <x v="102"/>
    <x v="0"/>
    <s v="Binders"/>
    <x v="101"/>
    <n v="390.23"/>
    <n v="1"/>
    <n v="390.23"/>
    <s v="S820"/>
    <x v="2"/>
    <s v="W3"/>
    <x v="3"/>
    <s v="Maersk"/>
    <s v="São Paulo-Beijing"/>
    <n v="115"/>
    <n v="255"/>
    <x v="1"/>
    <n v="22"/>
    <n v="178.97"/>
    <n v="485.39"/>
    <n v="664.36"/>
    <s v="On-time"/>
    <n v="0"/>
    <n v="70.25"/>
    <n v="381"/>
    <n v="343"/>
    <n v="5.7770434782608699"/>
  </r>
  <r>
    <x v="105"/>
    <s v="C6118"/>
    <x v="99"/>
    <d v="2020-08-29T00:00:00"/>
    <x v="1"/>
    <x v="4"/>
    <x v="4"/>
    <x v="2"/>
    <x v="103"/>
    <x v="0"/>
    <s v="Binders"/>
    <x v="102"/>
    <n v="344.38"/>
    <n v="33"/>
    <n v="11364.539999999999"/>
    <s v="S302"/>
    <x v="0"/>
    <s v="W33"/>
    <x v="2"/>
    <s v="Maersk"/>
    <s v="Berlin-Mumbai"/>
    <n v="4476"/>
    <n v="428"/>
    <x v="0"/>
    <n v="25"/>
    <n v="223.51"/>
    <n v="23.44"/>
    <n v="246.95"/>
    <s v="On-time"/>
    <n v="0"/>
    <n v="91.77"/>
    <n v="369"/>
    <n v="386"/>
    <n v="5.5172028596961568E-2"/>
  </r>
  <r>
    <x v="106"/>
    <s v="C3637"/>
    <x v="100"/>
    <d v="2021-01-09T00:00:00"/>
    <x v="2"/>
    <x v="4"/>
    <x v="1"/>
    <x v="7"/>
    <x v="104"/>
    <x v="0"/>
    <s v="Labels"/>
    <x v="103"/>
    <n v="386.66"/>
    <n v="15"/>
    <n v="5799.9000000000005"/>
    <s v="S563"/>
    <x v="4"/>
    <s v="W18"/>
    <x v="1"/>
    <s v="UPS"/>
    <s v="Toronto-São Paulo"/>
    <n v="247"/>
    <n v="109"/>
    <x v="0"/>
    <n v="27"/>
    <n v="1838.77"/>
    <n v="322.49"/>
    <n v="2161.2600000000002"/>
    <s v="On-time"/>
    <n v="0"/>
    <n v="97.31"/>
    <n v="67"/>
    <n v="62"/>
    <n v="8.7500404858299596"/>
  </r>
  <r>
    <x v="107"/>
    <s v="C1558"/>
    <x v="101"/>
    <d v="2020-09-27T00:00:00"/>
    <x v="2"/>
    <x v="1"/>
    <x v="0"/>
    <x v="4"/>
    <x v="105"/>
    <x v="0"/>
    <s v="Storage"/>
    <x v="104"/>
    <n v="368.24"/>
    <n v="71"/>
    <n v="26145.040000000001"/>
    <s v="S803"/>
    <x v="2"/>
    <s v="W31"/>
    <x v="3"/>
    <s v="BlueDart"/>
    <s v="São Paulo-Toronto"/>
    <n v="4821"/>
    <n v="406"/>
    <x v="0"/>
    <n v="12"/>
    <n v="638.46"/>
    <n v="439.14"/>
    <n v="1077.5999999999999"/>
    <s v="On-time"/>
    <n v="0"/>
    <n v="90.38"/>
    <n v="67"/>
    <n v="80"/>
    <n v="0.2235220908525202"/>
  </r>
  <r>
    <x v="108"/>
    <s v="C1894"/>
    <x v="102"/>
    <d v="2021-05-29T00:00:00"/>
    <x v="2"/>
    <x v="0"/>
    <x v="7"/>
    <x v="7"/>
    <x v="83"/>
    <x v="2"/>
    <s v="Accessories"/>
    <x v="82"/>
    <n v="90.27"/>
    <n v="98"/>
    <n v="8846.4599999999991"/>
    <s v="S150"/>
    <x v="4"/>
    <s v="W34"/>
    <x v="1"/>
    <s v="FedEx"/>
    <s v="London-Mumbai"/>
    <n v="2529"/>
    <n v="370"/>
    <x v="0"/>
    <n v="9"/>
    <n v="1532.54"/>
    <n v="326.29000000000002"/>
    <n v="1858.83"/>
    <s v="On-time"/>
    <n v="0"/>
    <n v="83.69"/>
    <n v="157"/>
    <n v="153"/>
    <n v="0.73500593119810198"/>
  </r>
  <r>
    <x v="109"/>
    <s v="C8742"/>
    <x v="103"/>
    <d v="2023-04-01T00:00:00"/>
    <x v="2"/>
    <x v="0"/>
    <x v="4"/>
    <x v="2"/>
    <x v="106"/>
    <x v="1"/>
    <s v="Chairs"/>
    <x v="105"/>
    <n v="61.83"/>
    <n v="60"/>
    <n v="3709.7999999999997"/>
    <s v="S958"/>
    <x v="1"/>
    <s v="W1"/>
    <x v="3"/>
    <s v="BlueDart"/>
    <s v="Beijing-Mumbai"/>
    <n v="804"/>
    <n v="137"/>
    <x v="0"/>
    <n v="11"/>
    <n v="1239.28"/>
    <n v="59.25"/>
    <n v="1298.53"/>
    <s v="On-time"/>
    <n v="0"/>
    <n v="84.49"/>
    <n v="348"/>
    <n v="390"/>
    <n v="1.6150870646766169"/>
  </r>
  <r>
    <x v="110"/>
    <s v="C1627"/>
    <x v="104"/>
    <d v="2023-02-08T00:00:00"/>
    <x v="1"/>
    <x v="2"/>
    <x v="6"/>
    <x v="5"/>
    <x v="107"/>
    <x v="0"/>
    <s v="Appliances"/>
    <x v="106"/>
    <n v="310.95"/>
    <n v="46"/>
    <n v="14303.699999999999"/>
    <s v="S789"/>
    <x v="3"/>
    <s v="W19"/>
    <x v="3"/>
    <s v="Maersk"/>
    <s v="Cape Town-Toronto"/>
    <n v="1733"/>
    <n v="315"/>
    <x v="0"/>
    <n v="5"/>
    <n v="927.3"/>
    <n v="161.94"/>
    <n v="1089.24"/>
    <s v="On-time"/>
    <n v="0"/>
    <n v="79.069999999999993"/>
    <n v="104"/>
    <n v="91"/>
    <n v="0.62852856318522798"/>
  </r>
  <r>
    <x v="111"/>
    <s v="C9044"/>
    <x v="105"/>
    <d v="2021-02-07T00:00:00"/>
    <x v="2"/>
    <x v="3"/>
    <x v="3"/>
    <x v="2"/>
    <x v="108"/>
    <x v="0"/>
    <s v="Paper"/>
    <x v="107"/>
    <n v="258.52999999999997"/>
    <n v="53"/>
    <n v="13702.089999999998"/>
    <s v="S909"/>
    <x v="1"/>
    <s v="W7"/>
    <x v="2"/>
    <s v="UPS"/>
    <s v="Beijing-New York"/>
    <n v="2630"/>
    <n v="320"/>
    <x v="0"/>
    <n v="8"/>
    <n v="663.06"/>
    <n v="41.62"/>
    <n v="704.68"/>
    <s v="On-time"/>
    <n v="0"/>
    <n v="86.41"/>
    <n v="162"/>
    <n v="166"/>
    <n v="0.26793916349809882"/>
  </r>
  <r>
    <x v="112"/>
    <s v="C1734"/>
    <x v="106"/>
    <d v="2020-04-14T00:00:00"/>
    <x v="1"/>
    <x v="0"/>
    <x v="6"/>
    <x v="4"/>
    <x v="109"/>
    <x v="0"/>
    <s v="Supplies"/>
    <x v="108"/>
    <n v="476.17"/>
    <n v="46"/>
    <n v="21903.82"/>
    <s v="S625"/>
    <x v="2"/>
    <s v="W12"/>
    <x v="1"/>
    <s v="BlueDart"/>
    <s v="Toronto-New York"/>
    <n v="661"/>
    <n v="447"/>
    <x v="0"/>
    <n v="29"/>
    <n v="1143.97"/>
    <n v="304.23"/>
    <n v="1448.2"/>
    <s v="On-time"/>
    <n v="0"/>
    <n v="97.79"/>
    <n v="386"/>
    <n v="344"/>
    <n v="2.1909228441754918"/>
  </r>
  <r>
    <x v="113"/>
    <s v="C7151"/>
    <x v="107"/>
    <d v="2021-07-11T00:00:00"/>
    <x v="2"/>
    <x v="2"/>
    <x v="6"/>
    <x v="0"/>
    <x v="110"/>
    <x v="2"/>
    <s v="Accessories"/>
    <x v="109"/>
    <n v="148.63999999999999"/>
    <n v="30"/>
    <n v="4459.2"/>
    <s v="S809"/>
    <x v="0"/>
    <s v="W33"/>
    <x v="2"/>
    <s v="UPS"/>
    <s v="Toronto-Toronto"/>
    <n v="3938"/>
    <n v="284"/>
    <x v="0"/>
    <n v="20"/>
    <n v="1829.71"/>
    <n v="454.91"/>
    <n v="2284.62"/>
    <s v="Delayed"/>
    <n v="14"/>
    <n v="80.959999999999994"/>
    <n v="409"/>
    <n v="361"/>
    <n v="0.58014728288471307"/>
  </r>
  <r>
    <x v="114"/>
    <s v="C8759"/>
    <x v="108"/>
    <d v="2020-06-17T00:00:00"/>
    <x v="2"/>
    <x v="4"/>
    <x v="6"/>
    <x v="2"/>
    <x v="111"/>
    <x v="0"/>
    <s v="Binders"/>
    <x v="110"/>
    <n v="488.97"/>
    <n v="47"/>
    <n v="22981.59"/>
    <s v="S297"/>
    <x v="0"/>
    <s v="W32"/>
    <x v="0"/>
    <s v="UPS"/>
    <s v="Cape Town-New York"/>
    <n v="853"/>
    <n v="104"/>
    <x v="0"/>
    <n v="8"/>
    <n v="378"/>
    <n v="301.51"/>
    <n v="679.51"/>
    <s v="On-time"/>
    <n v="0"/>
    <n v="96.02"/>
    <n v="80"/>
    <n v="73"/>
    <n v="0.79661195779601401"/>
  </r>
  <r>
    <x v="115"/>
    <s v="C7231"/>
    <x v="109"/>
    <d v="2023-11-26T00:00:00"/>
    <x v="2"/>
    <x v="0"/>
    <x v="0"/>
    <x v="3"/>
    <x v="112"/>
    <x v="0"/>
    <s v="Appliances"/>
    <x v="111"/>
    <n v="135.5"/>
    <n v="83"/>
    <n v="11246.5"/>
    <s v="S303"/>
    <x v="1"/>
    <s v="W43"/>
    <x v="1"/>
    <s v="BlueDart"/>
    <s v="Toronto-Cape Town"/>
    <n v="1583"/>
    <n v="189"/>
    <x v="0"/>
    <n v="24"/>
    <n v="731.71"/>
    <n v="472.48"/>
    <n v="1204.19"/>
    <s v="On-time"/>
    <n v="0"/>
    <n v="80.03"/>
    <n v="154"/>
    <n v="189"/>
    <n v="0.76070120025268484"/>
  </r>
  <r>
    <x v="116"/>
    <s v="C1888"/>
    <x v="110"/>
    <d v="2020-03-28T00:00:00"/>
    <x v="2"/>
    <x v="4"/>
    <x v="6"/>
    <x v="7"/>
    <x v="113"/>
    <x v="0"/>
    <s v="Binders"/>
    <x v="112"/>
    <n v="367.64"/>
    <n v="11"/>
    <n v="4044.04"/>
    <s v="S362"/>
    <x v="0"/>
    <s v="W47"/>
    <x v="2"/>
    <s v="FedEx"/>
    <s v="Toronto-Cape Town"/>
    <n v="2987"/>
    <n v="178"/>
    <x v="0"/>
    <n v="10"/>
    <n v="571.88"/>
    <n v="241.84"/>
    <n v="813.72"/>
    <s v="On-time"/>
    <n v="0"/>
    <n v="85.19"/>
    <n v="445"/>
    <n v="480"/>
    <n v="0.27242048878473385"/>
  </r>
  <r>
    <x v="117"/>
    <s v="C6371"/>
    <x v="111"/>
    <d v="2022-01-14T00:00:00"/>
    <x v="2"/>
    <x v="1"/>
    <x v="6"/>
    <x v="3"/>
    <x v="114"/>
    <x v="0"/>
    <s v="Art"/>
    <x v="113"/>
    <n v="112.02"/>
    <n v="37"/>
    <n v="4144.74"/>
    <s v="S499"/>
    <x v="3"/>
    <s v="W13"/>
    <x v="2"/>
    <s v="DHL"/>
    <s v="London-Toronto"/>
    <n v="1785"/>
    <n v="118"/>
    <x v="0"/>
    <n v="15"/>
    <n v="1334.92"/>
    <n v="206.15"/>
    <n v="1541.07"/>
    <s v="On-time"/>
    <n v="0"/>
    <n v="97.83"/>
    <n v="91"/>
    <n v="54"/>
    <n v="0.86334453781512599"/>
  </r>
  <r>
    <x v="118"/>
    <s v="C8386"/>
    <x v="112"/>
    <d v="2021-12-09T00:00:00"/>
    <x v="2"/>
    <x v="2"/>
    <x v="5"/>
    <x v="5"/>
    <x v="115"/>
    <x v="1"/>
    <s v="Furnishings"/>
    <x v="114"/>
    <n v="347.75"/>
    <n v="82"/>
    <n v="28515.5"/>
    <s v="S522"/>
    <x v="0"/>
    <s v="W27"/>
    <x v="1"/>
    <s v="FedEx"/>
    <s v="Toronto-Cape Town"/>
    <n v="1340"/>
    <n v="435"/>
    <x v="0"/>
    <n v="1"/>
    <n v="1468.85"/>
    <n v="48.82"/>
    <n v="1517.67"/>
    <s v="On-time"/>
    <n v="0"/>
    <n v="97.01"/>
    <n v="469"/>
    <n v="512"/>
    <n v="1.1325895522388061"/>
  </r>
  <r>
    <x v="119"/>
    <s v="C2163"/>
    <x v="113"/>
    <d v="2023-09-22T00:00:00"/>
    <x v="2"/>
    <x v="4"/>
    <x v="3"/>
    <x v="1"/>
    <x v="116"/>
    <x v="0"/>
    <s v="Storage"/>
    <x v="115"/>
    <n v="119.91"/>
    <n v="96"/>
    <n v="11511.36"/>
    <s v="S152"/>
    <x v="3"/>
    <s v="W8"/>
    <x v="2"/>
    <s v="Maersk"/>
    <s v="London-Beijing"/>
    <n v="541"/>
    <n v="477"/>
    <x v="0"/>
    <n v="17"/>
    <n v="327.96"/>
    <n v="136.38"/>
    <n v="464.34"/>
    <s v="Delayed"/>
    <n v="7"/>
    <n v="81.98"/>
    <n v="114"/>
    <n v="118"/>
    <n v="0.85829944547134929"/>
  </r>
  <r>
    <x v="120"/>
    <s v="C6193"/>
    <x v="114"/>
    <d v="2020-05-13T00:00:00"/>
    <x v="1"/>
    <x v="0"/>
    <x v="2"/>
    <x v="4"/>
    <x v="117"/>
    <x v="1"/>
    <s v="Furnishings"/>
    <x v="116"/>
    <n v="96.03"/>
    <n v="30"/>
    <n v="2880.9"/>
    <s v="S142"/>
    <x v="3"/>
    <s v="W12"/>
    <x v="2"/>
    <s v="Maersk"/>
    <s v="London-São Paulo"/>
    <n v="1217"/>
    <n v="275"/>
    <x v="0"/>
    <n v="11"/>
    <n v="1462.65"/>
    <n v="137.94999999999999"/>
    <n v="1600.6"/>
    <s v="On-time"/>
    <n v="0"/>
    <n v="85.19"/>
    <n v="132"/>
    <n v="117"/>
    <n v="1.315201314708299"/>
  </r>
  <r>
    <x v="121"/>
    <s v="C4126"/>
    <x v="115"/>
    <d v="2024-12-27T00:00:00"/>
    <x v="2"/>
    <x v="2"/>
    <x v="3"/>
    <x v="3"/>
    <x v="118"/>
    <x v="0"/>
    <s v="Paper"/>
    <x v="117"/>
    <n v="74.5"/>
    <n v="5"/>
    <n v="372.5"/>
    <s v="S886"/>
    <x v="0"/>
    <s v="W18"/>
    <x v="0"/>
    <s v="BlueDart"/>
    <s v="Beijing-Toronto"/>
    <n v="1121"/>
    <n v="54"/>
    <x v="0"/>
    <n v="15"/>
    <n v="635.11"/>
    <n v="435.32"/>
    <n v="1070.43"/>
    <s v="On-time"/>
    <n v="0"/>
    <n v="73.02"/>
    <n v="431"/>
    <n v="438"/>
    <n v="0.95488849241748441"/>
  </r>
  <r>
    <x v="122"/>
    <s v="C9218"/>
    <x v="116"/>
    <d v="2024-03-08T00:00:00"/>
    <x v="1"/>
    <x v="0"/>
    <x v="4"/>
    <x v="5"/>
    <x v="119"/>
    <x v="2"/>
    <s v="Accessories"/>
    <x v="118"/>
    <n v="449.82"/>
    <n v="47"/>
    <n v="21141.54"/>
    <s v="S378"/>
    <x v="1"/>
    <s v="W44"/>
    <x v="1"/>
    <s v="UPS"/>
    <s v="Cape Town-Berlin"/>
    <n v="123"/>
    <n v="138"/>
    <x v="1"/>
    <n v="1"/>
    <n v="1618.62"/>
    <n v="297.57"/>
    <n v="1916.19"/>
    <s v="On-time"/>
    <n v="0"/>
    <n v="81.95"/>
    <n v="59"/>
    <n v="14"/>
    <n v="15.578780487804879"/>
  </r>
  <r>
    <x v="123"/>
    <s v="C5646"/>
    <x v="117"/>
    <d v="2020-01-16T00:00:00"/>
    <x v="1"/>
    <x v="0"/>
    <x v="0"/>
    <x v="2"/>
    <x v="1"/>
    <x v="0"/>
    <s v="Binders"/>
    <x v="1"/>
    <n v="290.57"/>
    <n v="61"/>
    <n v="17724.77"/>
    <s v="S414"/>
    <x v="2"/>
    <s v="W35"/>
    <x v="1"/>
    <s v="BlueDart"/>
    <s v="Berlin-São Paulo"/>
    <n v="4275"/>
    <n v="418"/>
    <x v="0"/>
    <n v="27"/>
    <n v="382.13"/>
    <n v="378.99"/>
    <n v="761.12"/>
    <s v="On-time"/>
    <n v="0"/>
    <n v="95.09"/>
    <n v="110"/>
    <n v="91"/>
    <n v="0.17803976608187136"/>
  </r>
  <r>
    <x v="124"/>
    <s v="C4902"/>
    <x v="118"/>
    <d v="2024-05-16T00:00:00"/>
    <x v="2"/>
    <x v="4"/>
    <x v="0"/>
    <x v="5"/>
    <x v="120"/>
    <x v="0"/>
    <s v="Paper"/>
    <x v="119"/>
    <n v="236.09"/>
    <n v="91"/>
    <n v="21484.19"/>
    <s v="S297"/>
    <x v="1"/>
    <s v="W49"/>
    <x v="3"/>
    <s v="DHL"/>
    <s v="New York-New York"/>
    <n v="4999"/>
    <n v="453"/>
    <x v="0"/>
    <n v="23"/>
    <n v="1216.17"/>
    <n v="152.24"/>
    <n v="1368.41"/>
    <s v="On-time"/>
    <n v="0"/>
    <n v="88.91"/>
    <n v="157"/>
    <n v="135"/>
    <n v="0.2737367473494699"/>
  </r>
  <r>
    <x v="125"/>
    <s v="C7267"/>
    <x v="119"/>
    <d v="2021-07-03T00:00:00"/>
    <x v="0"/>
    <x v="0"/>
    <x v="4"/>
    <x v="6"/>
    <x v="121"/>
    <x v="0"/>
    <s v="Binders"/>
    <x v="120"/>
    <n v="109.91"/>
    <n v="60"/>
    <n v="6594.5999999999995"/>
    <s v="S823"/>
    <x v="3"/>
    <s v="W16"/>
    <x v="3"/>
    <s v="UPS"/>
    <s v="London-Beijing"/>
    <n v="1759"/>
    <n v="473"/>
    <x v="0"/>
    <n v="12"/>
    <n v="194.23"/>
    <n v="326.69"/>
    <n v="520.91999999999996"/>
    <s v="On-time"/>
    <n v="0"/>
    <n v="83.49"/>
    <n v="318"/>
    <n v="357"/>
    <n v="0.29614553723706649"/>
  </r>
  <r>
    <x v="126"/>
    <s v="C3614"/>
    <x v="120"/>
    <d v="2023-04-05T00:00:00"/>
    <x v="2"/>
    <x v="0"/>
    <x v="1"/>
    <x v="0"/>
    <x v="122"/>
    <x v="0"/>
    <s v="Labels"/>
    <x v="121"/>
    <n v="84"/>
    <n v="82"/>
    <n v="6888"/>
    <s v="S513"/>
    <x v="4"/>
    <s v="W30"/>
    <x v="0"/>
    <s v="BlueDart"/>
    <s v="Mumbai-Mumbai"/>
    <n v="4775"/>
    <n v="161"/>
    <x v="0"/>
    <n v="26"/>
    <n v="626.12"/>
    <n v="457.98"/>
    <n v="1084.0999999999999"/>
    <s v="On-time"/>
    <n v="0"/>
    <n v="84.38"/>
    <n v="304"/>
    <n v="286"/>
    <n v="0.22703664921465966"/>
  </r>
  <r>
    <x v="127"/>
    <s v="C6328"/>
    <x v="121"/>
    <d v="2023-02-12T00:00:00"/>
    <x v="0"/>
    <x v="4"/>
    <x v="6"/>
    <x v="3"/>
    <x v="123"/>
    <x v="0"/>
    <s v="Paper"/>
    <x v="122"/>
    <n v="405.48"/>
    <n v="68"/>
    <n v="27572.639999999999"/>
    <s v="S866"/>
    <x v="4"/>
    <s v="W40"/>
    <x v="3"/>
    <s v="DHL"/>
    <s v="Beijing-Toronto"/>
    <n v="4156"/>
    <n v="196"/>
    <x v="0"/>
    <n v="22"/>
    <n v="1465.45"/>
    <n v="399.02"/>
    <n v="1864.47"/>
    <s v="On-time"/>
    <n v="0"/>
    <n v="93.84"/>
    <n v="179"/>
    <n v="221"/>
    <n v="0.44862127045235806"/>
  </r>
  <r>
    <x v="128"/>
    <s v="C6034"/>
    <x v="67"/>
    <d v="2021-12-27T00:00:00"/>
    <x v="1"/>
    <x v="4"/>
    <x v="6"/>
    <x v="4"/>
    <x v="0"/>
    <x v="0"/>
    <s v="Paper"/>
    <x v="0"/>
    <n v="174.3"/>
    <n v="44"/>
    <n v="7669.2000000000007"/>
    <s v="S277"/>
    <x v="0"/>
    <s v="W41"/>
    <x v="3"/>
    <s v="FedEx"/>
    <s v="Mumbai-Beijing"/>
    <n v="3843"/>
    <n v="143"/>
    <x v="0"/>
    <n v="12"/>
    <n v="511.53"/>
    <n v="444.71"/>
    <n v="956.24"/>
    <s v="On-time"/>
    <n v="0"/>
    <n v="71.31"/>
    <n v="276"/>
    <n v="293"/>
    <n v="0.2488264376788967"/>
  </r>
  <r>
    <x v="129"/>
    <s v="C6764"/>
    <x v="122"/>
    <d v="2023-09-22T00:00:00"/>
    <x v="0"/>
    <x v="2"/>
    <x v="7"/>
    <x v="4"/>
    <x v="124"/>
    <x v="0"/>
    <s v="Art"/>
    <x v="123"/>
    <n v="433.76"/>
    <n v="77"/>
    <n v="33399.519999999997"/>
    <s v="S465"/>
    <x v="4"/>
    <s v="W43"/>
    <x v="2"/>
    <s v="Maersk"/>
    <s v="Toronto-São Paulo"/>
    <n v="2214"/>
    <n v="80"/>
    <x v="0"/>
    <n v="18"/>
    <n v="124.32"/>
    <n v="181.16"/>
    <n v="305.48"/>
    <s v="On-time"/>
    <n v="0"/>
    <n v="87.48"/>
    <n v="397"/>
    <n v="363"/>
    <n v="0.13797651309846432"/>
  </r>
  <r>
    <x v="130"/>
    <s v="C3009"/>
    <x v="123"/>
    <d v="2020-02-14T00:00:00"/>
    <x v="2"/>
    <x v="4"/>
    <x v="6"/>
    <x v="0"/>
    <x v="125"/>
    <x v="1"/>
    <s v="Chairs"/>
    <x v="124"/>
    <n v="162.28"/>
    <n v="18"/>
    <n v="2921.04"/>
    <s v="S472"/>
    <x v="0"/>
    <s v="W41"/>
    <x v="0"/>
    <s v="FedEx"/>
    <s v="London-London"/>
    <n v="2264"/>
    <n v="327"/>
    <x v="0"/>
    <n v="8"/>
    <n v="1549.07"/>
    <n v="362.81"/>
    <n v="1911.88"/>
    <s v="On-time"/>
    <n v="0"/>
    <n v="98.42"/>
    <n v="206"/>
    <n v="192"/>
    <n v="0.84446996466431101"/>
  </r>
  <r>
    <x v="131"/>
    <s v="C1147"/>
    <x v="124"/>
    <d v="2021-02-11T00:00:00"/>
    <x v="0"/>
    <x v="2"/>
    <x v="6"/>
    <x v="2"/>
    <x v="126"/>
    <x v="1"/>
    <s v="Chairs"/>
    <x v="125"/>
    <n v="459.38"/>
    <n v="76"/>
    <n v="34912.879999999997"/>
    <s v="S499"/>
    <x v="3"/>
    <s v="W29"/>
    <x v="0"/>
    <s v="BlueDart"/>
    <s v="São Paulo-Toronto"/>
    <n v="3027"/>
    <n v="260"/>
    <x v="0"/>
    <n v="3"/>
    <n v="1250.55"/>
    <n v="208.57"/>
    <n v="1459.12"/>
    <s v="On-time"/>
    <n v="0"/>
    <n v="75.989999999999995"/>
    <n v="289"/>
    <n v="281"/>
    <n v="0.48203501816980504"/>
  </r>
  <r>
    <x v="132"/>
    <s v="C3712"/>
    <x v="125"/>
    <d v="2021-05-08T00:00:00"/>
    <x v="1"/>
    <x v="4"/>
    <x v="3"/>
    <x v="7"/>
    <x v="5"/>
    <x v="1"/>
    <s v="Chairs"/>
    <x v="5"/>
    <n v="412.6"/>
    <n v="49"/>
    <n v="20217.400000000001"/>
    <s v="S873"/>
    <x v="0"/>
    <s v="W10"/>
    <x v="3"/>
    <s v="FedEx"/>
    <s v="São Paulo-Toronto"/>
    <n v="271"/>
    <n v="273"/>
    <x v="1"/>
    <n v="10"/>
    <n v="1395.59"/>
    <n v="186.98"/>
    <n v="1582.57"/>
    <s v="On-time"/>
    <n v="0"/>
    <n v="85.41"/>
    <n v="245"/>
    <n v="221"/>
    <n v="5.839741697416974"/>
  </r>
  <r>
    <x v="133"/>
    <s v="C3278"/>
    <x v="126"/>
    <d v="2022-12-01T00:00:00"/>
    <x v="1"/>
    <x v="1"/>
    <x v="7"/>
    <x v="3"/>
    <x v="34"/>
    <x v="1"/>
    <s v="Furnishings"/>
    <x v="34"/>
    <n v="375.05"/>
    <n v="11"/>
    <n v="4125.55"/>
    <s v="S553"/>
    <x v="2"/>
    <s v="W1"/>
    <x v="0"/>
    <s v="Maersk"/>
    <s v="New York-Mumbai"/>
    <n v="259"/>
    <n v="493"/>
    <x v="1"/>
    <n v="4"/>
    <n v="735.12"/>
    <n v="149.18"/>
    <n v="884.3"/>
    <s v="On-time"/>
    <n v="0"/>
    <n v="89.08"/>
    <n v="90"/>
    <n v="66"/>
    <n v="3.4142857142857141"/>
  </r>
  <r>
    <x v="134"/>
    <s v="C8152"/>
    <x v="127"/>
    <d v="2020-06-10T00:00:00"/>
    <x v="1"/>
    <x v="4"/>
    <x v="2"/>
    <x v="0"/>
    <x v="127"/>
    <x v="1"/>
    <s v="Tables"/>
    <x v="126"/>
    <n v="370.23"/>
    <n v="60"/>
    <n v="22213.800000000003"/>
    <s v="S161"/>
    <x v="4"/>
    <s v="W8"/>
    <x v="0"/>
    <s v="BlueDart"/>
    <s v="London-Berlin"/>
    <n v="2944"/>
    <n v="443"/>
    <x v="0"/>
    <n v="7"/>
    <n v="782.81"/>
    <n v="455.08"/>
    <n v="1237.8900000000001"/>
    <s v="On-time"/>
    <n v="0"/>
    <n v="95.67"/>
    <n v="443"/>
    <n v="490"/>
    <n v="0.42047894021739135"/>
  </r>
  <r>
    <x v="135"/>
    <s v="C7943"/>
    <x v="128"/>
    <d v="2020-02-07T00:00:00"/>
    <x v="2"/>
    <x v="2"/>
    <x v="2"/>
    <x v="6"/>
    <x v="128"/>
    <x v="0"/>
    <s v="Fasteners"/>
    <x v="127"/>
    <n v="160.32"/>
    <n v="64"/>
    <n v="10260.48"/>
    <s v="S759"/>
    <x v="0"/>
    <s v="W17"/>
    <x v="1"/>
    <s v="UPS"/>
    <s v="London-Mumbai"/>
    <n v="4730"/>
    <n v="308"/>
    <x v="0"/>
    <n v="7"/>
    <n v="1498.63"/>
    <n v="346.9"/>
    <n v="1845.53"/>
    <s v="On-time"/>
    <n v="0"/>
    <n v="72.98"/>
    <n v="141"/>
    <n v="93"/>
    <n v="0.39017547568710359"/>
  </r>
  <r>
    <x v="136"/>
    <s v="C4204"/>
    <x v="129"/>
    <d v="2020-12-16T00:00:00"/>
    <x v="1"/>
    <x v="0"/>
    <x v="1"/>
    <x v="4"/>
    <x v="129"/>
    <x v="0"/>
    <s v="Paper"/>
    <x v="128"/>
    <n v="65.790000000000006"/>
    <n v="75"/>
    <n v="4934.2500000000009"/>
    <s v="S363"/>
    <x v="1"/>
    <s v="W31"/>
    <x v="1"/>
    <s v="BlueDart"/>
    <s v="New York-São Paulo"/>
    <n v="125"/>
    <n v="337"/>
    <x v="1"/>
    <n v="25"/>
    <n v="1257.97"/>
    <n v="119.74"/>
    <n v="1377.71"/>
    <s v="On-time"/>
    <n v="0"/>
    <n v="77.739999999999995"/>
    <n v="138"/>
    <n v="117"/>
    <n v="11.02168"/>
  </r>
  <r>
    <x v="137"/>
    <s v="C3995"/>
    <x v="130"/>
    <d v="2020-11-19T00:00:00"/>
    <x v="1"/>
    <x v="3"/>
    <x v="6"/>
    <x v="4"/>
    <x v="130"/>
    <x v="0"/>
    <s v="Storage"/>
    <x v="129"/>
    <n v="192.94"/>
    <n v="20"/>
    <n v="3858.8"/>
    <s v="S663"/>
    <x v="1"/>
    <s v="W9"/>
    <x v="3"/>
    <s v="Maersk"/>
    <s v="London-Cape Town"/>
    <n v="1084"/>
    <n v="90"/>
    <x v="0"/>
    <n v="10"/>
    <n v="1206.45"/>
    <n v="218.17"/>
    <n v="1424.62"/>
    <s v="On-time"/>
    <n v="0"/>
    <n v="75.22"/>
    <n v="440"/>
    <n v="478"/>
    <n v="1.3142250922509224"/>
  </r>
  <r>
    <x v="138"/>
    <s v="C6341"/>
    <x v="38"/>
    <d v="2023-07-24T00:00:00"/>
    <x v="2"/>
    <x v="4"/>
    <x v="7"/>
    <x v="5"/>
    <x v="78"/>
    <x v="0"/>
    <s v="Storage"/>
    <x v="77"/>
    <n v="427"/>
    <n v="34"/>
    <n v="14518"/>
    <s v="S927"/>
    <x v="3"/>
    <s v="W49"/>
    <x v="0"/>
    <s v="FedEx"/>
    <s v="Berlin-Toronto"/>
    <n v="274"/>
    <n v="386"/>
    <x v="1"/>
    <n v="19"/>
    <n v="606.52"/>
    <n v="196.42"/>
    <n v="802.93999999999994"/>
    <s v="On-time"/>
    <n v="0"/>
    <n v="76.52"/>
    <n v="61"/>
    <n v="83"/>
    <n v="2.9304379562043792"/>
  </r>
  <r>
    <x v="139"/>
    <s v="C5152"/>
    <x v="131"/>
    <d v="2020-01-31T00:00:00"/>
    <x v="2"/>
    <x v="1"/>
    <x v="4"/>
    <x v="4"/>
    <x v="131"/>
    <x v="2"/>
    <s v="Phones"/>
    <x v="130"/>
    <n v="43.02"/>
    <n v="95"/>
    <n v="4086.9"/>
    <s v="S312"/>
    <x v="2"/>
    <s v="W27"/>
    <x v="2"/>
    <s v="Maersk"/>
    <s v="London-Cape Town"/>
    <n v="471"/>
    <n v="439"/>
    <x v="0"/>
    <n v="13"/>
    <n v="1716.32"/>
    <n v="170.88"/>
    <n v="1887.2"/>
    <s v="On-time"/>
    <n v="0"/>
    <n v="99.86"/>
    <n v="98"/>
    <n v="110"/>
    <n v="4.0067940552016985"/>
  </r>
  <r>
    <x v="140"/>
    <s v="C8874"/>
    <x v="132"/>
    <d v="2021-06-23T00:00:00"/>
    <x v="1"/>
    <x v="2"/>
    <x v="1"/>
    <x v="6"/>
    <x v="27"/>
    <x v="0"/>
    <s v="Envelopes"/>
    <x v="27"/>
    <n v="188.39"/>
    <n v="42"/>
    <n v="7912.3799999999992"/>
    <s v="S692"/>
    <x v="3"/>
    <s v="W37"/>
    <x v="3"/>
    <s v="DHL"/>
    <s v="Berlin-São Paulo"/>
    <n v="3381"/>
    <n v="456"/>
    <x v="0"/>
    <n v="26"/>
    <n v="148.61000000000001"/>
    <n v="155.62"/>
    <n v="304.23"/>
    <s v="On-time"/>
    <n v="0"/>
    <n v="70.540000000000006"/>
    <n v="167"/>
    <n v="177"/>
    <n v="8.9982253771073648E-2"/>
  </r>
  <r>
    <x v="141"/>
    <s v="C6014"/>
    <x v="133"/>
    <d v="2020-02-18T00:00:00"/>
    <x v="2"/>
    <x v="0"/>
    <x v="1"/>
    <x v="4"/>
    <x v="132"/>
    <x v="0"/>
    <s v="Paper"/>
    <x v="131"/>
    <n v="389.94"/>
    <n v="22"/>
    <n v="8578.68"/>
    <s v="S555"/>
    <x v="4"/>
    <s v="W1"/>
    <x v="0"/>
    <s v="DHL"/>
    <s v="São Paulo-New York"/>
    <n v="204"/>
    <n v="182"/>
    <x v="0"/>
    <n v="25"/>
    <n v="1817.67"/>
    <n v="458.36"/>
    <n v="2276.0300000000002"/>
    <s v="On-time"/>
    <n v="0"/>
    <n v="79.989999999999995"/>
    <n v="305"/>
    <n v="259"/>
    <n v="11.15700980392157"/>
  </r>
  <r>
    <x v="142"/>
    <s v="C4606"/>
    <x v="134"/>
    <d v="2024-12-11T00:00:00"/>
    <x v="0"/>
    <x v="3"/>
    <x v="2"/>
    <x v="6"/>
    <x v="133"/>
    <x v="0"/>
    <s v="Paper"/>
    <x v="132"/>
    <n v="477.85"/>
    <n v="55"/>
    <n v="26281.75"/>
    <s v="S293"/>
    <x v="3"/>
    <s v="W17"/>
    <x v="0"/>
    <s v="BlueDart"/>
    <s v="New York-Mumbai"/>
    <n v="1234"/>
    <n v="317"/>
    <x v="0"/>
    <n v="26"/>
    <n v="1766.82"/>
    <n v="294.64"/>
    <n v="2061.46"/>
    <s v="On-time"/>
    <n v="0"/>
    <n v="98.62"/>
    <n v="265"/>
    <n v="262"/>
    <n v="1.6705510534846029"/>
  </r>
  <r>
    <x v="143"/>
    <s v="C2277"/>
    <x v="135"/>
    <d v="2022-02-07T00:00:00"/>
    <x v="2"/>
    <x v="3"/>
    <x v="4"/>
    <x v="5"/>
    <x v="134"/>
    <x v="2"/>
    <s v="Accessories"/>
    <x v="133"/>
    <n v="270.39999999999998"/>
    <n v="2"/>
    <n v="540.79999999999995"/>
    <s v="S940"/>
    <x v="1"/>
    <s v="W27"/>
    <x v="0"/>
    <s v="FedEx"/>
    <s v="Berlin-Mumbai"/>
    <n v="4892"/>
    <n v="93"/>
    <x v="0"/>
    <n v="15"/>
    <n v="1441.47"/>
    <n v="468.77"/>
    <n v="1910.24"/>
    <s v="On-time"/>
    <n v="0"/>
    <n v="83.11"/>
    <n v="433"/>
    <n v="395"/>
    <n v="0.39048242027800489"/>
  </r>
  <r>
    <x v="144"/>
    <s v="C5012"/>
    <x v="136"/>
    <d v="2023-04-04T00:00:00"/>
    <x v="1"/>
    <x v="3"/>
    <x v="3"/>
    <x v="3"/>
    <x v="39"/>
    <x v="1"/>
    <s v="Bookcases"/>
    <x v="39"/>
    <n v="118.65"/>
    <n v="24"/>
    <n v="2847.6000000000004"/>
    <s v="S820"/>
    <x v="3"/>
    <s v="W30"/>
    <x v="2"/>
    <s v="DHL"/>
    <s v="Berlin-São Paulo"/>
    <n v="2532"/>
    <n v="228"/>
    <x v="0"/>
    <n v="13"/>
    <n v="1737.78"/>
    <n v="398.6"/>
    <n v="2136.38"/>
    <s v="On-time"/>
    <n v="0"/>
    <n v="93.95"/>
    <n v="185"/>
    <n v="212"/>
    <n v="0.8437519747235388"/>
  </r>
  <r>
    <x v="145"/>
    <s v="C7436"/>
    <x v="24"/>
    <d v="2023-05-11T00:00:00"/>
    <x v="1"/>
    <x v="1"/>
    <x v="4"/>
    <x v="6"/>
    <x v="135"/>
    <x v="1"/>
    <s v="Tables"/>
    <x v="134"/>
    <n v="104.63"/>
    <n v="48"/>
    <n v="5022.24"/>
    <s v="S787"/>
    <x v="0"/>
    <s v="W25"/>
    <x v="0"/>
    <s v="BlueDart"/>
    <s v="Beijing-Toronto"/>
    <n v="3923"/>
    <n v="378"/>
    <x v="0"/>
    <n v="7"/>
    <n v="58.27"/>
    <n v="190.39"/>
    <n v="248.66"/>
    <s v="On-time"/>
    <n v="0"/>
    <n v="82.04"/>
    <n v="414"/>
    <n v="364"/>
    <n v="6.3385164414988523E-2"/>
  </r>
  <r>
    <x v="146"/>
    <s v="C6185"/>
    <x v="137"/>
    <d v="2022-01-29T00:00:00"/>
    <x v="2"/>
    <x v="3"/>
    <x v="7"/>
    <x v="4"/>
    <x v="136"/>
    <x v="0"/>
    <s v="Appliances"/>
    <x v="135"/>
    <n v="19.82"/>
    <n v="73"/>
    <n v="1446.8600000000001"/>
    <s v="S738"/>
    <x v="2"/>
    <s v="W23"/>
    <x v="1"/>
    <s v="BlueDart"/>
    <s v="São Paulo-Beijing"/>
    <n v="3177"/>
    <n v="53"/>
    <x v="0"/>
    <n v="12"/>
    <n v="1884.99"/>
    <n v="406.51"/>
    <n v="2291.5"/>
    <s v="On-time"/>
    <n v="0"/>
    <n v="84.2"/>
    <n v="135"/>
    <n v="137"/>
    <n v="0.721277935158955"/>
  </r>
  <r>
    <x v="147"/>
    <s v="C5097"/>
    <x v="138"/>
    <d v="2022-03-03T00:00:00"/>
    <x v="2"/>
    <x v="0"/>
    <x v="1"/>
    <x v="1"/>
    <x v="124"/>
    <x v="0"/>
    <s v="Art"/>
    <x v="123"/>
    <n v="281.52"/>
    <n v="73"/>
    <n v="20550.96"/>
    <s v="S272"/>
    <x v="4"/>
    <s v="W3"/>
    <x v="0"/>
    <s v="DHL"/>
    <s v="Toronto-London"/>
    <n v="1547"/>
    <n v="143"/>
    <x v="0"/>
    <n v="5"/>
    <n v="638.04"/>
    <n v="474.56"/>
    <n v="1112.5999999999999"/>
    <s v="On-time"/>
    <n v="0"/>
    <n v="85.54"/>
    <n v="310"/>
    <n v="333"/>
    <n v="0.7191984486102132"/>
  </r>
  <r>
    <x v="148"/>
    <s v="C2807"/>
    <x v="139"/>
    <d v="2022-11-25T00:00:00"/>
    <x v="2"/>
    <x v="0"/>
    <x v="4"/>
    <x v="4"/>
    <x v="137"/>
    <x v="0"/>
    <s v="Binders"/>
    <x v="136"/>
    <n v="272.89999999999998"/>
    <n v="40"/>
    <n v="10916"/>
    <s v="S242"/>
    <x v="4"/>
    <s v="W45"/>
    <x v="2"/>
    <s v="FedEx"/>
    <s v="Cape Town-Toronto"/>
    <n v="4885"/>
    <n v="93"/>
    <x v="0"/>
    <n v="23"/>
    <n v="1901.1"/>
    <n v="422.31"/>
    <n v="2323.41"/>
    <s v="On-time"/>
    <n v="0"/>
    <n v="92.05"/>
    <n v="479"/>
    <n v="502"/>
    <n v="0.47562128966223127"/>
  </r>
  <r>
    <x v="149"/>
    <s v="C9966"/>
    <x v="140"/>
    <d v="2023-05-21T00:00:00"/>
    <x v="2"/>
    <x v="3"/>
    <x v="3"/>
    <x v="6"/>
    <x v="88"/>
    <x v="0"/>
    <s v="Binders"/>
    <x v="87"/>
    <n v="376.25"/>
    <n v="92"/>
    <n v="34615"/>
    <s v="S897"/>
    <x v="3"/>
    <s v="W18"/>
    <x v="2"/>
    <s v="BlueDart"/>
    <s v="London-London"/>
    <n v="1362"/>
    <n v="57"/>
    <x v="0"/>
    <n v="19"/>
    <n v="220.9"/>
    <n v="221.26"/>
    <n v="442.16"/>
    <s v="On-time"/>
    <n v="0"/>
    <n v="74.87"/>
    <n v="269"/>
    <n v="248"/>
    <n v="0.324640234948605"/>
  </r>
  <r>
    <x v="150"/>
    <s v="C9666"/>
    <x v="141"/>
    <d v="2021-09-08T00:00:00"/>
    <x v="1"/>
    <x v="2"/>
    <x v="3"/>
    <x v="0"/>
    <x v="138"/>
    <x v="0"/>
    <s v="Labels"/>
    <x v="137"/>
    <n v="109.06"/>
    <n v="36"/>
    <n v="3926.16"/>
    <s v="S248"/>
    <x v="0"/>
    <s v="W49"/>
    <x v="0"/>
    <s v="UPS"/>
    <s v="Mumbai-New York"/>
    <n v="1921"/>
    <n v="89"/>
    <x v="0"/>
    <n v="16"/>
    <n v="1125.45"/>
    <n v="296.18"/>
    <n v="1421.63"/>
    <s v="On-time"/>
    <n v="0"/>
    <n v="70.88"/>
    <n v="100"/>
    <n v="112"/>
    <n v="0.74004685059864661"/>
  </r>
  <r>
    <x v="151"/>
    <s v="C1806"/>
    <x v="142"/>
    <d v="2020-02-21T00:00:00"/>
    <x v="2"/>
    <x v="4"/>
    <x v="7"/>
    <x v="6"/>
    <x v="139"/>
    <x v="0"/>
    <s v="Storage"/>
    <x v="138"/>
    <n v="367.78"/>
    <n v="87"/>
    <n v="31996.859999999997"/>
    <s v="S241"/>
    <x v="3"/>
    <s v="W22"/>
    <x v="0"/>
    <s v="UPS"/>
    <s v="São Paulo-Berlin"/>
    <n v="504"/>
    <n v="483"/>
    <x v="0"/>
    <n v="6"/>
    <n v="825.61"/>
    <n v="423.33"/>
    <n v="1248.94"/>
    <s v="Delayed"/>
    <n v="9"/>
    <n v="73.63"/>
    <n v="181"/>
    <n v="151"/>
    <n v="2.4780555555555557"/>
  </r>
  <r>
    <x v="152"/>
    <s v="C6451"/>
    <x v="143"/>
    <d v="2024-06-07T00:00:00"/>
    <x v="2"/>
    <x v="0"/>
    <x v="7"/>
    <x v="7"/>
    <x v="140"/>
    <x v="2"/>
    <s v="Phones"/>
    <x v="139"/>
    <n v="397.33"/>
    <n v="11"/>
    <n v="4370.63"/>
    <s v="S996"/>
    <x v="0"/>
    <s v="W3"/>
    <x v="2"/>
    <s v="DHL"/>
    <s v="São Paulo-São Paulo"/>
    <n v="4998"/>
    <n v="96"/>
    <x v="0"/>
    <n v="14"/>
    <n v="1520.25"/>
    <n v="434.54"/>
    <n v="1954.79"/>
    <s v="On-time"/>
    <n v="0"/>
    <n v="85.45"/>
    <n v="487"/>
    <n v="481"/>
    <n v="0.39111444577831134"/>
  </r>
  <r>
    <x v="153"/>
    <s v="C4076"/>
    <x v="144"/>
    <d v="2023-12-18T00:00:00"/>
    <x v="0"/>
    <x v="2"/>
    <x v="1"/>
    <x v="4"/>
    <x v="141"/>
    <x v="0"/>
    <s v="Art"/>
    <x v="140"/>
    <n v="425.45"/>
    <n v="63"/>
    <n v="26803.35"/>
    <s v="S360"/>
    <x v="0"/>
    <s v="W45"/>
    <x v="3"/>
    <s v="UPS"/>
    <s v="London-New York"/>
    <n v="1367"/>
    <n v="484"/>
    <x v="0"/>
    <n v="1"/>
    <n v="811.9"/>
    <n v="313.57"/>
    <n v="1125.47"/>
    <s v="On-time"/>
    <n v="0"/>
    <n v="78.47"/>
    <n v="127"/>
    <n v="162"/>
    <n v="0.8233138258961229"/>
  </r>
  <r>
    <x v="154"/>
    <s v="C7031"/>
    <x v="145"/>
    <d v="2022-10-09T00:00:00"/>
    <x v="2"/>
    <x v="2"/>
    <x v="3"/>
    <x v="3"/>
    <x v="142"/>
    <x v="0"/>
    <s v="Storage"/>
    <x v="141"/>
    <n v="11.06"/>
    <n v="69"/>
    <n v="763.14"/>
    <s v="S157"/>
    <x v="1"/>
    <s v="W24"/>
    <x v="3"/>
    <s v="Maersk"/>
    <s v="São Paulo-Beijing"/>
    <n v="1723"/>
    <n v="67"/>
    <x v="0"/>
    <n v="19"/>
    <n v="473.9"/>
    <n v="205.95"/>
    <n v="679.84999999999991"/>
    <s v="On-time"/>
    <n v="0"/>
    <n v="88.11"/>
    <n v="156"/>
    <n v="173"/>
    <n v="0.39457341845618105"/>
  </r>
  <r>
    <x v="155"/>
    <s v="C4633"/>
    <x v="146"/>
    <d v="2024-11-28T00:00:00"/>
    <x v="1"/>
    <x v="3"/>
    <x v="3"/>
    <x v="0"/>
    <x v="143"/>
    <x v="0"/>
    <s v="Art"/>
    <x v="142"/>
    <n v="227.9"/>
    <n v="67"/>
    <n v="15269.300000000001"/>
    <s v="S315"/>
    <x v="4"/>
    <s v="W13"/>
    <x v="3"/>
    <s v="BlueDart"/>
    <s v="London-São Paulo"/>
    <n v="3821"/>
    <n v="462"/>
    <x v="0"/>
    <n v="4"/>
    <n v="542.05999999999995"/>
    <n v="471.5"/>
    <n v="1013.56"/>
    <s v="On-time"/>
    <n v="0"/>
    <n v="86.41"/>
    <n v="118"/>
    <n v="162"/>
    <n v="0.26526040303585446"/>
  </r>
  <r>
    <x v="156"/>
    <s v="C9506"/>
    <x v="147"/>
    <d v="2020-05-31T00:00:00"/>
    <x v="1"/>
    <x v="3"/>
    <x v="7"/>
    <x v="0"/>
    <x v="144"/>
    <x v="0"/>
    <s v="Binders"/>
    <x v="143"/>
    <n v="267.14999999999998"/>
    <n v="54"/>
    <n v="14426.099999999999"/>
    <s v="S553"/>
    <x v="2"/>
    <s v="W27"/>
    <x v="2"/>
    <s v="UPS"/>
    <s v="Mumbai-São Paulo"/>
    <n v="1056"/>
    <n v="272"/>
    <x v="0"/>
    <n v="2"/>
    <n v="1422.62"/>
    <n v="328.64"/>
    <n v="1751.26"/>
    <s v="On-time"/>
    <n v="0"/>
    <n v="77.41"/>
    <n v="79"/>
    <n v="105"/>
    <n v="1.6583901515151516"/>
  </r>
  <r>
    <x v="157"/>
    <s v="C9445"/>
    <x v="148"/>
    <d v="2021-09-04T00:00:00"/>
    <x v="2"/>
    <x v="1"/>
    <x v="4"/>
    <x v="1"/>
    <x v="145"/>
    <x v="0"/>
    <s v="Paper"/>
    <x v="144"/>
    <n v="475.2"/>
    <n v="45"/>
    <n v="21384"/>
    <s v="S582"/>
    <x v="1"/>
    <s v="W24"/>
    <x v="3"/>
    <s v="UPS"/>
    <s v="New York-Toronto"/>
    <n v="4548"/>
    <n v="188"/>
    <x v="0"/>
    <n v="6"/>
    <n v="645.46"/>
    <n v="175.29"/>
    <n v="820.75"/>
    <s v="On-time"/>
    <n v="0"/>
    <n v="87.62"/>
    <n v="386"/>
    <n v="386"/>
    <n v="0.18046394019349166"/>
  </r>
  <r>
    <x v="158"/>
    <s v="C8068"/>
    <x v="149"/>
    <d v="2024-12-12T00:00:00"/>
    <x v="0"/>
    <x v="1"/>
    <x v="7"/>
    <x v="7"/>
    <x v="146"/>
    <x v="0"/>
    <s v="Supplies"/>
    <x v="145"/>
    <n v="13.71"/>
    <n v="84"/>
    <n v="1151.6400000000001"/>
    <s v="S460"/>
    <x v="2"/>
    <s v="W46"/>
    <x v="3"/>
    <s v="FedEx"/>
    <s v="London-São Paulo"/>
    <n v="1288"/>
    <n v="63"/>
    <x v="0"/>
    <n v="18"/>
    <n v="1513.45"/>
    <n v="29.72"/>
    <n v="1543.17"/>
    <s v="On-time"/>
    <n v="0"/>
    <n v="86.61"/>
    <n v="106"/>
    <n v="147"/>
    <n v="1.198113354037267"/>
  </r>
  <r>
    <x v="159"/>
    <s v="C3156"/>
    <x v="90"/>
    <d v="2020-04-18T00:00:00"/>
    <x v="2"/>
    <x v="2"/>
    <x v="1"/>
    <x v="3"/>
    <x v="147"/>
    <x v="2"/>
    <s v="Accessories"/>
    <x v="146"/>
    <n v="423.74"/>
    <n v="8"/>
    <n v="3389.92"/>
    <s v="S863"/>
    <x v="3"/>
    <s v="W41"/>
    <x v="2"/>
    <s v="UPS"/>
    <s v="Berlin-São Paulo"/>
    <n v="298"/>
    <n v="99"/>
    <x v="0"/>
    <n v="27"/>
    <n v="846.04"/>
    <n v="326.02999999999997"/>
    <n v="1172.07"/>
    <s v="On-time"/>
    <n v="0"/>
    <n v="81.16"/>
    <n v="77"/>
    <n v="125"/>
    <n v="3.9331208053691271"/>
  </r>
  <r>
    <x v="160"/>
    <s v="C5125"/>
    <x v="150"/>
    <d v="2024-10-02T00:00:00"/>
    <x v="1"/>
    <x v="0"/>
    <x v="1"/>
    <x v="2"/>
    <x v="148"/>
    <x v="1"/>
    <s v="Chairs"/>
    <x v="147"/>
    <n v="356.96"/>
    <n v="81"/>
    <n v="28913.759999999998"/>
    <s v="S189"/>
    <x v="1"/>
    <s v="W42"/>
    <x v="1"/>
    <s v="FedEx"/>
    <s v="New York-São Paulo"/>
    <n v="3175"/>
    <n v="315"/>
    <x v="0"/>
    <n v="9"/>
    <n v="1959.56"/>
    <n v="449.28"/>
    <n v="2408.84"/>
    <s v="On-time"/>
    <n v="0"/>
    <n v="88.84"/>
    <n v="432"/>
    <n v="428"/>
    <n v="0.75868976377952757"/>
  </r>
  <r>
    <x v="161"/>
    <s v="C9529"/>
    <x v="151"/>
    <d v="2023-07-01T00:00:00"/>
    <x v="0"/>
    <x v="4"/>
    <x v="6"/>
    <x v="2"/>
    <x v="149"/>
    <x v="1"/>
    <s v="Chairs"/>
    <x v="148"/>
    <n v="193.29"/>
    <n v="24"/>
    <n v="4638.96"/>
    <s v="S124"/>
    <x v="2"/>
    <s v="W43"/>
    <x v="0"/>
    <s v="DHL"/>
    <s v="Beijing-Toronto"/>
    <n v="966"/>
    <n v="369"/>
    <x v="0"/>
    <n v="7"/>
    <n v="1912.28"/>
    <n v="363.88"/>
    <n v="2276.16"/>
    <s v="On-time"/>
    <n v="0"/>
    <n v="90.84"/>
    <n v="349"/>
    <n v="329"/>
    <n v="2.3562732919254659"/>
  </r>
  <r>
    <x v="162"/>
    <s v="C8244"/>
    <x v="81"/>
    <d v="2021-09-20T00:00:00"/>
    <x v="2"/>
    <x v="0"/>
    <x v="7"/>
    <x v="5"/>
    <x v="150"/>
    <x v="1"/>
    <s v="Chairs"/>
    <x v="149"/>
    <n v="202.8"/>
    <n v="15"/>
    <n v="3042"/>
    <s v="S464"/>
    <x v="3"/>
    <s v="W19"/>
    <x v="2"/>
    <s v="Maersk"/>
    <s v="São Paulo-Cape Town"/>
    <n v="4545"/>
    <n v="416"/>
    <x v="0"/>
    <n v="24"/>
    <n v="1244.1500000000001"/>
    <n v="378.14"/>
    <n v="1622.29"/>
    <s v="On-time"/>
    <n v="0"/>
    <n v="73.16"/>
    <n v="62"/>
    <n v="58"/>
    <n v="0.35693949394939495"/>
  </r>
  <r>
    <x v="163"/>
    <s v="C5385"/>
    <x v="152"/>
    <d v="2023-03-07T00:00:00"/>
    <x v="2"/>
    <x v="3"/>
    <x v="1"/>
    <x v="4"/>
    <x v="151"/>
    <x v="0"/>
    <s v="Art"/>
    <x v="150"/>
    <n v="360.9"/>
    <n v="89"/>
    <n v="32120.1"/>
    <s v="S900"/>
    <x v="2"/>
    <s v="W19"/>
    <x v="3"/>
    <s v="UPS"/>
    <s v="Cape Town-São Paulo"/>
    <n v="2577"/>
    <n v="466"/>
    <x v="0"/>
    <n v="21"/>
    <n v="716.53"/>
    <n v="80.22"/>
    <n v="796.75"/>
    <s v="On-time"/>
    <n v="0"/>
    <n v="93.14"/>
    <n v="140"/>
    <n v="144"/>
    <n v="0.30917733798991076"/>
  </r>
  <r>
    <x v="164"/>
    <s v="C3901"/>
    <x v="153"/>
    <d v="2024-04-21T00:00:00"/>
    <x v="1"/>
    <x v="0"/>
    <x v="0"/>
    <x v="7"/>
    <x v="152"/>
    <x v="0"/>
    <s v="Art"/>
    <x v="151"/>
    <n v="5.81"/>
    <n v="36"/>
    <n v="209.16"/>
    <s v="S897"/>
    <x v="1"/>
    <s v="W32"/>
    <x v="1"/>
    <s v="DHL"/>
    <s v="New York-Toronto"/>
    <n v="2802"/>
    <n v="413"/>
    <x v="0"/>
    <n v="4"/>
    <n v="926.35"/>
    <n v="370.86"/>
    <n v="1297.21"/>
    <s v="On-time"/>
    <n v="0"/>
    <n v="86.63"/>
    <n v="457"/>
    <n v="482"/>
    <n v="0.46295860099928626"/>
  </r>
  <r>
    <x v="165"/>
    <s v="C9813"/>
    <x v="112"/>
    <d v="2021-07-07T00:00:00"/>
    <x v="1"/>
    <x v="2"/>
    <x v="7"/>
    <x v="1"/>
    <x v="153"/>
    <x v="0"/>
    <s v="Binders"/>
    <x v="152"/>
    <n v="169.28"/>
    <n v="8"/>
    <n v="1354.24"/>
    <s v="S749"/>
    <x v="0"/>
    <s v="W36"/>
    <x v="1"/>
    <s v="BlueDart"/>
    <s v="São Paulo-São Paulo"/>
    <n v="808"/>
    <n v="432"/>
    <x v="0"/>
    <n v="11"/>
    <n v="859.81"/>
    <n v="455.17"/>
    <n v="1314.98"/>
    <s v="On-time"/>
    <n v="0"/>
    <n v="75.900000000000006"/>
    <n v="194"/>
    <n v="239"/>
    <n v="1.627450495049505"/>
  </r>
  <r>
    <x v="166"/>
    <s v="C8892"/>
    <x v="154"/>
    <d v="2021-08-20T00:00:00"/>
    <x v="1"/>
    <x v="1"/>
    <x v="7"/>
    <x v="0"/>
    <x v="154"/>
    <x v="0"/>
    <s v="Storage"/>
    <x v="153"/>
    <n v="267.14"/>
    <n v="93"/>
    <n v="24844.02"/>
    <s v="S467"/>
    <x v="0"/>
    <s v="W11"/>
    <x v="2"/>
    <s v="BlueDart"/>
    <s v="Berlin-New York"/>
    <n v="4090"/>
    <n v="457"/>
    <x v="0"/>
    <n v="21"/>
    <n v="913.85"/>
    <n v="166.26"/>
    <n v="1080.1099999999999"/>
    <s v="On-time"/>
    <n v="0"/>
    <n v="94.98"/>
    <n v="107"/>
    <n v="148"/>
    <n v="0.26408557457212711"/>
  </r>
  <r>
    <x v="167"/>
    <s v="C6672"/>
    <x v="155"/>
    <d v="2022-01-22T00:00:00"/>
    <x v="1"/>
    <x v="3"/>
    <x v="7"/>
    <x v="2"/>
    <x v="155"/>
    <x v="0"/>
    <s v="Storage"/>
    <x v="154"/>
    <n v="297.36"/>
    <n v="38"/>
    <n v="11299.68"/>
    <s v="S103"/>
    <x v="1"/>
    <s v="W3"/>
    <x v="0"/>
    <s v="FedEx"/>
    <s v="São Paulo-Toronto"/>
    <n v="1311"/>
    <n v="387"/>
    <x v="0"/>
    <n v="12"/>
    <n v="869.18"/>
    <n v="62.51"/>
    <n v="931.68999999999994"/>
    <s v="On-time"/>
    <n v="0"/>
    <n v="97.71"/>
    <n v="346"/>
    <n v="339"/>
    <n v="0.71067124332570553"/>
  </r>
  <r>
    <x v="168"/>
    <s v="C5809"/>
    <x v="156"/>
    <d v="2021-11-02T00:00:00"/>
    <x v="1"/>
    <x v="1"/>
    <x v="2"/>
    <x v="2"/>
    <x v="156"/>
    <x v="0"/>
    <s v="Art"/>
    <x v="155"/>
    <n v="217"/>
    <n v="20"/>
    <n v="4340"/>
    <s v="S771"/>
    <x v="3"/>
    <s v="W3"/>
    <x v="2"/>
    <s v="UPS"/>
    <s v="São Paulo-New York"/>
    <n v="4118"/>
    <n v="133"/>
    <x v="0"/>
    <n v="17"/>
    <n v="801.16"/>
    <n v="295.33"/>
    <n v="1096.49"/>
    <s v="On-time"/>
    <n v="0"/>
    <n v="86.5"/>
    <n v="360"/>
    <n v="390"/>
    <n v="0.26626760563380281"/>
  </r>
  <r>
    <x v="169"/>
    <s v="C2094"/>
    <x v="157"/>
    <d v="2022-07-02T00:00:00"/>
    <x v="2"/>
    <x v="3"/>
    <x v="3"/>
    <x v="6"/>
    <x v="157"/>
    <x v="0"/>
    <s v="Paper"/>
    <x v="156"/>
    <n v="188.09"/>
    <n v="67"/>
    <n v="12602.03"/>
    <s v="S681"/>
    <x v="1"/>
    <s v="W43"/>
    <x v="3"/>
    <s v="UPS"/>
    <s v="Toronto-Toronto"/>
    <n v="2569"/>
    <n v="283"/>
    <x v="0"/>
    <n v="4"/>
    <n v="773.39"/>
    <n v="107.53"/>
    <n v="880.92"/>
    <s v="On-time"/>
    <n v="0"/>
    <n v="85.12"/>
    <n v="225"/>
    <n v="211"/>
    <n v="0.34290385363954845"/>
  </r>
  <r>
    <x v="170"/>
    <s v="C2496"/>
    <x v="158"/>
    <d v="2020-10-26T00:00:00"/>
    <x v="0"/>
    <x v="4"/>
    <x v="2"/>
    <x v="1"/>
    <x v="30"/>
    <x v="0"/>
    <s v="Storage"/>
    <x v="30"/>
    <n v="15.31"/>
    <n v="85"/>
    <n v="1301.3500000000001"/>
    <s v="S715"/>
    <x v="1"/>
    <s v="W30"/>
    <x v="2"/>
    <s v="BlueDart"/>
    <s v="Berlin-London"/>
    <n v="3755"/>
    <n v="177"/>
    <x v="0"/>
    <n v="1"/>
    <n v="656.07"/>
    <n v="90.06"/>
    <n v="746.13000000000011"/>
    <s v="On-time"/>
    <n v="0"/>
    <n v="73.400000000000006"/>
    <n v="377"/>
    <n v="337"/>
    <n v="0.1987030625832224"/>
  </r>
  <r>
    <x v="171"/>
    <s v="C2146"/>
    <x v="159"/>
    <d v="2024-05-08T00:00:00"/>
    <x v="2"/>
    <x v="3"/>
    <x v="3"/>
    <x v="1"/>
    <x v="158"/>
    <x v="1"/>
    <s v="Furnishings"/>
    <x v="157"/>
    <n v="131.93"/>
    <n v="5"/>
    <n v="659.65000000000009"/>
    <s v="S456"/>
    <x v="4"/>
    <s v="W14"/>
    <x v="2"/>
    <s v="Maersk"/>
    <s v="Mumbai-Beijing"/>
    <n v="1641"/>
    <n v="339"/>
    <x v="0"/>
    <n v="23"/>
    <n v="923.34"/>
    <n v="439.24"/>
    <n v="1362.58"/>
    <s v="On-time"/>
    <n v="0"/>
    <n v="83.93"/>
    <n v="130"/>
    <n v="142"/>
    <n v="0.83033516148689823"/>
  </r>
  <r>
    <x v="172"/>
    <s v="C5038"/>
    <x v="160"/>
    <d v="2022-01-05T00:00:00"/>
    <x v="2"/>
    <x v="4"/>
    <x v="1"/>
    <x v="0"/>
    <x v="159"/>
    <x v="0"/>
    <s v="Appliances"/>
    <x v="158"/>
    <n v="32.549999999999997"/>
    <n v="52"/>
    <n v="1692.6"/>
    <s v="S532"/>
    <x v="0"/>
    <s v="W12"/>
    <x v="3"/>
    <s v="UPS"/>
    <s v="London-Berlin"/>
    <n v="2143"/>
    <n v="106"/>
    <x v="0"/>
    <n v="11"/>
    <n v="691.88"/>
    <n v="88.57"/>
    <n v="780.45"/>
    <s v="On-time"/>
    <n v="0"/>
    <n v="92.31"/>
    <n v="283"/>
    <n v="270"/>
    <n v="0.36418572095193658"/>
  </r>
  <r>
    <x v="173"/>
    <s v="C8147"/>
    <x v="161"/>
    <d v="2023-05-23T00:00:00"/>
    <x v="2"/>
    <x v="1"/>
    <x v="1"/>
    <x v="6"/>
    <x v="160"/>
    <x v="0"/>
    <s v="Art"/>
    <x v="159"/>
    <n v="43.69"/>
    <n v="92"/>
    <n v="4019.4799999999996"/>
    <s v="S545"/>
    <x v="0"/>
    <s v="W16"/>
    <x v="3"/>
    <s v="UPS"/>
    <s v="Mumbai-Cape Town"/>
    <n v="765"/>
    <n v="321"/>
    <x v="0"/>
    <n v="14"/>
    <n v="293.19"/>
    <n v="229.29"/>
    <n v="522.48"/>
    <s v="On-time"/>
    <n v="0"/>
    <n v="94.1"/>
    <n v="434"/>
    <n v="439"/>
    <n v="0.68298039215686279"/>
  </r>
  <r>
    <x v="174"/>
    <s v="C8074"/>
    <x v="162"/>
    <d v="2024-02-13T00:00:00"/>
    <x v="2"/>
    <x v="4"/>
    <x v="5"/>
    <x v="4"/>
    <x v="161"/>
    <x v="0"/>
    <s v="Fasteners"/>
    <x v="160"/>
    <n v="170.57"/>
    <n v="8"/>
    <n v="1364.56"/>
    <s v="S983"/>
    <x v="4"/>
    <s v="W24"/>
    <x v="0"/>
    <s v="UPS"/>
    <s v="Mumbai-Berlin"/>
    <n v="1948"/>
    <n v="150"/>
    <x v="0"/>
    <n v="9"/>
    <n v="1362.85"/>
    <n v="111.53"/>
    <n v="1474.38"/>
    <s v="On-time"/>
    <n v="0"/>
    <n v="90.95"/>
    <n v="453"/>
    <n v="473"/>
    <n v="0.75686858316221772"/>
  </r>
  <r>
    <x v="175"/>
    <s v="C1829"/>
    <x v="163"/>
    <d v="2024-11-23T00:00:00"/>
    <x v="2"/>
    <x v="0"/>
    <x v="2"/>
    <x v="1"/>
    <x v="162"/>
    <x v="0"/>
    <s v="Paper"/>
    <x v="161"/>
    <n v="170.17"/>
    <n v="34"/>
    <n v="5785.78"/>
    <s v="S345"/>
    <x v="4"/>
    <s v="W3"/>
    <x v="2"/>
    <s v="DHL"/>
    <s v="Toronto-Mumbai"/>
    <n v="2435"/>
    <n v="469"/>
    <x v="0"/>
    <n v="5"/>
    <n v="1947.25"/>
    <n v="243.05"/>
    <n v="2190.3000000000002"/>
    <s v="On-time"/>
    <n v="0"/>
    <n v="75.459999999999994"/>
    <n v="100"/>
    <n v="147"/>
    <n v="0.89950718685831632"/>
  </r>
  <r>
    <x v="176"/>
    <s v="C1964"/>
    <x v="164"/>
    <d v="2024-01-24T00:00:00"/>
    <x v="2"/>
    <x v="0"/>
    <x v="5"/>
    <x v="2"/>
    <x v="163"/>
    <x v="0"/>
    <s v="Paper"/>
    <x v="162"/>
    <n v="107.39"/>
    <n v="79"/>
    <n v="8483.81"/>
    <s v="S237"/>
    <x v="0"/>
    <s v="W37"/>
    <x v="1"/>
    <s v="Maersk"/>
    <s v="Cape Town-Cape Town"/>
    <n v="4983"/>
    <n v="489"/>
    <x v="0"/>
    <n v="2"/>
    <n v="1799.84"/>
    <n v="482.22"/>
    <n v="2282.06"/>
    <s v="On-time"/>
    <n v="0"/>
    <n v="80.64"/>
    <n v="304"/>
    <n v="349"/>
    <n v="0.4579690949227373"/>
  </r>
  <r>
    <x v="177"/>
    <s v="C3952"/>
    <x v="165"/>
    <d v="2023-01-24T00:00:00"/>
    <x v="2"/>
    <x v="1"/>
    <x v="5"/>
    <x v="2"/>
    <x v="96"/>
    <x v="2"/>
    <s v="Accessories"/>
    <x v="95"/>
    <n v="106.12"/>
    <n v="4"/>
    <n v="424.48"/>
    <s v="S707"/>
    <x v="0"/>
    <s v="W31"/>
    <x v="3"/>
    <s v="FedEx"/>
    <s v="New York-London"/>
    <n v="2817"/>
    <n v="415"/>
    <x v="0"/>
    <n v="19"/>
    <n v="1739.72"/>
    <n v="391.17"/>
    <n v="2130.89"/>
    <s v="On-time"/>
    <n v="0"/>
    <n v="93.97"/>
    <n v="246"/>
    <n v="198"/>
    <n v="0.75643947461838834"/>
  </r>
  <r>
    <x v="178"/>
    <s v="C9877"/>
    <x v="166"/>
    <d v="2024-06-26T00:00:00"/>
    <x v="2"/>
    <x v="0"/>
    <x v="7"/>
    <x v="5"/>
    <x v="164"/>
    <x v="2"/>
    <s v="Phones"/>
    <x v="163"/>
    <n v="81.86"/>
    <n v="42"/>
    <n v="3438.12"/>
    <s v="S116"/>
    <x v="4"/>
    <s v="W39"/>
    <x v="0"/>
    <s v="UPS"/>
    <s v="Beijing-Cape Town"/>
    <n v="3025"/>
    <n v="452"/>
    <x v="0"/>
    <n v="11"/>
    <n v="1629.07"/>
    <n v="309.37"/>
    <n v="1938.44"/>
    <s v="On-time"/>
    <n v="0"/>
    <n v="90.97"/>
    <n v="468"/>
    <n v="467"/>
    <n v="0.64080661157024799"/>
  </r>
  <r>
    <x v="179"/>
    <s v="C6013"/>
    <x v="167"/>
    <d v="2023-02-17T00:00:00"/>
    <x v="2"/>
    <x v="3"/>
    <x v="1"/>
    <x v="1"/>
    <x v="5"/>
    <x v="1"/>
    <s v="Chairs"/>
    <x v="5"/>
    <n v="183.69"/>
    <n v="37"/>
    <n v="6796.53"/>
    <s v="S818"/>
    <x v="3"/>
    <s v="W36"/>
    <x v="3"/>
    <s v="Maersk"/>
    <s v="London-Mumbai"/>
    <n v="1297"/>
    <n v="372"/>
    <x v="0"/>
    <n v="6"/>
    <n v="680.66"/>
    <n v="135.36000000000001"/>
    <n v="816.02"/>
    <s v="On-time"/>
    <n v="0"/>
    <n v="87.5"/>
    <n v="389"/>
    <n v="340"/>
    <n v="0.62915959907478791"/>
  </r>
  <r>
    <x v="180"/>
    <s v="C4728"/>
    <x v="168"/>
    <d v="2021-05-05T00:00:00"/>
    <x v="2"/>
    <x v="4"/>
    <x v="1"/>
    <x v="1"/>
    <x v="165"/>
    <x v="1"/>
    <s v="Furnishings"/>
    <x v="164"/>
    <n v="248.6"/>
    <n v="11"/>
    <n v="2734.6"/>
    <s v="S860"/>
    <x v="3"/>
    <s v="W9"/>
    <x v="3"/>
    <s v="DHL"/>
    <s v="São Paulo-Toronto"/>
    <n v="3415"/>
    <n v="373"/>
    <x v="0"/>
    <n v="3"/>
    <n v="1746.49"/>
    <n v="87.93"/>
    <n v="1834.42"/>
    <s v="On-time"/>
    <n v="0"/>
    <n v="91.1"/>
    <n v="472"/>
    <n v="471"/>
    <n v="0.53716544655929721"/>
  </r>
  <r>
    <x v="181"/>
    <s v="C7959"/>
    <x v="169"/>
    <d v="2022-06-27T00:00:00"/>
    <x v="2"/>
    <x v="2"/>
    <x v="2"/>
    <x v="5"/>
    <x v="166"/>
    <x v="1"/>
    <s v="Chairs"/>
    <x v="165"/>
    <n v="175.3"/>
    <n v="77"/>
    <n v="13498.1"/>
    <s v="S472"/>
    <x v="0"/>
    <s v="W43"/>
    <x v="0"/>
    <s v="FedEx"/>
    <s v="Mumbai-Toronto"/>
    <n v="1967"/>
    <n v="288"/>
    <x v="0"/>
    <n v="4"/>
    <n v="896.14"/>
    <n v="268.5"/>
    <n v="1164.6400000000001"/>
    <s v="On-time"/>
    <n v="0"/>
    <n v="77.900000000000006"/>
    <n v="253"/>
    <n v="212"/>
    <n v="0.59208947635993903"/>
  </r>
  <r>
    <x v="182"/>
    <s v="C3819"/>
    <x v="170"/>
    <d v="2022-06-06T00:00:00"/>
    <x v="2"/>
    <x v="1"/>
    <x v="6"/>
    <x v="0"/>
    <x v="167"/>
    <x v="0"/>
    <s v="Art"/>
    <x v="166"/>
    <n v="475.89"/>
    <n v="54"/>
    <n v="25698.059999999998"/>
    <s v="S888"/>
    <x v="4"/>
    <s v="W15"/>
    <x v="0"/>
    <s v="BlueDart"/>
    <s v="Mumbai-New York"/>
    <n v="241"/>
    <n v="498"/>
    <x v="1"/>
    <n v="20"/>
    <n v="1543.65"/>
    <n v="22.15"/>
    <n v="1565.8"/>
    <s v="Delayed"/>
    <n v="10"/>
    <n v="86.32"/>
    <n v="194"/>
    <n v="237"/>
    <n v="6.4970954356846473"/>
  </r>
  <r>
    <x v="183"/>
    <s v="C5698"/>
    <x v="171"/>
    <d v="2024-04-20T00:00:00"/>
    <x v="1"/>
    <x v="4"/>
    <x v="6"/>
    <x v="3"/>
    <x v="144"/>
    <x v="0"/>
    <s v="Binders"/>
    <x v="143"/>
    <n v="261.16000000000003"/>
    <n v="58"/>
    <n v="15147.28"/>
    <s v="S214"/>
    <x v="3"/>
    <s v="W9"/>
    <x v="2"/>
    <s v="DHL"/>
    <s v="Toronto-New York"/>
    <n v="2161"/>
    <n v="301"/>
    <x v="0"/>
    <n v="21"/>
    <n v="176.7"/>
    <n v="327.84"/>
    <n v="504.54"/>
    <s v="Delayed"/>
    <n v="5"/>
    <n v="88.06"/>
    <n v="229"/>
    <n v="270"/>
    <n v="0.23347524294308192"/>
  </r>
  <r>
    <x v="184"/>
    <s v="C6011"/>
    <x v="172"/>
    <d v="2022-08-06T00:00:00"/>
    <x v="2"/>
    <x v="0"/>
    <x v="5"/>
    <x v="0"/>
    <x v="168"/>
    <x v="0"/>
    <s v="Binders"/>
    <x v="167"/>
    <n v="323.37"/>
    <n v="7"/>
    <n v="2263.59"/>
    <s v="S508"/>
    <x v="3"/>
    <s v="W24"/>
    <x v="3"/>
    <s v="UPS"/>
    <s v="Mumbai-Beijing"/>
    <n v="1864"/>
    <n v="73"/>
    <x v="0"/>
    <n v="3"/>
    <n v="438.63"/>
    <n v="12.74"/>
    <n v="451.37"/>
    <s v="On-time"/>
    <n v="0"/>
    <n v="71.27"/>
    <n v="246"/>
    <n v="229"/>
    <n v="0.24215128755364806"/>
  </r>
  <r>
    <x v="185"/>
    <s v="C3914"/>
    <x v="173"/>
    <d v="2023-01-25T00:00:00"/>
    <x v="2"/>
    <x v="0"/>
    <x v="3"/>
    <x v="1"/>
    <x v="169"/>
    <x v="0"/>
    <s v="Paper"/>
    <x v="168"/>
    <n v="375.2"/>
    <n v="91"/>
    <n v="34143.199999999997"/>
    <s v="S696"/>
    <x v="1"/>
    <s v="W11"/>
    <x v="1"/>
    <s v="DHL"/>
    <s v="Mumbai-Beijing"/>
    <n v="1439"/>
    <n v="321"/>
    <x v="0"/>
    <n v="19"/>
    <n v="780.32"/>
    <n v="153.44"/>
    <n v="933.76"/>
    <s v="On-time"/>
    <n v="0"/>
    <n v="90.04"/>
    <n v="399"/>
    <n v="438"/>
    <n v="0.64889506601806812"/>
  </r>
  <r>
    <x v="186"/>
    <s v="C1223"/>
    <x v="174"/>
    <d v="2023-08-22T00:00:00"/>
    <x v="2"/>
    <x v="1"/>
    <x v="5"/>
    <x v="3"/>
    <x v="80"/>
    <x v="0"/>
    <s v="Paper"/>
    <x v="79"/>
    <n v="340.4"/>
    <n v="61"/>
    <n v="20764.399999999998"/>
    <s v="S676"/>
    <x v="4"/>
    <s v="W18"/>
    <x v="0"/>
    <s v="BlueDart"/>
    <s v="Beijing-New York"/>
    <n v="2141"/>
    <n v="257"/>
    <x v="0"/>
    <n v="4"/>
    <n v="1347.39"/>
    <n v="450.32"/>
    <n v="1797.71"/>
    <s v="On-time"/>
    <n v="0"/>
    <n v="79.7"/>
    <n v="410"/>
    <n v="421"/>
    <n v="0.83965903783278839"/>
  </r>
  <r>
    <x v="187"/>
    <s v="C4208"/>
    <x v="175"/>
    <d v="2021-09-09T00:00:00"/>
    <x v="2"/>
    <x v="1"/>
    <x v="7"/>
    <x v="6"/>
    <x v="170"/>
    <x v="0"/>
    <s v="Paper"/>
    <x v="169"/>
    <n v="235.53"/>
    <n v="55"/>
    <n v="12954.15"/>
    <s v="S345"/>
    <x v="0"/>
    <s v="W46"/>
    <x v="2"/>
    <s v="FedEx"/>
    <s v="Beijing-London"/>
    <n v="1642"/>
    <n v="325"/>
    <x v="0"/>
    <n v="23"/>
    <n v="507.61"/>
    <n v="99.31"/>
    <n v="606.92000000000007"/>
    <s v="On-time"/>
    <n v="0"/>
    <n v="82.82"/>
    <n v="214"/>
    <n v="217"/>
    <n v="0.36962241169305732"/>
  </r>
  <r>
    <x v="188"/>
    <s v="C1062"/>
    <x v="176"/>
    <d v="2021-01-29T00:00:00"/>
    <x v="2"/>
    <x v="1"/>
    <x v="7"/>
    <x v="7"/>
    <x v="171"/>
    <x v="0"/>
    <s v="Storage"/>
    <x v="170"/>
    <n v="74.040000000000006"/>
    <n v="7"/>
    <n v="518.28000000000009"/>
    <s v="S713"/>
    <x v="0"/>
    <s v="W4"/>
    <x v="3"/>
    <s v="UPS"/>
    <s v="Mumbai-Cape Town"/>
    <n v="3724"/>
    <n v="466"/>
    <x v="0"/>
    <n v="8"/>
    <n v="511.79"/>
    <n v="65.83"/>
    <n v="577.62"/>
    <s v="On-time"/>
    <n v="0"/>
    <n v="77.069999999999993"/>
    <n v="132"/>
    <n v="126"/>
    <n v="0.15510741138560688"/>
  </r>
  <r>
    <x v="189"/>
    <s v="C1917"/>
    <x v="177"/>
    <d v="2020-01-24T00:00:00"/>
    <x v="0"/>
    <x v="0"/>
    <x v="6"/>
    <x v="4"/>
    <x v="172"/>
    <x v="0"/>
    <s v="Storage"/>
    <x v="171"/>
    <n v="199.53"/>
    <n v="61"/>
    <n v="12171.33"/>
    <s v="S887"/>
    <x v="1"/>
    <s v="W34"/>
    <x v="0"/>
    <s v="BlueDart"/>
    <s v="Berlin-São Paulo"/>
    <n v="4021"/>
    <n v="137"/>
    <x v="0"/>
    <n v="20"/>
    <n v="1430.03"/>
    <n v="258.5"/>
    <n v="1688.53"/>
    <s v="On-time"/>
    <n v="0"/>
    <n v="70.760000000000005"/>
    <n v="470"/>
    <n v="426"/>
    <n v="0.41992787863715492"/>
  </r>
  <r>
    <x v="190"/>
    <s v="C5923"/>
    <x v="83"/>
    <d v="2020-02-01T00:00:00"/>
    <x v="1"/>
    <x v="2"/>
    <x v="4"/>
    <x v="1"/>
    <x v="173"/>
    <x v="2"/>
    <s v="Accessories"/>
    <x v="172"/>
    <n v="355.56"/>
    <n v="28"/>
    <n v="9955.68"/>
    <s v="S786"/>
    <x v="0"/>
    <s v="W5"/>
    <x v="3"/>
    <s v="BlueDart"/>
    <s v="Toronto-Mumbai"/>
    <n v="3754"/>
    <n v="367"/>
    <x v="0"/>
    <n v="1"/>
    <n v="297.49"/>
    <n v="226.33"/>
    <n v="523.82000000000005"/>
    <s v="On-time"/>
    <n v="0"/>
    <n v="83.6"/>
    <n v="289"/>
    <n v="287"/>
    <n v="0.13953649440596699"/>
  </r>
  <r>
    <x v="191"/>
    <s v="C8875"/>
    <x v="178"/>
    <d v="2020-06-24T00:00:00"/>
    <x v="1"/>
    <x v="2"/>
    <x v="7"/>
    <x v="1"/>
    <x v="174"/>
    <x v="2"/>
    <s v="Machines"/>
    <x v="173"/>
    <n v="107.85"/>
    <n v="78"/>
    <n v="8412.2999999999993"/>
    <s v="S625"/>
    <x v="0"/>
    <s v="W39"/>
    <x v="1"/>
    <s v="BlueDart"/>
    <s v="New York-Mumbai"/>
    <n v="4926"/>
    <n v="387"/>
    <x v="0"/>
    <n v="21"/>
    <n v="692.15"/>
    <n v="130.80000000000001"/>
    <n v="822.95"/>
    <s v="On-time"/>
    <n v="0"/>
    <n v="74.83"/>
    <n v="286"/>
    <n v="317"/>
    <n v="0.16706252537555827"/>
  </r>
  <r>
    <x v="192"/>
    <s v="C1622"/>
    <x v="179"/>
    <d v="2024-08-28T00:00:00"/>
    <x v="2"/>
    <x v="3"/>
    <x v="4"/>
    <x v="5"/>
    <x v="175"/>
    <x v="1"/>
    <s v="Furnishings"/>
    <x v="174"/>
    <n v="23.18"/>
    <n v="37"/>
    <n v="857.66"/>
    <s v="S156"/>
    <x v="1"/>
    <s v="W26"/>
    <x v="2"/>
    <s v="DHL"/>
    <s v="Toronto-São Paulo"/>
    <n v="2600"/>
    <n v="122"/>
    <x v="0"/>
    <n v="3"/>
    <n v="1942.19"/>
    <n v="452.53"/>
    <n v="2394.7199999999998"/>
    <s v="On-time"/>
    <n v="0"/>
    <n v="97.75"/>
    <n v="304"/>
    <n v="295"/>
    <n v="0.92104615384615374"/>
  </r>
  <r>
    <x v="193"/>
    <s v="C9843"/>
    <x v="138"/>
    <d v="2022-12-08T00:00:00"/>
    <x v="1"/>
    <x v="1"/>
    <x v="4"/>
    <x v="2"/>
    <x v="176"/>
    <x v="0"/>
    <s v="Binders"/>
    <x v="175"/>
    <n v="27.74"/>
    <n v="37"/>
    <n v="1026.3799999999999"/>
    <s v="S375"/>
    <x v="1"/>
    <s v="W35"/>
    <x v="2"/>
    <s v="BlueDart"/>
    <s v="Berlin-Berlin"/>
    <n v="1323"/>
    <n v="274"/>
    <x v="0"/>
    <n v="7"/>
    <n v="86.22"/>
    <n v="89.82"/>
    <n v="176.04"/>
    <s v="On-time"/>
    <n v="0"/>
    <n v="85.18"/>
    <n v="334"/>
    <n v="320"/>
    <n v="0.1330612244897959"/>
  </r>
  <r>
    <x v="194"/>
    <s v="C8894"/>
    <x v="180"/>
    <d v="2023-05-27T00:00:00"/>
    <x v="2"/>
    <x v="0"/>
    <x v="4"/>
    <x v="3"/>
    <x v="177"/>
    <x v="0"/>
    <s v="Binders"/>
    <x v="176"/>
    <n v="414.94"/>
    <n v="23"/>
    <n v="9543.6200000000008"/>
    <s v="S212"/>
    <x v="2"/>
    <s v="W36"/>
    <x v="0"/>
    <s v="Maersk"/>
    <s v="New York-London"/>
    <n v="2076"/>
    <n v="147"/>
    <x v="0"/>
    <n v="26"/>
    <n v="51.65"/>
    <n v="275.05"/>
    <n v="326.7"/>
    <s v="On-time"/>
    <n v="0"/>
    <n v="71.900000000000006"/>
    <n v="223"/>
    <n v="222"/>
    <n v="0.15736994219653178"/>
  </r>
  <r>
    <x v="195"/>
    <s v="C5064"/>
    <x v="181"/>
    <d v="2023-06-20T00:00:00"/>
    <x v="1"/>
    <x v="4"/>
    <x v="5"/>
    <x v="1"/>
    <x v="178"/>
    <x v="0"/>
    <s v="Paper"/>
    <x v="177"/>
    <n v="247.47"/>
    <n v="78"/>
    <n v="19302.66"/>
    <s v="S465"/>
    <x v="0"/>
    <s v="W16"/>
    <x v="1"/>
    <s v="FedEx"/>
    <s v="Toronto-Cape Town"/>
    <n v="4660"/>
    <n v="439"/>
    <x v="0"/>
    <n v="21"/>
    <n v="404.37"/>
    <n v="201.21"/>
    <n v="605.58000000000004"/>
    <s v="On-time"/>
    <n v="0"/>
    <n v="71.53"/>
    <n v="424"/>
    <n v="387"/>
    <n v="0.12995278969957083"/>
  </r>
  <r>
    <x v="196"/>
    <s v="C7140"/>
    <x v="182"/>
    <d v="2020-09-28T00:00:00"/>
    <x v="2"/>
    <x v="0"/>
    <x v="6"/>
    <x v="0"/>
    <x v="179"/>
    <x v="0"/>
    <s v="Storage"/>
    <x v="178"/>
    <n v="110.28"/>
    <n v="61"/>
    <n v="6727.08"/>
    <s v="S635"/>
    <x v="1"/>
    <s v="W34"/>
    <x v="0"/>
    <s v="BlueDart"/>
    <s v="Beijing-Berlin"/>
    <n v="4847"/>
    <n v="54"/>
    <x v="0"/>
    <n v="7"/>
    <n v="1775.82"/>
    <n v="272.06"/>
    <n v="2047.88"/>
    <s v="Delayed"/>
    <n v="12"/>
    <n v="79.290000000000006"/>
    <n v="358"/>
    <n v="319"/>
    <n v="0.4225046420466268"/>
  </r>
  <r>
    <x v="197"/>
    <s v="C5167"/>
    <x v="183"/>
    <d v="2023-12-15T00:00:00"/>
    <x v="0"/>
    <x v="3"/>
    <x v="4"/>
    <x v="2"/>
    <x v="180"/>
    <x v="2"/>
    <s v="Phones"/>
    <x v="179"/>
    <n v="459.68"/>
    <n v="27"/>
    <n v="12411.36"/>
    <s v="S570"/>
    <x v="4"/>
    <s v="W27"/>
    <x v="1"/>
    <s v="UPS"/>
    <s v="London-Cape Town"/>
    <n v="188"/>
    <n v="160"/>
    <x v="0"/>
    <n v="24"/>
    <n v="272.56"/>
    <n v="314.79000000000002"/>
    <n v="587.35"/>
    <s v="On-time"/>
    <n v="0"/>
    <n v="76.39"/>
    <n v="457"/>
    <n v="435"/>
    <n v="3.1242021276595744"/>
  </r>
  <r>
    <x v="198"/>
    <s v="C9420"/>
    <x v="184"/>
    <d v="2021-06-12T00:00:00"/>
    <x v="2"/>
    <x v="0"/>
    <x v="6"/>
    <x v="5"/>
    <x v="181"/>
    <x v="1"/>
    <s v="Tables"/>
    <x v="180"/>
    <n v="177.53"/>
    <n v="62"/>
    <n v="11006.86"/>
    <s v="S244"/>
    <x v="3"/>
    <s v="W16"/>
    <x v="2"/>
    <s v="Maersk"/>
    <s v="Cape Town-Beijing"/>
    <n v="4600"/>
    <n v="365"/>
    <x v="0"/>
    <n v="6"/>
    <n v="1142.79"/>
    <n v="392.48"/>
    <n v="1535.27"/>
    <s v="On-time"/>
    <n v="0"/>
    <n v="99.38"/>
    <n v="449"/>
    <n v="474"/>
    <n v="0.33375434782608693"/>
  </r>
  <r>
    <x v="199"/>
    <s v="C5948"/>
    <x v="177"/>
    <d v="2023-06-03T00:00:00"/>
    <x v="2"/>
    <x v="3"/>
    <x v="5"/>
    <x v="6"/>
    <x v="182"/>
    <x v="1"/>
    <s v="Tables"/>
    <x v="181"/>
    <n v="51.69"/>
    <n v="37"/>
    <n v="1912.53"/>
    <s v="S581"/>
    <x v="0"/>
    <s v="W29"/>
    <x v="0"/>
    <s v="UPS"/>
    <s v="New York-Beijing"/>
    <n v="4713"/>
    <n v="370"/>
    <x v="0"/>
    <n v="8"/>
    <n v="686.76"/>
    <n v="263.17"/>
    <n v="949.93000000000006"/>
    <s v="On-time"/>
    <n v="0"/>
    <n v="91.28"/>
    <n v="206"/>
    <n v="212"/>
    <n v="0.20155527265011672"/>
  </r>
  <r>
    <x v="200"/>
    <s v="C9340"/>
    <x v="185"/>
    <d v="2020-02-23T00:00:00"/>
    <x v="2"/>
    <x v="0"/>
    <x v="0"/>
    <x v="0"/>
    <x v="183"/>
    <x v="1"/>
    <s v="Tables"/>
    <x v="182"/>
    <n v="13.4"/>
    <n v="93"/>
    <n v="1246.2"/>
    <s v="S224"/>
    <x v="4"/>
    <s v="W17"/>
    <x v="2"/>
    <s v="FedEx"/>
    <s v="Cape Town-São Paulo"/>
    <n v="4650"/>
    <n v="434"/>
    <x v="0"/>
    <n v="19"/>
    <n v="690.84"/>
    <n v="475.24"/>
    <n v="1166.08"/>
    <s v="On-time"/>
    <n v="0"/>
    <n v="93.73"/>
    <n v="273"/>
    <n v="307"/>
    <n v="0.25076989247311826"/>
  </r>
  <r>
    <x v="201"/>
    <s v="C2549"/>
    <x v="186"/>
    <d v="2020-08-15T00:00:00"/>
    <x v="2"/>
    <x v="4"/>
    <x v="5"/>
    <x v="0"/>
    <x v="184"/>
    <x v="0"/>
    <s v="Appliances"/>
    <x v="183"/>
    <n v="357.32"/>
    <n v="73"/>
    <n v="26084.36"/>
    <s v="S592"/>
    <x v="1"/>
    <s v="W9"/>
    <x v="1"/>
    <s v="FedEx"/>
    <s v="Berlin-Toronto"/>
    <n v="1937"/>
    <n v="251"/>
    <x v="0"/>
    <n v="6"/>
    <n v="1161.28"/>
    <n v="497.52"/>
    <n v="1658.8"/>
    <s v="On-time"/>
    <n v="0"/>
    <n v="84.19"/>
    <n v="328"/>
    <n v="330"/>
    <n v="0.85637583892617453"/>
  </r>
  <r>
    <x v="202"/>
    <s v="C9903"/>
    <x v="187"/>
    <d v="2022-07-31T00:00:00"/>
    <x v="2"/>
    <x v="1"/>
    <x v="1"/>
    <x v="7"/>
    <x v="185"/>
    <x v="0"/>
    <s v="Appliances"/>
    <x v="184"/>
    <n v="242.51"/>
    <n v="54"/>
    <n v="13095.539999999999"/>
    <s v="S630"/>
    <x v="1"/>
    <s v="W19"/>
    <x v="1"/>
    <s v="FedEx"/>
    <s v="Toronto-São Paulo"/>
    <n v="4884"/>
    <n v="459"/>
    <x v="0"/>
    <n v="12"/>
    <n v="1037.33"/>
    <n v="350.54"/>
    <n v="1387.87"/>
    <s v="On-time"/>
    <n v="0"/>
    <n v="70.739999999999995"/>
    <n v="354"/>
    <n v="334"/>
    <n v="0.28416666666666662"/>
  </r>
  <r>
    <x v="203"/>
    <s v="C3832"/>
    <x v="188"/>
    <d v="2023-04-02T00:00:00"/>
    <x v="0"/>
    <x v="3"/>
    <x v="7"/>
    <x v="3"/>
    <x v="186"/>
    <x v="0"/>
    <s v="Art"/>
    <x v="185"/>
    <n v="156.01"/>
    <n v="5"/>
    <n v="780.05"/>
    <s v="S146"/>
    <x v="2"/>
    <s v="W9"/>
    <x v="0"/>
    <s v="UPS"/>
    <s v="New York-London"/>
    <n v="4114"/>
    <n v="402"/>
    <x v="0"/>
    <n v="25"/>
    <n v="1786.27"/>
    <n v="273.60000000000002"/>
    <n v="2059.87"/>
    <s v="Delayed"/>
    <n v="13"/>
    <n v="77.319999999999993"/>
    <n v="497"/>
    <n v="546"/>
    <n v="0.50069761789013123"/>
  </r>
  <r>
    <x v="204"/>
    <s v="C5673"/>
    <x v="189"/>
    <d v="2021-07-07T00:00:00"/>
    <x v="1"/>
    <x v="2"/>
    <x v="5"/>
    <x v="2"/>
    <x v="187"/>
    <x v="0"/>
    <s v="Art"/>
    <x v="186"/>
    <n v="60.29"/>
    <n v="45"/>
    <n v="2713.05"/>
    <s v="S543"/>
    <x v="3"/>
    <s v="W29"/>
    <x v="1"/>
    <s v="Maersk"/>
    <s v="Toronto-São Paulo"/>
    <n v="4273"/>
    <n v="287"/>
    <x v="0"/>
    <n v="7"/>
    <n v="1400.45"/>
    <n v="28.15"/>
    <n v="1428.6"/>
    <s v="On-time"/>
    <n v="0"/>
    <n v="77.760000000000005"/>
    <n v="151"/>
    <n v="158"/>
    <n v="0.33433185115843667"/>
  </r>
  <r>
    <x v="205"/>
    <s v="C1211"/>
    <x v="136"/>
    <d v="2024-03-04T00:00:00"/>
    <x v="2"/>
    <x v="4"/>
    <x v="4"/>
    <x v="5"/>
    <x v="188"/>
    <x v="0"/>
    <s v="Binders"/>
    <x v="187"/>
    <n v="242.39"/>
    <n v="65"/>
    <n v="15755.349999999999"/>
    <s v="S332"/>
    <x v="1"/>
    <s v="W48"/>
    <x v="3"/>
    <s v="BlueDart"/>
    <s v="Toronto-Berlin"/>
    <n v="1323"/>
    <n v="134"/>
    <x v="0"/>
    <n v="26"/>
    <n v="721.05"/>
    <n v="186.83"/>
    <n v="907.88"/>
    <s v="On-time"/>
    <n v="0"/>
    <n v="79.959999999999994"/>
    <n v="314"/>
    <n v="350"/>
    <n v="0.6862282690854119"/>
  </r>
  <r>
    <x v="206"/>
    <s v="C7208"/>
    <x v="190"/>
    <d v="2020-04-30T00:00:00"/>
    <x v="2"/>
    <x v="1"/>
    <x v="6"/>
    <x v="1"/>
    <x v="189"/>
    <x v="0"/>
    <s v="Binders"/>
    <x v="188"/>
    <n v="255.87"/>
    <n v="12"/>
    <n v="3070.44"/>
    <s v="S563"/>
    <x v="0"/>
    <s v="W5"/>
    <x v="2"/>
    <s v="DHL"/>
    <s v="São Paulo-Berlin"/>
    <n v="4585"/>
    <n v="304"/>
    <x v="0"/>
    <n v="15"/>
    <n v="1977.02"/>
    <n v="249.04"/>
    <n v="2226.06"/>
    <s v="On-time"/>
    <n v="0"/>
    <n v="86.17"/>
    <n v="61"/>
    <n v="66"/>
    <n v="0.48550926935659761"/>
  </r>
  <r>
    <x v="207"/>
    <s v="C9552"/>
    <x v="42"/>
    <d v="2023-10-04T00:00:00"/>
    <x v="2"/>
    <x v="0"/>
    <x v="1"/>
    <x v="6"/>
    <x v="51"/>
    <x v="0"/>
    <s v="Binders"/>
    <x v="51"/>
    <n v="480.68"/>
    <n v="53"/>
    <n v="25476.04"/>
    <s v="S828"/>
    <x v="2"/>
    <s v="W29"/>
    <x v="1"/>
    <s v="FedEx"/>
    <s v="Mumbai-Beijing"/>
    <n v="765"/>
    <n v="443"/>
    <x v="0"/>
    <n v="27"/>
    <n v="287.43"/>
    <n v="85.94"/>
    <n v="373.37"/>
    <s v="On-time"/>
    <n v="0"/>
    <n v="78.12"/>
    <n v="134"/>
    <n v="153"/>
    <n v="0.48806535947712421"/>
  </r>
  <r>
    <x v="208"/>
    <s v="C2825"/>
    <x v="191"/>
    <d v="2022-08-05T00:00:00"/>
    <x v="2"/>
    <x v="4"/>
    <x v="6"/>
    <x v="6"/>
    <x v="70"/>
    <x v="0"/>
    <s v="Binders"/>
    <x v="69"/>
    <n v="58.8"/>
    <n v="76"/>
    <n v="4468.8"/>
    <s v="S302"/>
    <x v="1"/>
    <s v="W8"/>
    <x v="1"/>
    <s v="UPS"/>
    <s v="New York-London"/>
    <n v="2392"/>
    <n v="349"/>
    <x v="0"/>
    <n v="9"/>
    <n v="1418.58"/>
    <n v="117.76"/>
    <n v="1536.34"/>
    <s v="On-time"/>
    <n v="0"/>
    <n v="78.8"/>
    <n v="89"/>
    <n v="59"/>
    <n v="0.64228260869565212"/>
  </r>
  <r>
    <x v="209"/>
    <s v="C6160"/>
    <x v="192"/>
    <d v="2021-09-08T00:00:00"/>
    <x v="2"/>
    <x v="1"/>
    <x v="4"/>
    <x v="2"/>
    <x v="108"/>
    <x v="0"/>
    <s v="Paper"/>
    <x v="107"/>
    <n v="219.57"/>
    <n v="96"/>
    <n v="21078.720000000001"/>
    <s v="S985"/>
    <x v="3"/>
    <s v="W46"/>
    <x v="1"/>
    <s v="BlueDart"/>
    <s v="Berlin-Toronto"/>
    <n v="2606"/>
    <n v="68"/>
    <x v="0"/>
    <n v="6"/>
    <n v="1169.51"/>
    <n v="480.26"/>
    <n v="1649.77"/>
    <s v="On-time"/>
    <n v="0"/>
    <n v="70.95"/>
    <n v="272"/>
    <n v="271"/>
    <n v="0.63306600153491943"/>
  </r>
  <r>
    <x v="210"/>
    <s v="C7204"/>
    <x v="193"/>
    <d v="2023-04-07T00:00:00"/>
    <x v="0"/>
    <x v="4"/>
    <x v="7"/>
    <x v="0"/>
    <x v="190"/>
    <x v="0"/>
    <s v="Paper"/>
    <x v="189"/>
    <n v="327.27"/>
    <n v="23"/>
    <n v="7527.2099999999991"/>
    <s v="S610"/>
    <x v="2"/>
    <s v="W24"/>
    <x v="3"/>
    <s v="BlueDart"/>
    <s v="London-Berlin"/>
    <n v="4012"/>
    <n v="437"/>
    <x v="0"/>
    <n v="28"/>
    <n v="391.41"/>
    <n v="108.58"/>
    <n v="499.99"/>
    <s v="On-time"/>
    <n v="0"/>
    <n v="88.48"/>
    <n v="493"/>
    <n v="472"/>
    <n v="0.12462362911266202"/>
  </r>
  <r>
    <x v="211"/>
    <s v="C8558"/>
    <x v="68"/>
    <d v="2023-03-03T00:00:00"/>
    <x v="2"/>
    <x v="4"/>
    <x v="3"/>
    <x v="3"/>
    <x v="191"/>
    <x v="0"/>
    <s v="Paper"/>
    <x v="190"/>
    <n v="350.58"/>
    <n v="18"/>
    <n v="6310.44"/>
    <s v="S314"/>
    <x v="4"/>
    <s v="W35"/>
    <x v="3"/>
    <s v="FedEx"/>
    <s v="Beijing-London"/>
    <n v="2582"/>
    <n v="231"/>
    <x v="0"/>
    <n v="4"/>
    <n v="1442.07"/>
    <n v="74.040000000000006"/>
    <n v="1516.11"/>
    <s v="On-time"/>
    <n v="0"/>
    <n v="71.760000000000005"/>
    <n v="388"/>
    <n v="373"/>
    <n v="0.5871843532145623"/>
  </r>
  <r>
    <x v="212"/>
    <s v="C5084"/>
    <x v="194"/>
    <d v="2022-03-11T00:00:00"/>
    <x v="1"/>
    <x v="1"/>
    <x v="2"/>
    <x v="0"/>
    <x v="192"/>
    <x v="0"/>
    <s v="Paper"/>
    <x v="191"/>
    <n v="215.89"/>
    <n v="54"/>
    <n v="11658.06"/>
    <s v="S204"/>
    <x v="4"/>
    <s v="W35"/>
    <x v="0"/>
    <s v="FedEx"/>
    <s v="Toronto-Cape Town"/>
    <n v="2888"/>
    <n v="301"/>
    <x v="0"/>
    <n v="10"/>
    <n v="1400.61"/>
    <n v="167.19"/>
    <n v="1567.8"/>
    <s v="On-time"/>
    <n v="0"/>
    <n v="75.59"/>
    <n v="56"/>
    <n v="10"/>
    <n v="0.54286703601108033"/>
  </r>
  <r>
    <x v="213"/>
    <s v="C5576"/>
    <x v="195"/>
    <d v="2020-07-14T00:00:00"/>
    <x v="2"/>
    <x v="2"/>
    <x v="4"/>
    <x v="3"/>
    <x v="193"/>
    <x v="0"/>
    <s v="Paper"/>
    <x v="192"/>
    <n v="210.82"/>
    <n v="30"/>
    <n v="6324.5999999999995"/>
    <s v="S198"/>
    <x v="2"/>
    <s v="W40"/>
    <x v="2"/>
    <s v="UPS"/>
    <s v="Beijing-London"/>
    <n v="2100"/>
    <n v="71"/>
    <x v="0"/>
    <n v="15"/>
    <n v="90.13"/>
    <n v="382.79"/>
    <n v="472.92"/>
    <s v="On-time"/>
    <n v="0"/>
    <n v="98.07"/>
    <n v="337"/>
    <n v="287"/>
    <n v="0.22520000000000001"/>
  </r>
  <r>
    <x v="214"/>
    <s v="C1139"/>
    <x v="196"/>
    <d v="2021-01-20T00:00:00"/>
    <x v="2"/>
    <x v="1"/>
    <x v="7"/>
    <x v="6"/>
    <x v="194"/>
    <x v="0"/>
    <s v="Paper"/>
    <x v="193"/>
    <n v="19.489999999999998"/>
    <n v="94"/>
    <n v="1832.06"/>
    <s v="S321"/>
    <x v="0"/>
    <s v="W37"/>
    <x v="2"/>
    <s v="BlueDart"/>
    <s v="Mumbai-Beijing"/>
    <n v="2273"/>
    <n v="163"/>
    <x v="0"/>
    <n v="18"/>
    <n v="1335.07"/>
    <n v="434.22"/>
    <n v="1769.29"/>
    <s v="Delayed"/>
    <n v="10"/>
    <n v="91.97"/>
    <n v="425"/>
    <n v="386"/>
    <n v="0.77839419269687637"/>
  </r>
  <r>
    <x v="215"/>
    <s v="C2716"/>
    <x v="197"/>
    <d v="2020-08-04T00:00:00"/>
    <x v="2"/>
    <x v="2"/>
    <x v="1"/>
    <x v="1"/>
    <x v="195"/>
    <x v="0"/>
    <s v="Paper"/>
    <x v="194"/>
    <n v="387.24"/>
    <n v="61"/>
    <n v="23621.64"/>
    <s v="S562"/>
    <x v="3"/>
    <s v="W8"/>
    <x v="3"/>
    <s v="FedEx"/>
    <s v="Mumbai-Mumbai"/>
    <n v="373"/>
    <n v="150"/>
    <x v="0"/>
    <n v="25"/>
    <n v="1515.68"/>
    <n v="42.93"/>
    <n v="1558.61"/>
    <s v="On-time"/>
    <n v="0"/>
    <n v="89.89"/>
    <n v="279"/>
    <n v="286"/>
    <n v="4.1785790884718494"/>
  </r>
  <r>
    <x v="216"/>
    <s v="C2634"/>
    <x v="198"/>
    <d v="2022-12-09T00:00:00"/>
    <x v="2"/>
    <x v="1"/>
    <x v="1"/>
    <x v="4"/>
    <x v="196"/>
    <x v="0"/>
    <s v="Paper"/>
    <x v="195"/>
    <n v="6.19"/>
    <n v="15"/>
    <n v="92.850000000000009"/>
    <s v="S945"/>
    <x v="3"/>
    <s v="W25"/>
    <x v="1"/>
    <s v="FedEx"/>
    <s v="New York-New York"/>
    <n v="748"/>
    <n v="347"/>
    <x v="0"/>
    <n v="29"/>
    <n v="516.28"/>
    <n v="411.45"/>
    <n v="927.73"/>
    <s v="On-time"/>
    <n v="0"/>
    <n v="92.78"/>
    <n v="68"/>
    <n v="83"/>
    <n v="1.2402807486631016"/>
  </r>
  <r>
    <x v="217"/>
    <s v="C4539"/>
    <x v="199"/>
    <d v="2024-12-24T00:00:00"/>
    <x v="1"/>
    <x v="4"/>
    <x v="3"/>
    <x v="3"/>
    <x v="197"/>
    <x v="1"/>
    <s v="Bookcases"/>
    <x v="196"/>
    <n v="447.26"/>
    <n v="93"/>
    <n v="41595.18"/>
    <s v="S701"/>
    <x v="2"/>
    <s v="W25"/>
    <x v="3"/>
    <s v="Maersk"/>
    <s v="Cape Town-Toronto"/>
    <n v="2686"/>
    <n v="89"/>
    <x v="0"/>
    <n v="3"/>
    <n v="797.51"/>
    <n v="152.94999999999999"/>
    <n v="950.46"/>
    <s v="On-time"/>
    <n v="0"/>
    <n v="94.05"/>
    <n v="494"/>
    <n v="511"/>
    <n v="0.35385703648548028"/>
  </r>
  <r>
    <x v="218"/>
    <s v="C7870"/>
    <x v="200"/>
    <d v="2022-08-23T00:00:00"/>
    <x v="2"/>
    <x v="2"/>
    <x v="1"/>
    <x v="1"/>
    <x v="198"/>
    <x v="1"/>
    <s v="Furnishings"/>
    <x v="197"/>
    <n v="484.64"/>
    <n v="47"/>
    <n v="22778.079999999998"/>
    <s v="S155"/>
    <x v="1"/>
    <s v="W18"/>
    <x v="0"/>
    <s v="UPS"/>
    <s v="Cape Town-Beijing"/>
    <n v="3685"/>
    <n v="334"/>
    <x v="0"/>
    <n v="13"/>
    <n v="563.38"/>
    <n v="88.12"/>
    <n v="651.5"/>
    <s v="Delayed"/>
    <n v="12"/>
    <n v="90.36"/>
    <n v="170"/>
    <n v="125"/>
    <n v="0.17679782903663502"/>
  </r>
  <r>
    <x v="219"/>
    <s v="C7278"/>
    <x v="201"/>
    <d v="2020-01-16T00:00:00"/>
    <x v="2"/>
    <x v="4"/>
    <x v="2"/>
    <x v="0"/>
    <x v="199"/>
    <x v="1"/>
    <s v="Furnishings"/>
    <x v="198"/>
    <n v="22.27"/>
    <n v="53"/>
    <n v="1180.31"/>
    <s v="S987"/>
    <x v="3"/>
    <s v="W46"/>
    <x v="0"/>
    <s v="Maersk"/>
    <s v="New York-Berlin"/>
    <n v="2717"/>
    <n v="391"/>
    <x v="0"/>
    <n v="9"/>
    <n v="1498.26"/>
    <n v="165.05"/>
    <n v="1663.31"/>
    <s v="On-time"/>
    <n v="0"/>
    <n v="74.760000000000005"/>
    <n v="89"/>
    <n v="54"/>
    <n v="0.61218623481781376"/>
  </r>
  <r>
    <x v="220"/>
    <s v="C5077"/>
    <x v="202"/>
    <d v="2021-05-10T00:00:00"/>
    <x v="1"/>
    <x v="2"/>
    <x v="0"/>
    <x v="4"/>
    <x v="200"/>
    <x v="1"/>
    <s v="Furnishings"/>
    <x v="199"/>
    <n v="383.48"/>
    <n v="3"/>
    <n v="1150.44"/>
    <s v="S270"/>
    <x v="0"/>
    <s v="W1"/>
    <x v="3"/>
    <s v="UPS"/>
    <s v="Beijing-New York"/>
    <n v="3572"/>
    <n v="294"/>
    <x v="0"/>
    <n v="5"/>
    <n v="649.48"/>
    <n v="91.1"/>
    <n v="740.58"/>
    <s v="On-time"/>
    <n v="0"/>
    <n v="96.58"/>
    <n v="181"/>
    <n v="224"/>
    <n v="0.20732922732362824"/>
  </r>
  <r>
    <x v="221"/>
    <s v="C1613"/>
    <x v="203"/>
    <d v="2022-08-14T00:00:00"/>
    <x v="1"/>
    <x v="3"/>
    <x v="6"/>
    <x v="5"/>
    <x v="201"/>
    <x v="0"/>
    <s v="Art"/>
    <x v="200"/>
    <n v="335.86"/>
    <n v="98"/>
    <n v="32914.28"/>
    <s v="S415"/>
    <x v="2"/>
    <s v="W10"/>
    <x v="0"/>
    <s v="DHL"/>
    <s v="Toronto-Cape Town"/>
    <n v="3157"/>
    <n v="397"/>
    <x v="0"/>
    <n v="9"/>
    <n v="1743.8"/>
    <n v="388.5"/>
    <n v="2132.3000000000002"/>
    <s v="On-time"/>
    <n v="0"/>
    <n v="95.56"/>
    <n v="83"/>
    <n v="68"/>
    <n v="0.67541970224897063"/>
  </r>
  <r>
    <x v="222"/>
    <s v="C7663"/>
    <x v="97"/>
    <d v="2022-07-07T00:00:00"/>
    <x v="1"/>
    <x v="1"/>
    <x v="3"/>
    <x v="7"/>
    <x v="202"/>
    <x v="0"/>
    <s v="Fasteners"/>
    <x v="84"/>
    <n v="203.49"/>
    <n v="95"/>
    <n v="19331.55"/>
    <s v="S872"/>
    <x v="3"/>
    <s v="W2"/>
    <x v="3"/>
    <s v="BlueDart"/>
    <s v="Toronto-New York"/>
    <n v="1208"/>
    <n v="318"/>
    <x v="0"/>
    <n v="5"/>
    <n v="1145.6500000000001"/>
    <n v="18.62"/>
    <n v="1164.27"/>
    <s v="On-time"/>
    <n v="0"/>
    <n v="98.62"/>
    <n v="366"/>
    <n v="360"/>
    <n v="0.96379966887417212"/>
  </r>
  <r>
    <x v="223"/>
    <s v="C1569"/>
    <x v="204"/>
    <d v="2023-06-09T00:00:00"/>
    <x v="1"/>
    <x v="4"/>
    <x v="7"/>
    <x v="1"/>
    <x v="66"/>
    <x v="0"/>
    <s v="Paper"/>
    <x v="65"/>
    <n v="352.9"/>
    <n v="99"/>
    <n v="34937.1"/>
    <s v="S656"/>
    <x v="2"/>
    <s v="W8"/>
    <x v="0"/>
    <s v="DHL"/>
    <s v="New York-Berlin"/>
    <n v="2642"/>
    <n v="325"/>
    <x v="0"/>
    <n v="10"/>
    <n v="137.06"/>
    <n v="283.73"/>
    <n v="420.79"/>
    <s v="On-time"/>
    <n v="0"/>
    <n v="96.69"/>
    <n v="406"/>
    <n v="404"/>
    <n v="0.15926949280847844"/>
  </r>
  <r>
    <x v="224"/>
    <s v="C7830"/>
    <x v="205"/>
    <d v="2020-10-16T00:00:00"/>
    <x v="0"/>
    <x v="3"/>
    <x v="2"/>
    <x v="6"/>
    <x v="30"/>
    <x v="0"/>
    <s v="Storage"/>
    <x v="30"/>
    <n v="353.64"/>
    <n v="2"/>
    <n v="707.28"/>
    <s v="S465"/>
    <x v="3"/>
    <s v="W18"/>
    <x v="2"/>
    <s v="UPS"/>
    <s v="Mumbai-Berlin"/>
    <n v="4991"/>
    <n v="435"/>
    <x v="0"/>
    <n v="15"/>
    <n v="1373.97"/>
    <n v="331.93"/>
    <n v="1705.9"/>
    <s v="On-time"/>
    <n v="0"/>
    <n v="73.47"/>
    <n v="132"/>
    <n v="166"/>
    <n v="0.34179523141654983"/>
  </r>
  <r>
    <x v="225"/>
    <s v="C4760"/>
    <x v="150"/>
    <d v="2021-12-25T00:00:00"/>
    <x v="2"/>
    <x v="0"/>
    <x v="1"/>
    <x v="0"/>
    <x v="203"/>
    <x v="2"/>
    <s v="Machines"/>
    <x v="201"/>
    <n v="163.87"/>
    <n v="76"/>
    <n v="12454.12"/>
    <s v="S938"/>
    <x v="0"/>
    <s v="W35"/>
    <x v="3"/>
    <s v="UPS"/>
    <s v="Toronto-Toronto"/>
    <n v="654"/>
    <n v="208"/>
    <x v="0"/>
    <n v="2"/>
    <n v="129.46"/>
    <n v="342.94"/>
    <n v="472.4"/>
    <s v="On-time"/>
    <n v="0"/>
    <n v="80.84"/>
    <n v="170"/>
    <n v="204"/>
    <n v="0.72232415902140668"/>
  </r>
  <r>
    <x v="226"/>
    <s v="C4957"/>
    <x v="206"/>
    <d v="2023-09-18T00:00:00"/>
    <x v="2"/>
    <x v="0"/>
    <x v="5"/>
    <x v="6"/>
    <x v="204"/>
    <x v="2"/>
    <s v="Machines"/>
    <x v="202"/>
    <n v="111.35"/>
    <n v="4"/>
    <n v="445.4"/>
    <s v="S828"/>
    <x v="4"/>
    <s v="W11"/>
    <x v="0"/>
    <s v="Maersk"/>
    <s v="São Paulo-Toronto"/>
    <n v="2329"/>
    <n v="473"/>
    <x v="0"/>
    <n v="17"/>
    <n v="1400.16"/>
    <n v="479.23"/>
    <n v="1879.39"/>
    <s v="Delayed"/>
    <n v="6"/>
    <n v="95.79"/>
    <n v="406"/>
    <n v="371"/>
    <n v="0.80695148132245609"/>
  </r>
  <r>
    <x v="227"/>
    <s v="C2376"/>
    <x v="207"/>
    <d v="2022-11-25T00:00:00"/>
    <x v="1"/>
    <x v="2"/>
    <x v="2"/>
    <x v="5"/>
    <x v="174"/>
    <x v="2"/>
    <s v="Machines"/>
    <x v="173"/>
    <n v="123.62"/>
    <n v="52"/>
    <n v="6428.24"/>
    <s v="S676"/>
    <x v="1"/>
    <s v="W18"/>
    <x v="3"/>
    <s v="DHL"/>
    <s v="New York-London"/>
    <n v="1657"/>
    <n v="298"/>
    <x v="0"/>
    <n v="23"/>
    <n v="1779.68"/>
    <n v="123.49"/>
    <n v="1903.17"/>
    <s v="On-time"/>
    <n v="0"/>
    <n v="73.400000000000006"/>
    <n v="356"/>
    <n v="320"/>
    <n v="1.1485636692818346"/>
  </r>
  <r>
    <x v="228"/>
    <s v="C4570"/>
    <x v="208"/>
    <d v="2020-04-29T00:00:00"/>
    <x v="1"/>
    <x v="2"/>
    <x v="3"/>
    <x v="6"/>
    <x v="205"/>
    <x v="1"/>
    <s v="Furnishings"/>
    <x v="203"/>
    <n v="201.26"/>
    <n v="62"/>
    <n v="12478.119999999999"/>
    <s v="S639"/>
    <x v="0"/>
    <s v="W26"/>
    <x v="0"/>
    <s v="Maersk"/>
    <s v="Berlin-Mumbai"/>
    <n v="805"/>
    <n v="200"/>
    <x v="0"/>
    <n v="17"/>
    <n v="219.25"/>
    <n v="427.91"/>
    <n v="647.16000000000008"/>
    <s v="On-time"/>
    <n v="0"/>
    <n v="87.11"/>
    <n v="265"/>
    <n v="268"/>
    <n v="0.80392546583850943"/>
  </r>
  <r>
    <x v="229"/>
    <s v="C8805"/>
    <x v="209"/>
    <d v="2021-09-20T00:00:00"/>
    <x v="2"/>
    <x v="2"/>
    <x v="0"/>
    <x v="7"/>
    <x v="158"/>
    <x v="1"/>
    <s v="Furnishings"/>
    <x v="157"/>
    <n v="347.18"/>
    <n v="14"/>
    <n v="4860.5200000000004"/>
    <s v="S529"/>
    <x v="0"/>
    <s v="W29"/>
    <x v="3"/>
    <s v="DHL"/>
    <s v="São Paulo-Beijing"/>
    <n v="4971"/>
    <n v="434"/>
    <x v="0"/>
    <n v="12"/>
    <n v="1856.36"/>
    <n v="254.31"/>
    <n v="2110.67"/>
    <s v="Delayed"/>
    <n v="10"/>
    <n v="70.36"/>
    <n v="159"/>
    <n v="133"/>
    <n v="0.42459666063166368"/>
  </r>
  <r>
    <x v="230"/>
    <s v="C1287"/>
    <x v="183"/>
    <d v="2021-10-27T00:00:00"/>
    <x v="2"/>
    <x v="2"/>
    <x v="2"/>
    <x v="1"/>
    <x v="91"/>
    <x v="0"/>
    <s v="Binders"/>
    <x v="90"/>
    <n v="130.51"/>
    <n v="39"/>
    <n v="5089.8899999999994"/>
    <s v="S453"/>
    <x v="4"/>
    <s v="W24"/>
    <x v="2"/>
    <s v="BlueDart"/>
    <s v="Beijing-London"/>
    <n v="4663"/>
    <n v="74"/>
    <x v="0"/>
    <n v="1"/>
    <n v="188.65"/>
    <n v="280.64"/>
    <n v="469.29"/>
    <s v="On-time"/>
    <n v="0"/>
    <n v="95.23"/>
    <n v="202"/>
    <n v="242"/>
    <n v="0.10064121809993566"/>
  </r>
  <r>
    <x v="231"/>
    <s v="C9542"/>
    <x v="210"/>
    <d v="2020-03-18T00:00:00"/>
    <x v="2"/>
    <x v="3"/>
    <x v="6"/>
    <x v="0"/>
    <x v="206"/>
    <x v="0"/>
    <s v="Labels"/>
    <x v="204"/>
    <n v="120.66"/>
    <n v="4"/>
    <n v="482.64"/>
    <s v="S882"/>
    <x v="3"/>
    <s v="W30"/>
    <x v="3"/>
    <s v="BlueDart"/>
    <s v="São Paulo-New York"/>
    <n v="644"/>
    <n v="429"/>
    <x v="0"/>
    <n v="15"/>
    <n v="575.09"/>
    <n v="313.87"/>
    <n v="888.96"/>
    <s v="On-time"/>
    <n v="0"/>
    <n v="72.45"/>
    <n v="282"/>
    <n v="274"/>
    <n v="1.3803726708074535"/>
  </r>
  <r>
    <x v="232"/>
    <s v="C7957"/>
    <x v="211"/>
    <d v="2020-12-30T00:00:00"/>
    <x v="2"/>
    <x v="3"/>
    <x v="5"/>
    <x v="5"/>
    <x v="207"/>
    <x v="0"/>
    <s v="Storage"/>
    <x v="205"/>
    <n v="282.81"/>
    <n v="39"/>
    <n v="11029.59"/>
    <s v="S225"/>
    <x v="1"/>
    <s v="W35"/>
    <x v="1"/>
    <s v="Maersk"/>
    <s v="Toronto-Mumbai"/>
    <n v="3419"/>
    <n v="288"/>
    <x v="0"/>
    <n v="23"/>
    <n v="262.55"/>
    <n v="401.9"/>
    <n v="664.45"/>
    <s v="On-time"/>
    <n v="0"/>
    <n v="91.97"/>
    <n v="165"/>
    <n v="151"/>
    <n v="0.19434045042410061"/>
  </r>
  <r>
    <x v="233"/>
    <s v="C1100"/>
    <x v="212"/>
    <d v="2023-10-23T00:00:00"/>
    <x v="2"/>
    <x v="1"/>
    <x v="4"/>
    <x v="0"/>
    <x v="208"/>
    <x v="2"/>
    <s v="Accessories"/>
    <x v="206"/>
    <n v="414.51"/>
    <n v="76"/>
    <n v="31502.76"/>
    <s v="S145"/>
    <x v="4"/>
    <s v="W1"/>
    <x v="0"/>
    <s v="BlueDart"/>
    <s v="New York-Mumbai"/>
    <n v="3339"/>
    <n v="384"/>
    <x v="0"/>
    <n v="29"/>
    <n v="190.4"/>
    <n v="129.66"/>
    <n v="320.06"/>
    <s v="On-time"/>
    <n v="0"/>
    <n v="73.77"/>
    <n v="285"/>
    <n v="293"/>
    <n v="9.5855046421084153E-2"/>
  </r>
  <r>
    <x v="234"/>
    <s v="C7719"/>
    <x v="213"/>
    <d v="2023-01-15T00:00:00"/>
    <x v="2"/>
    <x v="3"/>
    <x v="7"/>
    <x v="5"/>
    <x v="209"/>
    <x v="2"/>
    <s v="Phones"/>
    <x v="207"/>
    <n v="114.57"/>
    <n v="21"/>
    <n v="2405.9699999999998"/>
    <s v="S743"/>
    <x v="4"/>
    <s v="W34"/>
    <x v="2"/>
    <s v="FedEx"/>
    <s v="New York-Mumbai"/>
    <n v="3913"/>
    <n v="156"/>
    <x v="0"/>
    <n v="1"/>
    <n v="759.77"/>
    <n v="372.21"/>
    <n v="1131.98"/>
    <s v="On-time"/>
    <n v="0"/>
    <n v="74.08"/>
    <n v="353"/>
    <n v="401"/>
    <n v="0.28928699207768976"/>
  </r>
  <r>
    <x v="235"/>
    <s v="C1890"/>
    <x v="214"/>
    <d v="2023-07-15T00:00:00"/>
    <x v="2"/>
    <x v="0"/>
    <x v="7"/>
    <x v="7"/>
    <x v="22"/>
    <x v="1"/>
    <s v="Chairs"/>
    <x v="22"/>
    <n v="27.76"/>
    <n v="74"/>
    <n v="2054.2400000000002"/>
    <s v="S762"/>
    <x v="0"/>
    <s v="W11"/>
    <x v="3"/>
    <s v="DHL"/>
    <s v="Mumbai-London"/>
    <n v="1286"/>
    <n v="129"/>
    <x v="0"/>
    <n v="1"/>
    <n v="1964.59"/>
    <n v="155.62"/>
    <n v="2120.21"/>
    <s v="On-time"/>
    <n v="0"/>
    <n v="72.319999999999993"/>
    <n v="405"/>
    <n v="422"/>
    <n v="1.6486858475894246"/>
  </r>
  <r>
    <x v="236"/>
    <s v="C3179"/>
    <x v="215"/>
    <d v="2021-07-31T00:00:00"/>
    <x v="2"/>
    <x v="1"/>
    <x v="7"/>
    <x v="1"/>
    <x v="210"/>
    <x v="1"/>
    <s v="Furnishings"/>
    <x v="208"/>
    <n v="416.74"/>
    <n v="42"/>
    <n v="17503.080000000002"/>
    <s v="S416"/>
    <x v="2"/>
    <s v="W28"/>
    <x v="2"/>
    <s v="BlueDart"/>
    <s v="Mumbai-New York"/>
    <n v="2850"/>
    <n v="477"/>
    <x v="0"/>
    <n v="26"/>
    <n v="315.58999999999997"/>
    <n v="142.06"/>
    <n v="457.65"/>
    <s v="On-time"/>
    <n v="0"/>
    <n v="91.62"/>
    <n v="288"/>
    <n v="335"/>
    <n v="0.16057894736842104"/>
  </r>
  <r>
    <x v="237"/>
    <s v="C5234"/>
    <x v="216"/>
    <d v="2022-03-26T00:00:00"/>
    <x v="2"/>
    <x v="0"/>
    <x v="6"/>
    <x v="0"/>
    <x v="211"/>
    <x v="0"/>
    <s v="Art"/>
    <x v="209"/>
    <n v="116.12"/>
    <n v="44"/>
    <n v="5109.2800000000007"/>
    <s v="S835"/>
    <x v="2"/>
    <s v="W34"/>
    <x v="1"/>
    <s v="BlueDart"/>
    <s v="Toronto-Mumbai"/>
    <n v="4542"/>
    <n v="182"/>
    <x v="0"/>
    <n v="11"/>
    <n v="1786.29"/>
    <n v="36.9"/>
    <n v="1823.19"/>
    <s v="On-time"/>
    <n v="0"/>
    <n v="76.94"/>
    <n v="444"/>
    <n v="466"/>
    <n v="0.4014068692206077"/>
  </r>
  <r>
    <x v="238"/>
    <s v="C6964"/>
    <x v="169"/>
    <d v="2024-01-02T00:00:00"/>
    <x v="2"/>
    <x v="4"/>
    <x v="7"/>
    <x v="1"/>
    <x v="212"/>
    <x v="0"/>
    <s v="Art"/>
    <x v="210"/>
    <n v="321.14999999999998"/>
    <n v="68"/>
    <n v="21838.199999999997"/>
    <s v="S405"/>
    <x v="0"/>
    <s v="W44"/>
    <x v="1"/>
    <s v="UPS"/>
    <s v="Cape Town-Toronto"/>
    <n v="89"/>
    <n v="431"/>
    <x v="1"/>
    <n v="10"/>
    <n v="1980.82"/>
    <n v="94.51"/>
    <n v="2075.33"/>
    <s v="Delayed"/>
    <n v="4"/>
    <n v="82.91"/>
    <n v="356"/>
    <n v="348"/>
    <n v="23.318314606741573"/>
  </r>
  <r>
    <x v="239"/>
    <s v="C1787"/>
    <x v="204"/>
    <d v="2022-02-22T00:00:00"/>
    <x v="1"/>
    <x v="4"/>
    <x v="2"/>
    <x v="7"/>
    <x v="213"/>
    <x v="0"/>
    <s v="Art"/>
    <x v="211"/>
    <n v="284.12"/>
    <n v="5"/>
    <n v="1420.6"/>
    <s v="S568"/>
    <x v="0"/>
    <s v="W29"/>
    <x v="1"/>
    <s v="UPS"/>
    <s v="São Paulo-Mumbai"/>
    <n v="3062"/>
    <n v="358"/>
    <x v="0"/>
    <n v="7"/>
    <n v="679.17"/>
    <n v="181.66"/>
    <n v="860.82999999999993"/>
    <s v="On-time"/>
    <n v="0"/>
    <n v="91.46"/>
    <n v="122"/>
    <n v="131"/>
    <n v="0.28113324624428476"/>
  </r>
  <r>
    <x v="240"/>
    <s v="C9534"/>
    <x v="217"/>
    <d v="2024-07-19T00:00:00"/>
    <x v="2"/>
    <x v="0"/>
    <x v="7"/>
    <x v="2"/>
    <x v="214"/>
    <x v="0"/>
    <s v="Binders"/>
    <x v="212"/>
    <n v="460.62"/>
    <n v="46"/>
    <n v="21188.52"/>
    <s v="S292"/>
    <x v="1"/>
    <s v="W42"/>
    <x v="0"/>
    <s v="FedEx"/>
    <s v="Cape Town-Mumbai"/>
    <n v="3336"/>
    <n v="83"/>
    <x v="0"/>
    <n v="14"/>
    <n v="1144.1300000000001"/>
    <n v="365.61"/>
    <n v="1509.74"/>
    <s v="Delayed"/>
    <n v="5"/>
    <n v="79.510000000000005"/>
    <n v="254"/>
    <n v="206"/>
    <n v="0.4525599520383693"/>
  </r>
  <r>
    <x v="241"/>
    <s v="C1434"/>
    <x v="218"/>
    <d v="2024-07-15T00:00:00"/>
    <x v="2"/>
    <x v="3"/>
    <x v="2"/>
    <x v="6"/>
    <x v="215"/>
    <x v="0"/>
    <s v="Labels"/>
    <x v="213"/>
    <n v="200.03"/>
    <n v="51"/>
    <n v="10201.530000000001"/>
    <s v="S779"/>
    <x v="4"/>
    <s v="W34"/>
    <x v="0"/>
    <s v="DHL"/>
    <s v="New York-Cape Town"/>
    <n v="801"/>
    <n v="311"/>
    <x v="0"/>
    <n v="19"/>
    <n v="376.26"/>
    <n v="121.34"/>
    <n v="497.6"/>
    <s v="On-time"/>
    <n v="0"/>
    <n v="94.49"/>
    <n v="236"/>
    <n v="223"/>
    <n v="0.62122347066167294"/>
  </r>
  <r>
    <x v="242"/>
    <s v="C9292"/>
    <x v="219"/>
    <d v="2020-08-30T00:00:00"/>
    <x v="1"/>
    <x v="0"/>
    <x v="4"/>
    <x v="7"/>
    <x v="216"/>
    <x v="0"/>
    <s v="Labels"/>
    <x v="214"/>
    <n v="297.33999999999997"/>
    <n v="82"/>
    <n v="24381.879999999997"/>
    <s v="S405"/>
    <x v="2"/>
    <s v="W30"/>
    <x v="3"/>
    <s v="Maersk"/>
    <s v="London-Toronto"/>
    <n v="4049"/>
    <n v="416"/>
    <x v="0"/>
    <n v="14"/>
    <n v="1341.3"/>
    <n v="392.99"/>
    <n v="1734.29"/>
    <s v="On-time"/>
    <n v="0"/>
    <n v="98.44"/>
    <n v="320"/>
    <n v="331"/>
    <n v="0.42832551247221534"/>
  </r>
  <r>
    <x v="243"/>
    <s v="C6852"/>
    <x v="220"/>
    <d v="2023-01-04T00:00:00"/>
    <x v="2"/>
    <x v="0"/>
    <x v="7"/>
    <x v="0"/>
    <x v="217"/>
    <x v="0"/>
    <s v="Paper"/>
    <x v="215"/>
    <n v="295.55"/>
    <n v="62"/>
    <n v="18324.100000000002"/>
    <s v="S380"/>
    <x v="3"/>
    <s v="W48"/>
    <x v="1"/>
    <s v="BlueDart"/>
    <s v="Beijing-Mumbai"/>
    <n v="2055"/>
    <n v="295"/>
    <x v="0"/>
    <n v="6"/>
    <n v="570.65"/>
    <n v="164.25"/>
    <n v="734.9"/>
    <s v="On-time"/>
    <n v="0"/>
    <n v="70.98"/>
    <n v="319"/>
    <n v="337"/>
    <n v="0.35761557177615572"/>
  </r>
  <r>
    <x v="244"/>
    <s v="C8344"/>
    <x v="221"/>
    <d v="2024-11-21T00:00:00"/>
    <x v="2"/>
    <x v="0"/>
    <x v="2"/>
    <x v="7"/>
    <x v="218"/>
    <x v="0"/>
    <s v="Storage"/>
    <x v="216"/>
    <n v="465.29"/>
    <n v="50"/>
    <n v="23264.5"/>
    <s v="S263"/>
    <x v="1"/>
    <s v="W13"/>
    <x v="3"/>
    <s v="UPS"/>
    <s v="Beijing-Mumbai"/>
    <n v="1228"/>
    <n v="102"/>
    <x v="0"/>
    <n v="8"/>
    <n v="1994.59"/>
    <n v="396.13"/>
    <n v="2390.7199999999998"/>
    <s v="On-time"/>
    <n v="0"/>
    <n v="88.73"/>
    <n v="235"/>
    <n v="197"/>
    <n v="1.9468403908794787"/>
  </r>
  <r>
    <x v="245"/>
    <s v="C2764"/>
    <x v="222"/>
    <d v="2022-06-12T00:00:00"/>
    <x v="2"/>
    <x v="0"/>
    <x v="6"/>
    <x v="4"/>
    <x v="219"/>
    <x v="2"/>
    <s v="Phones"/>
    <x v="217"/>
    <n v="104.75"/>
    <n v="53"/>
    <n v="5551.75"/>
    <s v="S869"/>
    <x v="4"/>
    <s v="W32"/>
    <x v="3"/>
    <s v="BlueDart"/>
    <s v="Toronto-Cape Town"/>
    <n v="1960"/>
    <n v="397"/>
    <x v="0"/>
    <n v="22"/>
    <n v="1777.03"/>
    <n v="412.45"/>
    <n v="2189.48"/>
    <s v="Delayed"/>
    <n v="9"/>
    <n v="79.25"/>
    <n v="183"/>
    <n v="183"/>
    <n v="1.1170816326530613"/>
  </r>
  <r>
    <x v="246"/>
    <s v="C1123"/>
    <x v="223"/>
    <d v="2022-01-03T00:00:00"/>
    <x v="1"/>
    <x v="2"/>
    <x v="2"/>
    <x v="3"/>
    <x v="220"/>
    <x v="1"/>
    <s v="Chairs"/>
    <x v="218"/>
    <n v="94.74"/>
    <n v="46"/>
    <n v="4358.04"/>
    <s v="S429"/>
    <x v="2"/>
    <s v="W9"/>
    <x v="1"/>
    <s v="DHL"/>
    <s v="New York-New York"/>
    <n v="3561"/>
    <n v="317"/>
    <x v="0"/>
    <n v="1"/>
    <n v="1491.03"/>
    <n v="31.07"/>
    <n v="1522.1"/>
    <s v="On-time"/>
    <n v="0"/>
    <n v="82.36"/>
    <n v="425"/>
    <n v="449"/>
    <n v="0.42743611345127769"/>
  </r>
  <r>
    <x v="247"/>
    <s v="C5276"/>
    <x v="224"/>
    <d v="2024-08-18T00:00:00"/>
    <x v="1"/>
    <x v="4"/>
    <x v="5"/>
    <x v="1"/>
    <x v="4"/>
    <x v="0"/>
    <s v="Art"/>
    <x v="4"/>
    <n v="495.49"/>
    <n v="23"/>
    <n v="11396.27"/>
    <s v="S137"/>
    <x v="1"/>
    <s v="W37"/>
    <x v="3"/>
    <s v="DHL"/>
    <s v="Toronto-New York"/>
    <n v="1568"/>
    <n v="419"/>
    <x v="0"/>
    <n v="14"/>
    <n v="921.91"/>
    <n v="411.8"/>
    <n v="1333.71"/>
    <s v="On-time"/>
    <n v="0"/>
    <n v="88.24"/>
    <n v="51"/>
    <n v="51"/>
    <n v="0.85058035714285718"/>
  </r>
  <r>
    <x v="248"/>
    <s v="C1144"/>
    <x v="225"/>
    <d v="2023-01-29T00:00:00"/>
    <x v="2"/>
    <x v="3"/>
    <x v="6"/>
    <x v="1"/>
    <x v="221"/>
    <x v="0"/>
    <s v="Binders"/>
    <x v="219"/>
    <n v="268.99"/>
    <n v="44"/>
    <n v="11835.560000000001"/>
    <s v="S881"/>
    <x v="1"/>
    <s v="W15"/>
    <x v="0"/>
    <s v="FedEx"/>
    <s v="Toronto-London"/>
    <n v="3336"/>
    <n v="417"/>
    <x v="0"/>
    <n v="8"/>
    <n v="1059.83"/>
    <n v="152.71"/>
    <n v="1212.54"/>
    <s v="On-time"/>
    <n v="0"/>
    <n v="70.12"/>
    <n v="298"/>
    <n v="252"/>
    <n v="0.36347122302158275"/>
  </r>
  <r>
    <x v="249"/>
    <s v="C1009"/>
    <x v="226"/>
    <d v="2020-01-05T00:00:00"/>
    <x v="2"/>
    <x v="1"/>
    <x v="1"/>
    <x v="1"/>
    <x v="222"/>
    <x v="0"/>
    <s v="Binders"/>
    <x v="220"/>
    <n v="407.75"/>
    <n v="73"/>
    <n v="29765.75"/>
    <s v="S791"/>
    <x v="2"/>
    <s v="W28"/>
    <x v="0"/>
    <s v="Maersk"/>
    <s v="São Paulo-Beijing"/>
    <n v="1101"/>
    <n v="92"/>
    <x v="0"/>
    <n v="16"/>
    <n v="1771.67"/>
    <n v="192.02"/>
    <n v="1963.69"/>
    <s v="On-time"/>
    <n v="0"/>
    <n v="75.27"/>
    <n v="111"/>
    <n v="96"/>
    <n v="1.7835513169845596"/>
  </r>
  <r>
    <x v="250"/>
    <s v="C4867"/>
    <x v="227"/>
    <d v="2021-01-14T00:00:00"/>
    <x v="2"/>
    <x v="4"/>
    <x v="4"/>
    <x v="5"/>
    <x v="223"/>
    <x v="0"/>
    <s v="Paper"/>
    <x v="221"/>
    <n v="430.88"/>
    <n v="28"/>
    <n v="12064.64"/>
    <s v="S801"/>
    <x v="2"/>
    <s v="W34"/>
    <x v="2"/>
    <s v="DHL"/>
    <s v="Mumbai-São Paulo"/>
    <n v="3697"/>
    <n v="340"/>
    <x v="0"/>
    <n v="13"/>
    <n v="162.07"/>
    <n v="160.97"/>
    <n v="323.04000000000002"/>
    <s v="On-time"/>
    <n v="0"/>
    <n v="91.06"/>
    <n v="75"/>
    <n v="62"/>
    <n v="8.7378955910197467E-2"/>
  </r>
  <r>
    <x v="251"/>
    <s v="C2605"/>
    <x v="228"/>
    <d v="2020-10-05T00:00:00"/>
    <x v="2"/>
    <x v="3"/>
    <x v="2"/>
    <x v="5"/>
    <x v="224"/>
    <x v="0"/>
    <s v="Labels"/>
    <x v="222"/>
    <n v="455.03"/>
    <n v="69"/>
    <n v="31397.07"/>
    <s v="S536"/>
    <x v="4"/>
    <s v="W17"/>
    <x v="3"/>
    <s v="BlueDart"/>
    <s v="Mumbai-Cape Town"/>
    <n v="4746"/>
    <n v="235"/>
    <x v="0"/>
    <n v="22"/>
    <n v="1187.27"/>
    <n v="480.04"/>
    <n v="1667.31"/>
    <s v="On-time"/>
    <n v="0"/>
    <n v="91.48"/>
    <n v="268"/>
    <n v="309"/>
    <n v="0.35130847029077117"/>
  </r>
  <r>
    <x v="252"/>
    <s v="C8502"/>
    <x v="229"/>
    <d v="2024-03-11T00:00:00"/>
    <x v="1"/>
    <x v="2"/>
    <x v="1"/>
    <x v="3"/>
    <x v="225"/>
    <x v="0"/>
    <s v="Storage"/>
    <x v="223"/>
    <n v="48.27"/>
    <n v="39"/>
    <n v="1882.5300000000002"/>
    <s v="S231"/>
    <x v="3"/>
    <s v="W1"/>
    <x v="3"/>
    <s v="DHL"/>
    <s v="Cape Town-Cape Town"/>
    <n v="1038"/>
    <n v="315"/>
    <x v="0"/>
    <n v="5"/>
    <n v="218.62"/>
    <n v="153.69999999999999"/>
    <n v="372.32"/>
    <s v="On-time"/>
    <n v="0"/>
    <n v="91.69"/>
    <n v="125"/>
    <n v="134"/>
    <n v="0.35868978805394991"/>
  </r>
  <r>
    <x v="253"/>
    <s v="C6693"/>
    <x v="230"/>
    <d v="2021-02-02T00:00:00"/>
    <x v="2"/>
    <x v="1"/>
    <x v="3"/>
    <x v="7"/>
    <x v="226"/>
    <x v="2"/>
    <s v="Phones"/>
    <x v="224"/>
    <n v="202.73"/>
    <n v="6"/>
    <n v="1216.3799999999999"/>
    <s v="S712"/>
    <x v="2"/>
    <s v="W17"/>
    <x v="1"/>
    <s v="UPS"/>
    <s v="Beijing-São Paulo"/>
    <n v="3019"/>
    <n v="281"/>
    <x v="0"/>
    <n v="2"/>
    <n v="637.6"/>
    <n v="265.18"/>
    <n v="902.78"/>
    <s v="On-time"/>
    <n v="0"/>
    <n v="83.54"/>
    <n v="380"/>
    <n v="367"/>
    <n v="0.29903279231533619"/>
  </r>
  <r>
    <x v="254"/>
    <s v="C5621"/>
    <x v="231"/>
    <d v="2022-07-13T00:00:00"/>
    <x v="2"/>
    <x v="4"/>
    <x v="4"/>
    <x v="5"/>
    <x v="227"/>
    <x v="1"/>
    <s v="Furnishings"/>
    <x v="225"/>
    <n v="23.69"/>
    <n v="60"/>
    <n v="1421.4"/>
    <s v="S788"/>
    <x v="4"/>
    <s v="W15"/>
    <x v="0"/>
    <s v="FedEx"/>
    <s v="Berlin-Cape Town"/>
    <n v="1448"/>
    <n v="258"/>
    <x v="0"/>
    <n v="1"/>
    <n v="297.19"/>
    <n v="125.95"/>
    <n v="423.14"/>
    <s v="On-time"/>
    <n v="0"/>
    <n v="84.78"/>
    <n v="304"/>
    <n v="327"/>
    <n v="0.29222375690607733"/>
  </r>
  <r>
    <x v="255"/>
    <s v="C4146"/>
    <x v="232"/>
    <d v="2021-10-21T00:00:00"/>
    <x v="1"/>
    <x v="4"/>
    <x v="5"/>
    <x v="3"/>
    <x v="228"/>
    <x v="0"/>
    <s v="Paper"/>
    <x v="226"/>
    <n v="259.73"/>
    <n v="40"/>
    <n v="10389.200000000001"/>
    <s v="S415"/>
    <x v="0"/>
    <s v="W15"/>
    <x v="0"/>
    <s v="BlueDart"/>
    <s v="Mumbai-Cape Town"/>
    <n v="1049"/>
    <n v="286"/>
    <x v="0"/>
    <n v="20"/>
    <n v="982.09"/>
    <n v="66.64"/>
    <n v="1048.73"/>
    <s v="On-time"/>
    <n v="0"/>
    <n v="97.81"/>
    <n v="144"/>
    <n v="108"/>
    <n v="0.99974261201143944"/>
  </r>
  <r>
    <x v="256"/>
    <s v="C1971"/>
    <x v="233"/>
    <d v="2020-10-28T00:00:00"/>
    <x v="2"/>
    <x v="4"/>
    <x v="7"/>
    <x v="3"/>
    <x v="229"/>
    <x v="1"/>
    <s v="Chairs"/>
    <x v="227"/>
    <n v="337.65"/>
    <n v="64"/>
    <n v="21609.599999999999"/>
    <s v="S294"/>
    <x v="2"/>
    <s v="W28"/>
    <x v="2"/>
    <s v="Maersk"/>
    <s v="Berlin-Cape Town"/>
    <n v="841"/>
    <n v="220"/>
    <x v="0"/>
    <n v="28"/>
    <n v="65.760000000000005"/>
    <n v="480.13"/>
    <n v="545.89"/>
    <s v="On-time"/>
    <n v="0"/>
    <n v="80.45"/>
    <n v="329"/>
    <n v="296"/>
    <n v="0.6490963139120095"/>
  </r>
  <r>
    <x v="257"/>
    <s v="C5220"/>
    <x v="234"/>
    <d v="2020-10-19T00:00:00"/>
    <x v="1"/>
    <x v="0"/>
    <x v="3"/>
    <x v="6"/>
    <x v="230"/>
    <x v="0"/>
    <s v="Art"/>
    <x v="228"/>
    <n v="264.26"/>
    <n v="88"/>
    <n v="23254.879999999997"/>
    <s v="S865"/>
    <x v="1"/>
    <s v="W14"/>
    <x v="3"/>
    <s v="BlueDart"/>
    <s v="Cape Town-Mumbai"/>
    <n v="2160"/>
    <n v="103"/>
    <x v="0"/>
    <n v="24"/>
    <n v="1149.8499999999999"/>
    <n v="275.27"/>
    <n v="1425.12"/>
    <s v="On-time"/>
    <n v="0"/>
    <n v="78.09"/>
    <n v="62"/>
    <n v="58"/>
    <n v="0.65977777777777769"/>
  </r>
  <r>
    <x v="258"/>
    <s v="C9932"/>
    <x v="235"/>
    <d v="2023-05-16T00:00:00"/>
    <x v="1"/>
    <x v="4"/>
    <x v="2"/>
    <x v="7"/>
    <x v="231"/>
    <x v="0"/>
    <s v="Art"/>
    <x v="229"/>
    <n v="361.53"/>
    <n v="82"/>
    <n v="29645.46"/>
    <s v="S480"/>
    <x v="4"/>
    <s v="W23"/>
    <x v="0"/>
    <s v="DHL"/>
    <s v="São Paulo-Toronto"/>
    <n v="2596"/>
    <n v="88"/>
    <x v="0"/>
    <n v="25"/>
    <n v="548.91999999999996"/>
    <n v="402.65"/>
    <n v="951.56999999999994"/>
    <s v="On-time"/>
    <n v="0"/>
    <n v="86.47"/>
    <n v="499"/>
    <n v="494"/>
    <n v="0.3665523882896764"/>
  </r>
  <r>
    <x v="259"/>
    <s v="C5452"/>
    <x v="236"/>
    <d v="2020-10-04T00:00:00"/>
    <x v="1"/>
    <x v="0"/>
    <x v="6"/>
    <x v="1"/>
    <x v="187"/>
    <x v="0"/>
    <s v="Art"/>
    <x v="186"/>
    <n v="267.22000000000003"/>
    <n v="63"/>
    <n v="16834.86"/>
    <s v="S261"/>
    <x v="0"/>
    <s v="W11"/>
    <x v="1"/>
    <s v="Maersk"/>
    <s v="Toronto-Berlin"/>
    <n v="4474"/>
    <n v="475"/>
    <x v="0"/>
    <n v="16"/>
    <n v="578.17999999999995"/>
    <n v="60.19"/>
    <n v="638.36999999999989"/>
    <s v="On-time"/>
    <n v="0"/>
    <n v="71.73"/>
    <n v="52"/>
    <n v="29"/>
    <n v="0.14268439874832362"/>
  </r>
  <r>
    <x v="260"/>
    <s v="C4404"/>
    <x v="237"/>
    <d v="2022-05-07T00:00:00"/>
    <x v="1"/>
    <x v="4"/>
    <x v="0"/>
    <x v="2"/>
    <x v="232"/>
    <x v="2"/>
    <s v="Accessories"/>
    <x v="230"/>
    <n v="303.39"/>
    <n v="12"/>
    <n v="3640.68"/>
    <s v="S482"/>
    <x v="1"/>
    <s v="W23"/>
    <x v="2"/>
    <s v="BlueDart"/>
    <s v="Toronto-New York"/>
    <n v="3876"/>
    <n v="231"/>
    <x v="0"/>
    <n v="21"/>
    <n v="1484.93"/>
    <n v="492.6"/>
    <n v="1977.53"/>
    <s v="On-time"/>
    <n v="0"/>
    <n v="80.650000000000006"/>
    <n v="265"/>
    <n v="298"/>
    <n v="0.51019865841073275"/>
  </r>
  <r>
    <x v="261"/>
    <s v="C6086"/>
    <x v="238"/>
    <d v="2022-08-26T00:00:00"/>
    <x v="2"/>
    <x v="2"/>
    <x v="4"/>
    <x v="7"/>
    <x v="233"/>
    <x v="0"/>
    <s v="Art"/>
    <x v="231"/>
    <n v="469.48"/>
    <n v="9"/>
    <n v="4225.32"/>
    <s v="S516"/>
    <x v="4"/>
    <s v="W12"/>
    <x v="0"/>
    <s v="Maersk"/>
    <s v="New York-New York"/>
    <n v="2965"/>
    <n v="96"/>
    <x v="0"/>
    <n v="29"/>
    <n v="622.08000000000004"/>
    <n v="402.57"/>
    <n v="1024.6500000000001"/>
    <s v="On-time"/>
    <n v="0"/>
    <n v="85.37"/>
    <n v="64"/>
    <n v="105"/>
    <n v="0.34558178752107926"/>
  </r>
  <r>
    <x v="262"/>
    <s v="C3687"/>
    <x v="239"/>
    <d v="2021-11-28T00:00:00"/>
    <x v="2"/>
    <x v="4"/>
    <x v="3"/>
    <x v="0"/>
    <x v="101"/>
    <x v="0"/>
    <s v="Binders"/>
    <x v="100"/>
    <n v="191.71"/>
    <n v="86"/>
    <n v="16487.060000000001"/>
    <s v="S593"/>
    <x v="4"/>
    <s v="W38"/>
    <x v="0"/>
    <s v="DHL"/>
    <s v="Berlin-Beijing"/>
    <n v="3139"/>
    <n v="351"/>
    <x v="0"/>
    <n v="29"/>
    <n v="540.75"/>
    <n v="340.48"/>
    <n v="881.23"/>
    <s v="On-time"/>
    <n v="0"/>
    <n v="95.85"/>
    <n v="204"/>
    <n v="170"/>
    <n v="0.28073590315387065"/>
  </r>
  <r>
    <x v="263"/>
    <s v="C3718"/>
    <x v="240"/>
    <d v="2021-03-31T00:00:00"/>
    <x v="1"/>
    <x v="1"/>
    <x v="7"/>
    <x v="7"/>
    <x v="234"/>
    <x v="0"/>
    <s v="Labels"/>
    <x v="232"/>
    <n v="445.35"/>
    <n v="66"/>
    <n v="29393.100000000002"/>
    <s v="S324"/>
    <x v="3"/>
    <s v="W49"/>
    <x v="3"/>
    <s v="FedEx"/>
    <s v="Cape Town-São Paulo"/>
    <n v="2976"/>
    <n v="307"/>
    <x v="0"/>
    <n v="17"/>
    <n v="1728.3"/>
    <n v="384.37"/>
    <n v="2112.67"/>
    <s v="Delayed"/>
    <n v="1"/>
    <n v="99.21"/>
    <n v="397"/>
    <n v="357"/>
    <n v="0.70990255376344091"/>
  </r>
  <r>
    <x v="264"/>
    <s v="C5050"/>
    <x v="241"/>
    <d v="2023-11-10T00:00:00"/>
    <x v="2"/>
    <x v="4"/>
    <x v="5"/>
    <x v="2"/>
    <x v="235"/>
    <x v="2"/>
    <s v="Accessories"/>
    <x v="233"/>
    <n v="416.73"/>
    <n v="55"/>
    <n v="22920.15"/>
    <s v="S728"/>
    <x v="1"/>
    <s v="W22"/>
    <x v="1"/>
    <s v="FedEx"/>
    <s v="New York-São Paulo"/>
    <n v="3139"/>
    <n v="426"/>
    <x v="0"/>
    <n v="26"/>
    <n v="462.45"/>
    <n v="57.85"/>
    <n v="520.29999999999995"/>
    <s v="Delayed"/>
    <n v="14"/>
    <n v="84.13"/>
    <n v="141"/>
    <n v="99"/>
    <n v="0.16575342465753423"/>
  </r>
  <r>
    <x v="265"/>
    <s v="C8685"/>
    <x v="242"/>
    <d v="2022-08-18T00:00:00"/>
    <x v="2"/>
    <x v="3"/>
    <x v="0"/>
    <x v="3"/>
    <x v="236"/>
    <x v="2"/>
    <s v="Phones"/>
    <x v="234"/>
    <n v="173.54"/>
    <n v="81"/>
    <n v="14056.74"/>
    <s v="S386"/>
    <x v="4"/>
    <s v="W12"/>
    <x v="0"/>
    <s v="DHL"/>
    <s v="Cape Town-London"/>
    <n v="2072"/>
    <n v="330"/>
    <x v="0"/>
    <n v="20"/>
    <n v="1515.71"/>
    <n v="50.61"/>
    <n v="1566.32"/>
    <s v="On-time"/>
    <n v="0"/>
    <n v="76.040000000000006"/>
    <n v="375"/>
    <n v="346"/>
    <n v="0.75594594594594589"/>
  </r>
  <r>
    <x v="266"/>
    <s v="C6912"/>
    <x v="243"/>
    <d v="2020-06-09T00:00:00"/>
    <x v="2"/>
    <x v="3"/>
    <x v="0"/>
    <x v="4"/>
    <x v="237"/>
    <x v="1"/>
    <s v="Tables"/>
    <x v="235"/>
    <n v="432.25"/>
    <n v="47"/>
    <n v="20315.75"/>
    <s v="S858"/>
    <x v="4"/>
    <s v="W1"/>
    <x v="2"/>
    <s v="FedEx"/>
    <s v="London-Cape Town"/>
    <n v="1849"/>
    <n v="493"/>
    <x v="0"/>
    <n v="7"/>
    <n v="1361.42"/>
    <n v="222.7"/>
    <n v="1584.12"/>
    <s v="On-time"/>
    <n v="0"/>
    <n v="81.34"/>
    <n v="454"/>
    <n v="445"/>
    <n v="0.85674418604651159"/>
  </r>
  <r>
    <x v="267"/>
    <s v="C7168"/>
    <x v="244"/>
    <d v="2020-03-07T00:00:00"/>
    <x v="2"/>
    <x v="3"/>
    <x v="5"/>
    <x v="7"/>
    <x v="238"/>
    <x v="1"/>
    <s v="Tables"/>
    <x v="236"/>
    <n v="475.08"/>
    <n v="63"/>
    <n v="29930.039999999997"/>
    <s v="S716"/>
    <x v="1"/>
    <s v="W44"/>
    <x v="3"/>
    <s v="BlueDart"/>
    <s v="Berlin-Cape Town"/>
    <n v="4734"/>
    <n v="342"/>
    <x v="0"/>
    <n v="7"/>
    <n v="1054.43"/>
    <n v="72.52"/>
    <n v="1126.95"/>
    <s v="On-time"/>
    <n v="0"/>
    <n v="78.94"/>
    <n v="132"/>
    <n v="98"/>
    <n v="0.23805449936628645"/>
  </r>
  <r>
    <x v="268"/>
    <s v="C7880"/>
    <x v="245"/>
    <d v="2024-07-07T00:00:00"/>
    <x v="2"/>
    <x v="0"/>
    <x v="7"/>
    <x v="1"/>
    <x v="239"/>
    <x v="0"/>
    <s v="Envelopes"/>
    <x v="237"/>
    <n v="30.12"/>
    <n v="32"/>
    <n v="963.84"/>
    <s v="S811"/>
    <x v="4"/>
    <s v="W25"/>
    <x v="1"/>
    <s v="UPS"/>
    <s v="Mumbai-Beijing"/>
    <n v="1408"/>
    <n v="115"/>
    <x v="0"/>
    <n v="18"/>
    <n v="1216.07"/>
    <n v="463.02"/>
    <n v="1679.09"/>
    <s v="On-time"/>
    <n v="0"/>
    <n v="93.76"/>
    <n v="489"/>
    <n v="452"/>
    <n v="1.1925355113636362"/>
  </r>
  <r>
    <x v="269"/>
    <s v="C4612"/>
    <x v="246"/>
    <d v="2021-03-04T00:00:00"/>
    <x v="2"/>
    <x v="1"/>
    <x v="6"/>
    <x v="5"/>
    <x v="240"/>
    <x v="2"/>
    <s v="Phones"/>
    <x v="238"/>
    <n v="493.07"/>
    <n v="81"/>
    <n v="39938.67"/>
    <s v="S844"/>
    <x v="0"/>
    <s v="W27"/>
    <x v="2"/>
    <s v="FedEx"/>
    <s v="Beijing-New York"/>
    <n v="4156"/>
    <n v="420"/>
    <x v="0"/>
    <n v="4"/>
    <n v="1147.3499999999999"/>
    <n v="423.92"/>
    <n v="1571.27"/>
    <s v="On-time"/>
    <n v="0"/>
    <n v="74.25"/>
    <n v="93"/>
    <n v="43"/>
    <n v="0.37807266602502404"/>
  </r>
  <r>
    <x v="270"/>
    <s v="C6418"/>
    <x v="247"/>
    <d v="2020-01-19T00:00:00"/>
    <x v="0"/>
    <x v="2"/>
    <x v="0"/>
    <x v="1"/>
    <x v="241"/>
    <x v="1"/>
    <s v="Tables"/>
    <x v="239"/>
    <n v="435.59"/>
    <n v="52"/>
    <n v="22650.68"/>
    <s v="S717"/>
    <x v="3"/>
    <s v="W10"/>
    <x v="3"/>
    <s v="BlueDart"/>
    <s v="Toronto-Toronto"/>
    <n v="2643"/>
    <n v="416"/>
    <x v="0"/>
    <n v="19"/>
    <n v="1403.83"/>
    <n v="261.3"/>
    <n v="1665.13"/>
    <s v="On-time"/>
    <n v="0"/>
    <n v="73.540000000000006"/>
    <n v="59"/>
    <n v="96"/>
    <n v="0.63001513431706402"/>
  </r>
  <r>
    <x v="271"/>
    <s v="C5427"/>
    <x v="139"/>
    <d v="2024-06-30T00:00:00"/>
    <x v="2"/>
    <x v="4"/>
    <x v="1"/>
    <x v="0"/>
    <x v="242"/>
    <x v="1"/>
    <s v="Bookcases"/>
    <x v="240"/>
    <n v="225.36"/>
    <n v="25"/>
    <n v="5634"/>
    <s v="S108"/>
    <x v="3"/>
    <s v="W43"/>
    <x v="0"/>
    <s v="UPS"/>
    <s v="São Paulo-São Paulo"/>
    <n v="4502"/>
    <n v="461"/>
    <x v="0"/>
    <n v="6"/>
    <n v="1424.26"/>
    <n v="460.25"/>
    <n v="1884.51"/>
    <s v="On-time"/>
    <n v="0"/>
    <n v="70.52"/>
    <n v="331"/>
    <n v="292"/>
    <n v="0.41859395824078188"/>
  </r>
  <r>
    <x v="272"/>
    <s v="C4728"/>
    <x v="248"/>
    <d v="2022-03-30T00:00:00"/>
    <x v="1"/>
    <x v="2"/>
    <x v="1"/>
    <x v="4"/>
    <x v="243"/>
    <x v="1"/>
    <s v="Chairs"/>
    <x v="241"/>
    <n v="189.78"/>
    <n v="7"/>
    <n v="1328.46"/>
    <s v="S858"/>
    <x v="1"/>
    <s v="W3"/>
    <x v="3"/>
    <s v="UPS"/>
    <s v="Toronto-São Paulo"/>
    <n v="1955"/>
    <n v="89"/>
    <x v="0"/>
    <n v="20"/>
    <n v="436.09"/>
    <n v="158.94999999999999"/>
    <n v="595.04"/>
    <s v="On-time"/>
    <n v="0"/>
    <n v="92.32"/>
    <n v="112"/>
    <n v="151"/>
    <n v="0.30436828644501279"/>
  </r>
  <r>
    <x v="273"/>
    <s v="C8477"/>
    <x v="249"/>
    <d v="2021-12-07T00:00:00"/>
    <x v="1"/>
    <x v="1"/>
    <x v="6"/>
    <x v="5"/>
    <x v="244"/>
    <x v="0"/>
    <s v="Art"/>
    <x v="242"/>
    <n v="243.41"/>
    <n v="29"/>
    <n v="7058.89"/>
    <s v="S870"/>
    <x v="3"/>
    <s v="W3"/>
    <x v="0"/>
    <s v="FedEx"/>
    <s v="Toronto-Cape Town"/>
    <n v="3216"/>
    <n v="474"/>
    <x v="0"/>
    <n v="15"/>
    <n v="375.05"/>
    <n v="260.75"/>
    <n v="635.79999999999995"/>
    <s v="On-time"/>
    <n v="0"/>
    <n v="74.52"/>
    <n v="73"/>
    <n v="35"/>
    <n v="0.19769900497512435"/>
  </r>
  <r>
    <x v="274"/>
    <s v="C3431"/>
    <x v="250"/>
    <d v="2021-01-25T00:00:00"/>
    <x v="2"/>
    <x v="1"/>
    <x v="0"/>
    <x v="6"/>
    <x v="245"/>
    <x v="0"/>
    <s v="Art"/>
    <x v="243"/>
    <n v="480.17"/>
    <n v="10"/>
    <n v="4801.7"/>
    <s v="S934"/>
    <x v="1"/>
    <s v="W4"/>
    <x v="2"/>
    <s v="Maersk"/>
    <s v="Cape Town-Berlin"/>
    <n v="2878"/>
    <n v="214"/>
    <x v="0"/>
    <n v="13"/>
    <n v="1121.93"/>
    <n v="499.11"/>
    <n v="1621.04"/>
    <s v="On-time"/>
    <n v="0"/>
    <n v="71.38"/>
    <n v="321"/>
    <n v="362"/>
    <n v="0.5632522585128561"/>
  </r>
  <r>
    <x v="275"/>
    <s v="C1253"/>
    <x v="251"/>
    <d v="2024-11-09T00:00:00"/>
    <x v="1"/>
    <x v="0"/>
    <x v="6"/>
    <x v="3"/>
    <x v="246"/>
    <x v="0"/>
    <s v="Envelopes"/>
    <x v="244"/>
    <n v="405.04"/>
    <n v="93"/>
    <n v="37668.720000000001"/>
    <s v="S482"/>
    <x v="1"/>
    <s v="W49"/>
    <x v="1"/>
    <s v="UPS"/>
    <s v="Mumbai-London"/>
    <n v="4741"/>
    <n v="231"/>
    <x v="0"/>
    <n v="10"/>
    <n v="1939.53"/>
    <n v="42.61"/>
    <n v="1982.14"/>
    <s v="On-time"/>
    <n v="0"/>
    <n v="75.05"/>
    <n v="449"/>
    <n v="483"/>
    <n v="0.4180847922379245"/>
  </r>
  <r>
    <x v="276"/>
    <s v="C4265"/>
    <x v="252"/>
    <d v="2022-04-16T00:00:00"/>
    <x v="0"/>
    <x v="1"/>
    <x v="3"/>
    <x v="1"/>
    <x v="247"/>
    <x v="0"/>
    <s v="Labels"/>
    <x v="245"/>
    <n v="325.02"/>
    <n v="30"/>
    <n v="9750.5999999999985"/>
    <s v="S352"/>
    <x v="0"/>
    <s v="W48"/>
    <x v="2"/>
    <s v="UPS"/>
    <s v="New York-Toronto"/>
    <n v="2800"/>
    <n v="248"/>
    <x v="0"/>
    <n v="12"/>
    <n v="527.46"/>
    <n v="339.63"/>
    <n v="867.09"/>
    <s v="On-time"/>
    <n v="0"/>
    <n v="73.89"/>
    <n v="418"/>
    <n v="423"/>
    <n v="0.30967500000000003"/>
  </r>
  <r>
    <x v="277"/>
    <s v="C1436"/>
    <x v="253"/>
    <d v="2024-04-27T00:00:00"/>
    <x v="1"/>
    <x v="1"/>
    <x v="1"/>
    <x v="3"/>
    <x v="248"/>
    <x v="0"/>
    <s v="Storage"/>
    <x v="246"/>
    <n v="211.95"/>
    <n v="51"/>
    <n v="10809.449999999999"/>
    <s v="S794"/>
    <x v="1"/>
    <s v="W22"/>
    <x v="1"/>
    <s v="DHL"/>
    <s v="Mumbai-New York"/>
    <n v="4698"/>
    <n v="377"/>
    <x v="0"/>
    <n v="17"/>
    <n v="383.6"/>
    <n v="307.68"/>
    <n v="691.28"/>
    <s v="On-time"/>
    <n v="0"/>
    <n v="82.64"/>
    <n v="464"/>
    <n v="419"/>
    <n v="0.14714346530438485"/>
  </r>
  <r>
    <x v="278"/>
    <s v="C5317"/>
    <x v="254"/>
    <d v="2022-06-08T00:00:00"/>
    <x v="2"/>
    <x v="1"/>
    <x v="6"/>
    <x v="1"/>
    <x v="249"/>
    <x v="0"/>
    <s v="Storage"/>
    <x v="247"/>
    <n v="211.08"/>
    <n v="7"/>
    <n v="1477.5600000000002"/>
    <s v="S259"/>
    <x v="3"/>
    <s v="W24"/>
    <x v="2"/>
    <s v="Maersk"/>
    <s v="Berlin-Toronto"/>
    <n v="4743"/>
    <n v="53"/>
    <x v="0"/>
    <n v="23"/>
    <n v="1621.75"/>
    <n v="199.73"/>
    <n v="1821.48"/>
    <s v="On-time"/>
    <n v="0"/>
    <n v="91.3"/>
    <n v="123"/>
    <n v="90"/>
    <n v="0.38403542061986085"/>
  </r>
  <r>
    <x v="279"/>
    <s v="C5501"/>
    <x v="255"/>
    <d v="2023-03-19T00:00:00"/>
    <x v="2"/>
    <x v="1"/>
    <x v="7"/>
    <x v="4"/>
    <x v="250"/>
    <x v="2"/>
    <s v="Phones"/>
    <x v="248"/>
    <n v="450.76"/>
    <n v="2"/>
    <n v="901.52"/>
    <s v="S588"/>
    <x v="4"/>
    <s v="W26"/>
    <x v="1"/>
    <s v="Maersk"/>
    <s v="London-Berlin"/>
    <n v="747"/>
    <n v="259"/>
    <x v="0"/>
    <n v="20"/>
    <n v="489.52"/>
    <n v="173.33"/>
    <n v="662.85"/>
    <s v="On-time"/>
    <n v="0"/>
    <n v="92.26"/>
    <n v="301"/>
    <n v="254"/>
    <n v="0.88734939759036147"/>
  </r>
  <r>
    <x v="280"/>
    <s v="C1556"/>
    <x v="225"/>
    <d v="2021-08-14T00:00:00"/>
    <x v="2"/>
    <x v="4"/>
    <x v="1"/>
    <x v="4"/>
    <x v="251"/>
    <x v="1"/>
    <s v="Chairs"/>
    <x v="249"/>
    <n v="108.24"/>
    <n v="33"/>
    <n v="3571.9199999999996"/>
    <s v="S738"/>
    <x v="1"/>
    <s v="W25"/>
    <x v="0"/>
    <s v="DHL"/>
    <s v="Beijing-Cape Town"/>
    <n v="307"/>
    <n v="88"/>
    <x v="0"/>
    <n v="5"/>
    <n v="652.41"/>
    <n v="28.53"/>
    <n v="680.93999999999994"/>
    <s v="On-time"/>
    <n v="0"/>
    <n v="98.29"/>
    <n v="151"/>
    <n v="118"/>
    <n v="2.218045602605863"/>
  </r>
  <r>
    <x v="281"/>
    <s v="C8849"/>
    <x v="256"/>
    <d v="2022-07-01T00:00:00"/>
    <x v="0"/>
    <x v="0"/>
    <x v="5"/>
    <x v="3"/>
    <x v="252"/>
    <x v="0"/>
    <s v="Appliances"/>
    <x v="250"/>
    <n v="264.10000000000002"/>
    <n v="39"/>
    <n v="10299.900000000001"/>
    <s v="S289"/>
    <x v="0"/>
    <s v="W15"/>
    <x v="1"/>
    <s v="Maersk"/>
    <s v="New York-Toronto"/>
    <n v="1838"/>
    <n v="208"/>
    <x v="0"/>
    <n v="25"/>
    <n v="375.52"/>
    <n v="382.97"/>
    <n v="758.49"/>
    <s v="On-time"/>
    <n v="0"/>
    <n v="82.74"/>
    <n v="355"/>
    <n v="312"/>
    <n v="0.4126713819368879"/>
  </r>
  <r>
    <x v="282"/>
    <s v="C9951"/>
    <x v="257"/>
    <d v="2023-05-18T00:00:00"/>
    <x v="1"/>
    <x v="1"/>
    <x v="1"/>
    <x v="1"/>
    <x v="212"/>
    <x v="0"/>
    <s v="Art"/>
    <x v="210"/>
    <n v="355.03"/>
    <n v="53"/>
    <n v="18816.59"/>
    <s v="S307"/>
    <x v="1"/>
    <s v="W39"/>
    <x v="2"/>
    <s v="UPS"/>
    <s v="London-São Paulo"/>
    <n v="1985"/>
    <n v="143"/>
    <x v="0"/>
    <n v="27"/>
    <n v="1764.97"/>
    <n v="295.01"/>
    <n v="2059.98"/>
    <s v="On-time"/>
    <n v="0"/>
    <n v="89.53"/>
    <n v="277"/>
    <n v="294"/>
    <n v="1.0377732997481108"/>
  </r>
  <r>
    <x v="283"/>
    <s v="C9176"/>
    <x v="258"/>
    <d v="2023-01-09T00:00:00"/>
    <x v="1"/>
    <x v="4"/>
    <x v="2"/>
    <x v="3"/>
    <x v="253"/>
    <x v="0"/>
    <s v="Binders"/>
    <x v="251"/>
    <n v="441.94"/>
    <n v="76"/>
    <n v="33587.440000000002"/>
    <s v="S931"/>
    <x v="0"/>
    <s v="W18"/>
    <x v="0"/>
    <s v="BlueDart"/>
    <s v="Berlin-Cape Town"/>
    <n v="4650"/>
    <n v="366"/>
    <x v="0"/>
    <n v="18"/>
    <n v="352.92"/>
    <n v="377.69"/>
    <n v="730.61"/>
    <s v="On-time"/>
    <n v="0"/>
    <n v="73.06"/>
    <n v="168"/>
    <n v="166"/>
    <n v="0.15712043010752688"/>
  </r>
  <r>
    <x v="284"/>
    <s v="C9957"/>
    <x v="259"/>
    <d v="2024-07-22T00:00:00"/>
    <x v="2"/>
    <x v="0"/>
    <x v="6"/>
    <x v="4"/>
    <x v="254"/>
    <x v="0"/>
    <s v="Binders"/>
    <x v="252"/>
    <n v="277.82"/>
    <n v="10"/>
    <n v="2778.2"/>
    <s v="S442"/>
    <x v="4"/>
    <s v="W22"/>
    <x v="0"/>
    <s v="FedEx"/>
    <s v="Beijing-Beijing"/>
    <n v="754"/>
    <n v="472"/>
    <x v="0"/>
    <n v="5"/>
    <n v="171.92"/>
    <n v="214.1"/>
    <n v="386.02"/>
    <s v="On-time"/>
    <n v="0"/>
    <n v="92"/>
    <n v="70"/>
    <n v="67"/>
    <n v="0.51196286472148533"/>
  </r>
  <r>
    <x v="285"/>
    <s v="C5263"/>
    <x v="260"/>
    <d v="2020-05-30T00:00:00"/>
    <x v="1"/>
    <x v="3"/>
    <x v="3"/>
    <x v="4"/>
    <x v="255"/>
    <x v="0"/>
    <s v="Binders"/>
    <x v="253"/>
    <n v="204.53"/>
    <n v="95"/>
    <n v="19430.349999999999"/>
    <s v="S205"/>
    <x v="4"/>
    <s v="W26"/>
    <x v="3"/>
    <s v="Maersk"/>
    <s v="Toronto-Beijing"/>
    <n v="4586"/>
    <n v="84"/>
    <x v="0"/>
    <n v="28"/>
    <n v="506.68"/>
    <n v="455.44"/>
    <n v="962.12"/>
    <s v="On-time"/>
    <n v="0"/>
    <n v="84.7"/>
    <n v="163"/>
    <n v="169"/>
    <n v="0.20979502834714348"/>
  </r>
  <r>
    <x v="286"/>
    <s v="C1060"/>
    <x v="261"/>
    <d v="2020-01-30T00:00:00"/>
    <x v="2"/>
    <x v="2"/>
    <x v="5"/>
    <x v="7"/>
    <x v="256"/>
    <x v="0"/>
    <s v="Binders"/>
    <x v="254"/>
    <n v="5.26"/>
    <n v="37"/>
    <n v="194.62"/>
    <s v="S770"/>
    <x v="4"/>
    <s v="W18"/>
    <x v="1"/>
    <s v="FedEx"/>
    <s v="Berlin-Toronto"/>
    <n v="4449"/>
    <n v="78"/>
    <x v="0"/>
    <n v="11"/>
    <n v="1410.36"/>
    <n v="319.13"/>
    <n v="1729.49"/>
    <s v="On-time"/>
    <n v="0"/>
    <n v="91.6"/>
    <n v="331"/>
    <n v="298"/>
    <n v="0.38873679478534501"/>
  </r>
  <r>
    <x v="287"/>
    <s v="C2259"/>
    <x v="262"/>
    <d v="2021-05-23T00:00:00"/>
    <x v="2"/>
    <x v="0"/>
    <x v="5"/>
    <x v="6"/>
    <x v="257"/>
    <x v="0"/>
    <s v="Binders"/>
    <x v="255"/>
    <n v="90.94"/>
    <n v="66"/>
    <n v="6002.04"/>
    <s v="S954"/>
    <x v="4"/>
    <s v="W31"/>
    <x v="1"/>
    <s v="UPS"/>
    <s v="New York-New York"/>
    <n v="2293"/>
    <n v="254"/>
    <x v="0"/>
    <n v="16"/>
    <n v="1546.22"/>
    <n v="104.3"/>
    <n v="1650.52"/>
    <s v="On-time"/>
    <n v="0"/>
    <n v="77.78"/>
    <n v="333"/>
    <n v="335"/>
    <n v="0.71980811164413427"/>
  </r>
  <r>
    <x v="288"/>
    <s v="C5024"/>
    <x v="263"/>
    <d v="2023-12-04T00:00:00"/>
    <x v="0"/>
    <x v="4"/>
    <x v="1"/>
    <x v="3"/>
    <x v="258"/>
    <x v="2"/>
    <s v="Accessories"/>
    <x v="256"/>
    <n v="365.09"/>
    <n v="53"/>
    <n v="19349.77"/>
    <s v="S511"/>
    <x v="0"/>
    <s v="W35"/>
    <x v="1"/>
    <s v="BlueDart"/>
    <s v="New York-Toronto"/>
    <n v="285"/>
    <n v="402"/>
    <x v="1"/>
    <n v="19"/>
    <n v="53.83"/>
    <n v="291.73"/>
    <n v="345.56"/>
    <s v="On-time"/>
    <n v="0"/>
    <n v="77.08"/>
    <n v="267"/>
    <n v="224"/>
    <n v="1.2124912280701754"/>
  </r>
  <r>
    <x v="289"/>
    <s v="C7303"/>
    <x v="264"/>
    <d v="2022-09-29T00:00:00"/>
    <x v="2"/>
    <x v="1"/>
    <x v="4"/>
    <x v="0"/>
    <x v="259"/>
    <x v="0"/>
    <s v="Binders"/>
    <x v="257"/>
    <n v="21.97"/>
    <n v="57"/>
    <n v="1252.29"/>
    <s v="S295"/>
    <x v="2"/>
    <s v="W42"/>
    <x v="1"/>
    <s v="BlueDart"/>
    <s v="New York-London"/>
    <n v="2866"/>
    <n v="162"/>
    <x v="0"/>
    <n v="27"/>
    <n v="1151.29"/>
    <n v="93.95"/>
    <n v="1245.24"/>
    <s v="On-time"/>
    <n v="0"/>
    <n v="96.48"/>
    <n v="59"/>
    <n v="23"/>
    <n v="0.43448709002093511"/>
  </r>
  <r>
    <x v="290"/>
    <s v="C1289"/>
    <x v="265"/>
    <d v="2024-07-07T00:00:00"/>
    <x v="2"/>
    <x v="2"/>
    <x v="4"/>
    <x v="0"/>
    <x v="260"/>
    <x v="0"/>
    <s v="Binders"/>
    <x v="258"/>
    <n v="110.03"/>
    <n v="65"/>
    <n v="7151.95"/>
    <s v="S593"/>
    <x v="3"/>
    <s v="W26"/>
    <x v="2"/>
    <s v="Maersk"/>
    <s v="São Paulo-Cape Town"/>
    <n v="83"/>
    <n v="333"/>
    <x v="1"/>
    <n v="4"/>
    <n v="140.91999999999999"/>
    <n v="89.97"/>
    <n v="230.89"/>
    <s v="On-time"/>
    <n v="0"/>
    <n v="94.85"/>
    <n v="249"/>
    <n v="251"/>
    <n v="2.7818072289156626"/>
  </r>
  <r>
    <x v="291"/>
    <s v="C4025"/>
    <x v="266"/>
    <d v="2023-10-03T00:00:00"/>
    <x v="1"/>
    <x v="3"/>
    <x v="1"/>
    <x v="2"/>
    <x v="247"/>
    <x v="0"/>
    <s v="Labels"/>
    <x v="245"/>
    <n v="101.92"/>
    <n v="7"/>
    <n v="713.44"/>
    <s v="S258"/>
    <x v="0"/>
    <s v="W34"/>
    <x v="0"/>
    <s v="FedEx"/>
    <s v="Cape Town-São Paulo"/>
    <n v="2030"/>
    <n v="487"/>
    <x v="0"/>
    <n v="11"/>
    <n v="1122.43"/>
    <n v="216.32"/>
    <n v="1338.75"/>
    <s v="On-time"/>
    <n v="0"/>
    <n v="71.97"/>
    <n v="260"/>
    <n v="239"/>
    <n v="0.65948275862068961"/>
  </r>
  <r>
    <x v="292"/>
    <s v="C4479"/>
    <x v="267"/>
    <d v="2023-02-13T00:00:00"/>
    <x v="2"/>
    <x v="3"/>
    <x v="1"/>
    <x v="0"/>
    <x v="261"/>
    <x v="0"/>
    <s v="Storage"/>
    <x v="259"/>
    <n v="33.07"/>
    <n v="65"/>
    <n v="2149.5500000000002"/>
    <s v="S262"/>
    <x v="3"/>
    <s v="W41"/>
    <x v="0"/>
    <s v="FedEx"/>
    <s v="Toronto-Mumbai"/>
    <n v="608"/>
    <n v="168"/>
    <x v="0"/>
    <n v="12"/>
    <n v="73.69"/>
    <n v="273.7"/>
    <n v="347.39"/>
    <s v="On-time"/>
    <n v="0"/>
    <n v="87.06"/>
    <n v="427"/>
    <n v="472"/>
    <n v="0.57136513157894731"/>
  </r>
  <r>
    <x v="293"/>
    <s v="C4099"/>
    <x v="268"/>
    <d v="2023-03-14T00:00:00"/>
    <x v="1"/>
    <x v="1"/>
    <x v="5"/>
    <x v="3"/>
    <x v="262"/>
    <x v="1"/>
    <s v="Furnishings"/>
    <x v="260"/>
    <n v="144.46"/>
    <n v="56"/>
    <n v="8089.76"/>
    <s v="S942"/>
    <x v="1"/>
    <s v="W44"/>
    <x v="1"/>
    <s v="BlueDart"/>
    <s v="Toronto-Mumbai"/>
    <n v="1851"/>
    <n v="172"/>
    <x v="0"/>
    <n v="1"/>
    <n v="1762.62"/>
    <n v="303.47000000000003"/>
    <n v="2066.09"/>
    <s v="On-time"/>
    <n v="0"/>
    <n v="84.33"/>
    <n v="378"/>
    <n v="328"/>
    <n v="1.1162020529443544"/>
  </r>
  <r>
    <x v="294"/>
    <s v="C1136"/>
    <x v="269"/>
    <d v="2024-05-31T00:00:00"/>
    <x v="2"/>
    <x v="2"/>
    <x v="7"/>
    <x v="4"/>
    <x v="263"/>
    <x v="0"/>
    <s v="Appliances"/>
    <x v="261"/>
    <n v="396.52"/>
    <n v="35"/>
    <n v="13878.199999999999"/>
    <s v="S425"/>
    <x v="2"/>
    <s v="W47"/>
    <x v="1"/>
    <s v="DHL"/>
    <s v="Berlin-New York"/>
    <n v="1721"/>
    <n v="73"/>
    <x v="0"/>
    <n v="8"/>
    <n v="1945.35"/>
    <n v="348.3"/>
    <n v="2293.65"/>
    <s v="On-time"/>
    <n v="0"/>
    <n v="71.03"/>
    <n v="369"/>
    <n v="403"/>
    <n v="1.3327425915165603"/>
  </r>
  <r>
    <x v="295"/>
    <s v="C3730"/>
    <x v="270"/>
    <d v="2020-03-03T00:00:00"/>
    <x v="1"/>
    <x v="3"/>
    <x v="6"/>
    <x v="5"/>
    <x v="264"/>
    <x v="0"/>
    <s v="Paper"/>
    <x v="262"/>
    <n v="138.62"/>
    <n v="47"/>
    <n v="6515.14"/>
    <s v="S256"/>
    <x v="2"/>
    <s v="W45"/>
    <x v="3"/>
    <s v="Maersk"/>
    <s v="Beijing-Berlin"/>
    <n v="992"/>
    <n v="349"/>
    <x v="0"/>
    <n v="16"/>
    <n v="904.79"/>
    <n v="473.67"/>
    <n v="1378.46"/>
    <s v="On-time"/>
    <n v="0"/>
    <n v="88.19"/>
    <n v="405"/>
    <n v="360"/>
    <n v="1.3895766129032259"/>
  </r>
  <r>
    <x v="296"/>
    <s v="C4953"/>
    <x v="271"/>
    <d v="2024-07-06T00:00:00"/>
    <x v="1"/>
    <x v="4"/>
    <x v="1"/>
    <x v="1"/>
    <x v="265"/>
    <x v="0"/>
    <s v="Paper"/>
    <x v="263"/>
    <n v="305.33"/>
    <n v="12"/>
    <n v="3663.96"/>
    <s v="S611"/>
    <x v="0"/>
    <s v="W4"/>
    <x v="3"/>
    <s v="Maersk"/>
    <s v="Cape Town-Cape Town"/>
    <n v="3362"/>
    <n v="430"/>
    <x v="0"/>
    <n v="21"/>
    <n v="405.48"/>
    <n v="206.84"/>
    <n v="612.32000000000005"/>
    <s v="On-time"/>
    <n v="0"/>
    <n v="85.83"/>
    <n v="111"/>
    <n v="115"/>
    <n v="0.18212968471148128"/>
  </r>
  <r>
    <x v="297"/>
    <s v="C3986"/>
    <x v="272"/>
    <d v="2022-07-24T00:00:00"/>
    <x v="2"/>
    <x v="4"/>
    <x v="3"/>
    <x v="3"/>
    <x v="266"/>
    <x v="0"/>
    <s v="Paper"/>
    <x v="264"/>
    <n v="238.75"/>
    <n v="56"/>
    <n v="13370"/>
    <s v="S815"/>
    <x v="4"/>
    <s v="W39"/>
    <x v="1"/>
    <s v="DHL"/>
    <s v="Beijing-London"/>
    <n v="4978"/>
    <n v="253"/>
    <x v="0"/>
    <n v="15"/>
    <n v="1984.19"/>
    <n v="49.04"/>
    <n v="2033.23"/>
    <s v="On-time"/>
    <n v="0"/>
    <n v="91.56"/>
    <n v="164"/>
    <n v="176"/>
    <n v="0.40844314985938129"/>
  </r>
  <r>
    <x v="298"/>
    <s v="C5328"/>
    <x v="273"/>
    <d v="2021-10-31T00:00:00"/>
    <x v="2"/>
    <x v="2"/>
    <x v="0"/>
    <x v="7"/>
    <x v="267"/>
    <x v="2"/>
    <s v="Phones"/>
    <x v="265"/>
    <n v="309.58"/>
    <n v="9"/>
    <n v="2786.22"/>
    <s v="S806"/>
    <x v="3"/>
    <s v="W17"/>
    <x v="1"/>
    <s v="FedEx"/>
    <s v="Berlin-London"/>
    <n v="4543"/>
    <n v="482"/>
    <x v="0"/>
    <n v="16"/>
    <n v="269"/>
    <n v="55.68"/>
    <n v="324.68"/>
    <s v="On-time"/>
    <n v="0"/>
    <n v="92.82"/>
    <n v="365"/>
    <n v="391"/>
    <n v="7.1468192824125032E-2"/>
  </r>
  <r>
    <x v="299"/>
    <s v="C5041"/>
    <x v="210"/>
    <d v="2022-07-22T00:00:00"/>
    <x v="2"/>
    <x v="1"/>
    <x v="5"/>
    <x v="0"/>
    <x v="268"/>
    <x v="0"/>
    <s v="Envelopes"/>
    <x v="27"/>
    <n v="363.21"/>
    <n v="34"/>
    <n v="12349.14"/>
    <s v="S939"/>
    <x v="3"/>
    <s v="W5"/>
    <x v="0"/>
    <s v="UPS"/>
    <s v="Mumbai-Mumbai"/>
    <n v="2032"/>
    <n v="95"/>
    <x v="0"/>
    <n v="25"/>
    <n v="1697.48"/>
    <n v="289.43"/>
    <n v="1986.91"/>
    <s v="On-time"/>
    <n v="0"/>
    <n v="78.680000000000007"/>
    <n v="381"/>
    <n v="399"/>
    <n v="0.97781003937007882"/>
  </r>
  <r>
    <x v="300"/>
    <s v="C6749"/>
    <x v="34"/>
    <d v="2023-01-14T00:00:00"/>
    <x v="2"/>
    <x v="3"/>
    <x v="4"/>
    <x v="2"/>
    <x v="110"/>
    <x v="2"/>
    <s v="Accessories"/>
    <x v="109"/>
    <n v="345.87"/>
    <n v="62"/>
    <n v="21443.94"/>
    <s v="S914"/>
    <x v="1"/>
    <s v="W39"/>
    <x v="3"/>
    <s v="DHL"/>
    <s v="New York-São Paulo"/>
    <n v="3903"/>
    <n v="482"/>
    <x v="0"/>
    <n v="26"/>
    <n v="404.86"/>
    <n v="196.95"/>
    <n v="601.80999999999995"/>
    <s v="On-time"/>
    <n v="0"/>
    <n v="80.16"/>
    <n v="415"/>
    <n v="425"/>
    <n v="0.15419164745067895"/>
  </r>
  <r>
    <x v="301"/>
    <s v="C7019"/>
    <x v="184"/>
    <d v="2021-01-10T00:00:00"/>
    <x v="0"/>
    <x v="0"/>
    <x v="0"/>
    <x v="5"/>
    <x v="119"/>
    <x v="2"/>
    <s v="Accessories"/>
    <x v="118"/>
    <n v="177.83"/>
    <n v="50"/>
    <n v="8891.5"/>
    <s v="S948"/>
    <x v="4"/>
    <s v="W41"/>
    <x v="3"/>
    <s v="FedEx"/>
    <s v="Berlin-London"/>
    <n v="4429"/>
    <n v="117"/>
    <x v="0"/>
    <n v="26"/>
    <n v="334.83"/>
    <n v="80.260000000000005"/>
    <n v="415.09"/>
    <s v="On-time"/>
    <n v="0"/>
    <n v="87.83"/>
    <n v="65"/>
    <n v="31"/>
    <n v="9.3720930232558133E-2"/>
  </r>
  <r>
    <x v="302"/>
    <s v="C6162"/>
    <x v="274"/>
    <d v="2024-12-23T00:00:00"/>
    <x v="2"/>
    <x v="3"/>
    <x v="1"/>
    <x v="7"/>
    <x v="269"/>
    <x v="1"/>
    <s v="Furnishings"/>
    <x v="266"/>
    <n v="184.33"/>
    <n v="82"/>
    <n v="15115.060000000001"/>
    <s v="S948"/>
    <x v="2"/>
    <s v="W4"/>
    <x v="1"/>
    <s v="BlueDart"/>
    <s v="London-New York"/>
    <n v="3932"/>
    <n v="319"/>
    <x v="0"/>
    <n v="9"/>
    <n v="1592.65"/>
    <n v="161.07"/>
    <n v="1753.72"/>
    <s v="On-time"/>
    <n v="0"/>
    <n v="77.31"/>
    <n v="123"/>
    <n v="142"/>
    <n v="0.4460122075279756"/>
  </r>
  <r>
    <x v="303"/>
    <s v="C4910"/>
    <x v="275"/>
    <d v="2023-01-05T00:00:00"/>
    <x v="2"/>
    <x v="3"/>
    <x v="2"/>
    <x v="0"/>
    <x v="270"/>
    <x v="0"/>
    <s v="Art"/>
    <x v="267"/>
    <n v="340.66"/>
    <n v="84"/>
    <n v="28615.440000000002"/>
    <s v="S478"/>
    <x v="0"/>
    <s v="W13"/>
    <x v="3"/>
    <s v="Maersk"/>
    <s v="New York-Toronto"/>
    <n v="3647"/>
    <n v="454"/>
    <x v="0"/>
    <n v="19"/>
    <n v="50.33"/>
    <n v="82.03"/>
    <n v="132.36000000000001"/>
    <s v="Delayed"/>
    <n v="4"/>
    <n v="95.52"/>
    <n v="399"/>
    <n v="368"/>
    <n v="3.6292843432958598E-2"/>
  </r>
  <r>
    <x v="304"/>
    <s v="C8208"/>
    <x v="276"/>
    <d v="2020-11-18T00:00:00"/>
    <x v="2"/>
    <x v="2"/>
    <x v="2"/>
    <x v="0"/>
    <x v="271"/>
    <x v="0"/>
    <s v="Binders"/>
    <x v="268"/>
    <n v="433.4"/>
    <n v="76"/>
    <n v="32938.400000000001"/>
    <s v="S235"/>
    <x v="1"/>
    <s v="W35"/>
    <x v="2"/>
    <s v="DHL"/>
    <s v="Mumbai-Cape Town"/>
    <n v="2468"/>
    <n v="131"/>
    <x v="0"/>
    <n v="6"/>
    <n v="1819.76"/>
    <n v="145.19"/>
    <n v="1964.95"/>
    <s v="Delayed"/>
    <n v="10"/>
    <n v="75.8"/>
    <n v="407"/>
    <n v="402"/>
    <n v="0.7961709886547812"/>
  </r>
  <r>
    <x v="305"/>
    <s v="C5106"/>
    <x v="277"/>
    <d v="2023-01-11T00:00:00"/>
    <x v="0"/>
    <x v="2"/>
    <x v="6"/>
    <x v="0"/>
    <x v="272"/>
    <x v="0"/>
    <s v="Labels"/>
    <x v="269"/>
    <n v="375.69"/>
    <n v="41"/>
    <n v="15403.289999999999"/>
    <s v="S609"/>
    <x v="4"/>
    <s v="W27"/>
    <x v="3"/>
    <s v="Maersk"/>
    <s v="Beijing-São Paulo"/>
    <n v="129"/>
    <n v="128"/>
    <x v="0"/>
    <n v="9"/>
    <n v="1754.62"/>
    <n v="144.32"/>
    <n v="1898.94"/>
    <s v="On-time"/>
    <n v="0"/>
    <n v="72.11"/>
    <n v="232"/>
    <n v="188"/>
    <n v="14.720465116279071"/>
  </r>
  <r>
    <x v="306"/>
    <s v="C2734"/>
    <x v="278"/>
    <d v="2021-09-01T00:00:00"/>
    <x v="1"/>
    <x v="3"/>
    <x v="0"/>
    <x v="5"/>
    <x v="191"/>
    <x v="0"/>
    <s v="Paper"/>
    <x v="190"/>
    <n v="82.76"/>
    <n v="77"/>
    <n v="6372.52"/>
    <s v="S214"/>
    <x v="3"/>
    <s v="W27"/>
    <x v="2"/>
    <s v="Maersk"/>
    <s v="Beijing-London"/>
    <n v="1851"/>
    <n v="112"/>
    <x v="0"/>
    <n v="28"/>
    <n v="1596.99"/>
    <n v="176.93"/>
    <n v="1773.92"/>
    <s v="Delayed"/>
    <n v="14"/>
    <n v="83.36"/>
    <n v="158"/>
    <n v="130"/>
    <n v="0.95835764451647765"/>
  </r>
  <r>
    <x v="307"/>
    <s v="C5402"/>
    <x v="279"/>
    <d v="2024-12-10T00:00:00"/>
    <x v="2"/>
    <x v="1"/>
    <x v="0"/>
    <x v="4"/>
    <x v="273"/>
    <x v="0"/>
    <s v="Paper"/>
    <x v="270"/>
    <n v="81.53"/>
    <n v="50"/>
    <n v="4076.5"/>
    <s v="S240"/>
    <x v="0"/>
    <s v="W25"/>
    <x v="2"/>
    <s v="FedEx"/>
    <s v="São Paulo-London"/>
    <n v="4826"/>
    <n v="189"/>
    <x v="0"/>
    <n v="10"/>
    <n v="967.82"/>
    <n v="329.7"/>
    <n v="1297.52"/>
    <s v="On-time"/>
    <n v="0"/>
    <n v="83.75"/>
    <n v="448"/>
    <n v="465"/>
    <n v="0.26886033982594282"/>
  </r>
  <r>
    <x v="308"/>
    <s v="C3039"/>
    <x v="280"/>
    <d v="2022-04-23T00:00:00"/>
    <x v="2"/>
    <x v="0"/>
    <x v="0"/>
    <x v="0"/>
    <x v="274"/>
    <x v="0"/>
    <s v="Storage"/>
    <x v="271"/>
    <n v="337.23"/>
    <n v="32"/>
    <n v="10791.36"/>
    <s v="S780"/>
    <x v="3"/>
    <s v="W46"/>
    <x v="3"/>
    <s v="UPS"/>
    <s v="Toronto-São Paulo"/>
    <n v="3801"/>
    <n v="464"/>
    <x v="0"/>
    <n v="17"/>
    <n v="1538.88"/>
    <n v="440.06"/>
    <n v="1978.94"/>
    <s v="On-time"/>
    <n v="0"/>
    <n v="99.82"/>
    <n v="433"/>
    <n v="471"/>
    <n v="0.5206366745593265"/>
  </r>
  <r>
    <x v="309"/>
    <s v="C1880"/>
    <x v="281"/>
    <d v="2024-06-17T00:00:00"/>
    <x v="1"/>
    <x v="1"/>
    <x v="4"/>
    <x v="4"/>
    <x v="275"/>
    <x v="2"/>
    <s v="Accessories"/>
    <x v="272"/>
    <n v="162.47"/>
    <n v="12"/>
    <n v="1949.6399999999999"/>
    <s v="S504"/>
    <x v="2"/>
    <s v="W13"/>
    <x v="3"/>
    <s v="DHL"/>
    <s v="New York-Mumbai"/>
    <n v="69"/>
    <n v="339"/>
    <x v="1"/>
    <n v="7"/>
    <n v="232.22"/>
    <n v="187.88"/>
    <n v="420.1"/>
    <s v="On-time"/>
    <n v="0"/>
    <n v="92.21"/>
    <n v="481"/>
    <n v="433"/>
    <n v="6.0884057971014496"/>
  </r>
  <r>
    <x v="310"/>
    <s v="C5408"/>
    <x v="282"/>
    <d v="2021-03-18T00:00:00"/>
    <x v="2"/>
    <x v="3"/>
    <x v="1"/>
    <x v="6"/>
    <x v="276"/>
    <x v="0"/>
    <s v="Art"/>
    <x v="273"/>
    <n v="381.67"/>
    <n v="87"/>
    <n v="33205.29"/>
    <s v="S679"/>
    <x v="4"/>
    <s v="W45"/>
    <x v="0"/>
    <s v="Maersk"/>
    <s v="London-Mumbai"/>
    <n v="3637"/>
    <n v="387"/>
    <x v="0"/>
    <n v="2"/>
    <n v="1327.73"/>
    <n v="57.99"/>
    <n v="1385.72"/>
    <s v="On-time"/>
    <n v="0"/>
    <n v="92.12"/>
    <n v="190"/>
    <n v="225"/>
    <n v="0.38100632389331868"/>
  </r>
  <r>
    <x v="311"/>
    <s v="C1884"/>
    <x v="283"/>
    <d v="2024-07-05T00:00:00"/>
    <x v="2"/>
    <x v="0"/>
    <x v="6"/>
    <x v="4"/>
    <x v="277"/>
    <x v="0"/>
    <s v="Art"/>
    <x v="274"/>
    <n v="34.590000000000003"/>
    <n v="83"/>
    <n v="2870.9700000000003"/>
    <s v="S620"/>
    <x v="1"/>
    <s v="W31"/>
    <x v="2"/>
    <s v="DHL"/>
    <s v="Mumbai-Toronto"/>
    <n v="4274"/>
    <n v="386"/>
    <x v="0"/>
    <n v="22"/>
    <n v="105.9"/>
    <n v="114.25"/>
    <n v="220.15"/>
    <s v="On-time"/>
    <n v="0"/>
    <n v="77.599999999999994"/>
    <n v="120"/>
    <n v="139"/>
    <n v="5.1509124941506786E-2"/>
  </r>
  <r>
    <x v="312"/>
    <s v="C2013"/>
    <x v="284"/>
    <d v="2024-02-11T00:00:00"/>
    <x v="1"/>
    <x v="0"/>
    <x v="6"/>
    <x v="4"/>
    <x v="213"/>
    <x v="0"/>
    <s v="Art"/>
    <x v="211"/>
    <n v="474.38"/>
    <n v="62"/>
    <n v="29411.56"/>
    <s v="S467"/>
    <x v="4"/>
    <s v="W5"/>
    <x v="1"/>
    <s v="BlueDart"/>
    <s v="London-São Paulo"/>
    <n v="4372"/>
    <n v="308"/>
    <x v="0"/>
    <n v="22"/>
    <n v="1808.28"/>
    <n v="385.12"/>
    <n v="2193.4"/>
    <s v="On-time"/>
    <n v="0"/>
    <n v="97.24"/>
    <n v="74"/>
    <n v="113"/>
    <n v="0.5016925892040256"/>
  </r>
  <r>
    <x v="313"/>
    <s v="C4927"/>
    <x v="285"/>
    <d v="2021-03-13T00:00:00"/>
    <x v="1"/>
    <x v="4"/>
    <x v="7"/>
    <x v="3"/>
    <x v="278"/>
    <x v="0"/>
    <s v="Art"/>
    <x v="275"/>
    <n v="81.760000000000005"/>
    <n v="60"/>
    <n v="4905.6000000000004"/>
    <s v="S840"/>
    <x v="4"/>
    <s v="W39"/>
    <x v="1"/>
    <s v="BlueDart"/>
    <s v="Toronto-Berlin"/>
    <n v="3495"/>
    <n v="125"/>
    <x v="0"/>
    <n v="22"/>
    <n v="169.91"/>
    <n v="235.23"/>
    <n v="405.14"/>
    <s v="On-time"/>
    <n v="0"/>
    <n v="84.05"/>
    <n v="109"/>
    <n v="84"/>
    <n v="0.11591988555078683"/>
  </r>
  <r>
    <x v="314"/>
    <s v="C1464"/>
    <x v="286"/>
    <d v="2023-08-15T00:00:00"/>
    <x v="1"/>
    <x v="0"/>
    <x v="2"/>
    <x v="6"/>
    <x v="279"/>
    <x v="0"/>
    <s v="Binders"/>
    <x v="276"/>
    <n v="115.69"/>
    <n v="69"/>
    <n v="7982.61"/>
    <s v="S662"/>
    <x v="1"/>
    <s v="W16"/>
    <x v="0"/>
    <s v="DHL"/>
    <s v="Beijing-Berlin"/>
    <n v="2791"/>
    <n v="174"/>
    <x v="0"/>
    <n v="16"/>
    <n v="245.36"/>
    <n v="367.06"/>
    <n v="612.42000000000007"/>
    <s v="On-time"/>
    <n v="0"/>
    <n v="77.78"/>
    <n v="423"/>
    <n v="383"/>
    <n v="0.21942672877104982"/>
  </r>
  <r>
    <x v="315"/>
    <s v="C5755"/>
    <x v="287"/>
    <d v="2024-10-22T00:00:00"/>
    <x v="2"/>
    <x v="1"/>
    <x v="1"/>
    <x v="7"/>
    <x v="280"/>
    <x v="0"/>
    <s v="Binders"/>
    <x v="277"/>
    <n v="260.05"/>
    <n v="59"/>
    <n v="15342.95"/>
    <s v="S786"/>
    <x v="4"/>
    <s v="W39"/>
    <x v="0"/>
    <s v="Maersk"/>
    <s v="Berlin-São Paulo"/>
    <n v="1081"/>
    <n v="327"/>
    <x v="0"/>
    <n v="27"/>
    <n v="1818.91"/>
    <n v="372.44"/>
    <n v="2191.35"/>
    <s v="On-time"/>
    <n v="0"/>
    <n v="79.650000000000006"/>
    <n v="291"/>
    <n v="260"/>
    <n v="2.0271507863089733"/>
  </r>
  <r>
    <x v="316"/>
    <s v="C7376"/>
    <x v="288"/>
    <d v="2023-11-01T00:00:00"/>
    <x v="1"/>
    <x v="1"/>
    <x v="3"/>
    <x v="6"/>
    <x v="195"/>
    <x v="0"/>
    <s v="Paper"/>
    <x v="194"/>
    <n v="18.329999999999998"/>
    <n v="13"/>
    <n v="238.28999999999996"/>
    <s v="S723"/>
    <x v="2"/>
    <s v="W44"/>
    <x v="1"/>
    <s v="Maersk"/>
    <s v="London-Beijing"/>
    <n v="1012"/>
    <n v="357"/>
    <x v="0"/>
    <n v="28"/>
    <n v="1759.5"/>
    <n v="153.87"/>
    <n v="1913.37"/>
    <s v="On-time"/>
    <n v="0"/>
    <n v="83.64"/>
    <n v="244"/>
    <n v="236"/>
    <n v="1.8906818181818181"/>
  </r>
  <r>
    <x v="317"/>
    <s v="C5809"/>
    <x v="289"/>
    <d v="2022-06-30T00:00:00"/>
    <x v="2"/>
    <x v="4"/>
    <x v="0"/>
    <x v="4"/>
    <x v="281"/>
    <x v="0"/>
    <s v="Paper"/>
    <x v="278"/>
    <n v="161.59"/>
    <n v="49"/>
    <n v="7917.91"/>
    <s v="S200"/>
    <x v="2"/>
    <s v="W36"/>
    <x v="1"/>
    <s v="BlueDart"/>
    <s v="Mumbai-Toronto"/>
    <n v="1119"/>
    <n v="430"/>
    <x v="0"/>
    <n v="22"/>
    <n v="390.29"/>
    <n v="21.3"/>
    <n v="411.59"/>
    <s v="On-time"/>
    <n v="0"/>
    <n v="96.28"/>
    <n v="266"/>
    <n v="226"/>
    <n v="0.36781948168007145"/>
  </r>
  <r>
    <x v="318"/>
    <s v="C1866"/>
    <x v="243"/>
    <d v="2020-11-05T00:00:00"/>
    <x v="2"/>
    <x v="0"/>
    <x v="2"/>
    <x v="6"/>
    <x v="81"/>
    <x v="0"/>
    <s v="Storage"/>
    <x v="80"/>
    <n v="434.8"/>
    <n v="98"/>
    <n v="42610.400000000001"/>
    <s v="S771"/>
    <x v="3"/>
    <s v="W49"/>
    <x v="1"/>
    <s v="UPS"/>
    <s v="Cape Town-Mumbai"/>
    <n v="3115"/>
    <n v="321"/>
    <x v="0"/>
    <n v="27"/>
    <n v="1285.57"/>
    <n v="395.25"/>
    <n v="1680.82"/>
    <s v="On-time"/>
    <n v="0"/>
    <n v="83.3"/>
    <n v="441"/>
    <n v="468"/>
    <n v="0.53958908507223113"/>
  </r>
  <r>
    <x v="319"/>
    <s v="C9816"/>
    <x v="290"/>
    <d v="2021-03-23T00:00:00"/>
    <x v="2"/>
    <x v="4"/>
    <x v="3"/>
    <x v="4"/>
    <x v="282"/>
    <x v="0"/>
    <s v="Storage"/>
    <x v="279"/>
    <n v="148.68"/>
    <n v="12"/>
    <n v="1784.16"/>
    <s v="S892"/>
    <x v="3"/>
    <s v="W14"/>
    <x v="1"/>
    <s v="DHL"/>
    <s v="Cape Town-Mumbai"/>
    <n v="2949"/>
    <n v="360"/>
    <x v="0"/>
    <n v="16"/>
    <n v="847.71"/>
    <n v="457.99"/>
    <n v="1305.7"/>
    <s v="On-time"/>
    <n v="0"/>
    <n v="81.19"/>
    <n v="81"/>
    <n v="74"/>
    <n v="0.44276025771447952"/>
  </r>
  <r>
    <x v="320"/>
    <s v="C8794"/>
    <x v="291"/>
    <d v="2022-12-04T00:00:00"/>
    <x v="1"/>
    <x v="0"/>
    <x v="7"/>
    <x v="0"/>
    <x v="283"/>
    <x v="0"/>
    <s v="Storage"/>
    <x v="280"/>
    <n v="444.98"/>
    <n v="31"/>
    <n v="13794.380000000001"/>
    <s v="S384"/>
    <x v="0"/>
    <s v="W37"/>
    <x v="0"/>
    <s v="FedEx"/>
    <s v="Beijing-London"/>
    <n v="1050"/>
    <n v="259"/>
    <x v="0"/>
    <n v="18"/>
    <n v="1375.21"/>
    <n v="166.39"/>
    <n v="1541.6"/>
    <s v="On-time"/>
    <n v="0"/>
    <n v="89.92"/>
    <n v="378"/>
    <n v="370"/>
    <n v="1.468190476190476"/>
  </r>
  <r>
    <x v="321"/>
    <s v="C8452"/>
    <x v="292"/>
    <d v="2023-03-19T00:00:00"/>
    <x v="2"/>
    <x v="2"/>
    <x v="1"/>
    <x v="1"/>
    <x v="284"/>
    <x v="0"/>
    <s v="Supplies"/>
    <x v="281"/>
    <n v="67.19"/>
    <n v="33"/>
    <n v="2217.27"/>
    <s v="S327"/>
    <x v="0"/>
    <s v="W16"/>
    <x v="1"/>
    <s v="UPS"/>
    <s v="London-Beijing"/>
    <n v="2248"/>
    <n v="74"/>
    <x v="0"/>
    <n v="17"/>
    <n v="1632.49"/>
    <n v="184.66"/>
    <n v="1817.15"/>
    <s v="On-time"/>
    <n v="0"/>
    <n v="91.71"/>
    <n v="172"/>
    <n v="197"/>
    <n v="0.80834074733096084"/>
  </r>
  <r>
    <x v="322"/>
    <s v="C7495"/>
    <x v="293"/>
    <d v="2020-11-22T00:00:00"/>
    <x v="1"/>
    <x v="0"/>
    <x v="1"/>
    <x v="4"/>
    <x v="93"/>
    <x v="2"/>
    <s v="Phones"/>
    <x v="92"/>
    <n v="368.08"/>
    <n v="26"/>
    <n v="9570.08"/>
    <s v="S139"/>
    <x v="0"/>
    <s v="W9"/>
    <x v="1"/>
    <s v="UPS"/>
    <s v="Cape Town-Berlin"/>
    <n v="990"/>
    <n v="223"/>
    <x v="0"/>
    <n v="1"/>
    <n v="602.34"/>
    <n v="68.13"/>
    <n v="670.47"/>
    <s v="On-time"/>
    <n v="0"/>
    <n v="77.27"/>
    <n v="114"/>
    <n v="115"/>
    <n v="0.67724242424242431"/>
  </r>
  <r>
    <x v="323"/>
    <s v="C5699"/>
    <x v="294"/>
    <d v="2024-06-12T00:00:00"/>
    <x v="2"/>
    <x v="1"/>
    <x v="2"/>
    <x v="0"/>
    <x v="285"/>
    <x v="1"/>
    <s v="Furnishings"/>
    <x v="282"/>
    <n v="74.599999999999994"/>
    <n v="48"/>
    <n v="3580.7999999999997"/>
    <s v="S374"/>
    <x v="4"/>
    <s v="W13"/>
    <x v="0"/>
    <s v="DHL"/>
    <s v="Toronto-São Paulo"/>
    <n v="3024"/>
    <n v="353"/>
    <x v="0"/>
    <n v="26"/>
    <n v="571.69000000000005"/>
    <n v="10.44"/>
    <n v="582.13000000000011"/>
    <s v="On-time"/>
    <n v="0"/>
    <n v="71.540000000000006"/>
    <n v="477"/>
    <n v="437"/>
    <n v="0.19250330687830691"/>
  </r>
  <r>
    <x v="324"/>
    <s v="C7723"/>
    <x v="295"/>
    <d v="2020-12-15T00:00:00"/>
    <x v="2"/>
    <x v="2"/>
    <x v="2"/>
    <x v="5"/>
    <x v="286"/>
    <x v="1"/>
    <s v="Furnishings"/>
    <x v="283"/>
    <n v="488.27"/>
    <n v="31"/>
    <n v="15136.369999999999"/>
    <s v="S144"/>
    <x v="1"/>
    <s v="W4"/>
    <x v="0"/>
    <s v="FedEx"/>
    <s v="São Paulo-Berlin"/>
    <n v="1605"/>
    <n v="229"/>
    <x v="0"/>
    <n v="10"/>
    <n v="1398.28"/>
    <n v="12.55"/>
    <n v="1410.83"/>
    <s v="On-time"/>
    <n v="0"/>
    <n v="92.16"/>
    <n v="396"/>
    <n v="394"/>
    <n v="0.87902180685358255"/>
  </r>
  <r>
    <x v="325"/>
    <s v="C7872"/>
    <x v="296"/>
    <d v="2020-10-18T00:00:00"/>
    <x v="2"/>
    <x v="1"/>
    <x v="1"/>
    <x v="1"/>
    <x v="287"/>
    <x v="1"/>
    <s v="Tables"/>
    <x v="284"/>
    <n v="412.38"/>
    <n v="71"/>
    <n v="29278.98"/>
    <s v="S639"/>
    <x v="1"/>
    <s v="W16"/>
    <x v="0"/>
    <s v="UPS"/>
    <s v="São Paulo-London"/>
    <n v="4511"/>
    <n v="54"/>
    <x v="0"/>
    <n v="20"/>
    <n v="1633.48"/>
    <n v="53.47"/>
    <n v="1686.95"/>
    <s v="On-time"/>
    <n v="0"/>
    <n v="83.12"/>
    <n v="411"/>
    <n v="445"/>
    <n v="0.37396364442473956"/>
  </r>
  <r>
    <x v="326"/>
    <s v="C4343"/>
    <x v="297"/>
    <d v="2022-12-20T00:00:00"/>
    <x v="0"/>
    <x v="1"/>
    <x v="6"/>
    <x v="2"/>
    <x v="288"/>
    <x v="1"/>
    <s v="Tables"/>
    <x v="285"/>
    <n v="288.37"/>
    <n v="82"/>
    <n v="23646.34"/>
    <s v="S366"/>
    <x v="3"/>
    <s v="W15"/>
    <x v="1"/>
    <s v="FedEx"/>
    <s v="New York-São Paulo"/>
    <n v="3927"/>
    <n v="377"/>
    <x v="0"/>
    <n v="27"/>
    <n v="109.87"/>
    <n v="424.9"/>
    <n v="534.77"/>
    <s v="On-time"/>
    <n v="0"/>
    <n v="78.31"/>
    <n v="426"/>
    <n v="399"/>
    <n v="0.13617774382480263"/>
  </r>
  <r>
    <x v="327"/>
    <s v="C3241"/>
    <x v="241"/>
    <d v="2020-05-25T00:00:00"/>
    <x v="0"/>
    <x v="2"/>
    <x v="0"/>
    <x v="6"/>
    <x v="289"/>
    <x v="0"/>
    <s v="Art"/>
    <x v="286"/>
    <n v="85.45"/>
    <n v="27"/>
    <n v="2307.15"/>
    <s v="S361"/>
    <x v="0"/>
    <s v="W5"/>
    <x v="1"/>
    <s v="Maersk"/>
    <s v="Toronto-São Paulo"/>
    <n v="1917"/>
    <n v="355"/>
    <x v="0"/>
    <n v="7"/>
    <n v="167.97"/>
    <n v="319.38"/>
    <n v="487.35"/>
    <s v="On-time"/>
    <n v="0"/>
    <n v="97.17"/>
    <n v="166"/>
    <n v="165"/>
    <n v="0.25422535211267605"/>
  </r>
  <r>
    <x v="328"/>
    <s v="C1170"/>
    <x v="280"/>
    <d v="2020-03-01T00:00:00"/>
    <x v="1"/>
    <x v="2"/>
    <x v="3"/>
    <x v="0"/>
    <x v="290"/>
    <x v="0"/>
    <s v="Binders"/>
    <x v="287"/>
    <n v="201.32"/>
    <n v="13"/>
    <n v="2617.16"/>
    <s v="S996"/>
    <x v="2"/>
    <s v="W14"/>
    <x v="0"/>
    <s v="UPS"/>
    <s v="London-Beijing"/>
    <n v="71"/>
    <n v="400"/>
    <x v="1"/>
    <n v="24"/>
    <n v="140.58000000000001"/>
    <n v="113.57"/>
    <n v="254.15"/>
    <s v="On-time"/>
    <n v="0"/>
    <n v="82.27"/>
    <n v="255"/>
    <n v="208"/>
    <n v="3.5795774647887324"/>
  </r>
  <r>
    <x v="329"/>
    <s v="C6639"/>
    <x v="298"/>
    <d v="2023-07-11T00:00:00"/>
    <x v="1"/>
    <x v="3"/>
    <x v="4"/>
    <x v="0"/>
    <x v="291"/>
    <x v="0"/>
    <s v="Binders"/>
    <x v="288"/>
    <n v="114.67"/>
    <n v="92"/>
    <n v="10549.64"/>
    <s v="S747"/>
    <x v="4"/>
    <s v="W45"/>
    <x v="2"/>
    <s v="UPS"/>
    <s v="London-Beijing"/>
    <n v="864"/>
    <n v="419"/>
    <x v="0"/>
    <n v="4"/>
    <n v="1669.6"/>
    <n v="397.87"/>
    <n v="2067.4699999999998"/>
    <s v="On-time"/>
    <n v="0"/>
    <n v="78.87"/>
    <n v="456"/>
    <n v="471"/>
    <n v="2.3929050925925925"/>
  </r>
  <r>
    <x v="330"/>
    <s v="C7443"/>
    <x v="41"/>
    <d v="2021-05-07T00:00:00"/>
    <x v="1"/>
    <x v="3"/>
    <x v="6"/>
    <x v="3"/>
    <x v="292"/>
    <x v="0"/>
    <s v="Paper"/>
    <x v="289"/>
    <n v="20.45"/>
    <n v="5"/>
    <n v="102.25"/>
    <s v="S343"/>
    <x v="1"/>
    <s v="W9"/>
    <x v="2"/>
    <s v="DHL"/>
    <s v="New York-São Paulo"/>
    <n v="1259"/>
    <n v="275"/>
    <x v="0"/>
    <n v="5"/>
    <n v="1881.61"/>
    <n v="334.16"/>
    <n v="2215.77"/>
    <s v="On-time"/>
    <n v="0"/>
    <n v="74.05"/>
    <n v="289"/>
    <n v="273"/>
    <n v="1.7599444003177125"/>
  </r>
  <r>
    <x v="331"/>
    <s v="C9052"/>
    <x v="299"/>
    <d v="2023-05-31T00:00:00"/>
    <x v="2"/>
    <x v="3"/>
    <x v="5"/>
    <x v="2"/>
    <x v="293"/>
    <x v="0"/>
    <s v="Paper"/>
    <x v="290"/>
    <n v="443.34"/>
    <n v="20"/>
    <n v="8866.7999999999993"/>
    <s v="S942"/>
    <x v="2"/>
    <s v="W48"/>
    <x v="0"/>
    <s v="UPS"/>
    <s v="São Paulo-Berlin"/>
    <n v="3253"/>
    <n v="205"/>
    <x v="0"/>
    <n v="23"/>
    <n v="319.27"/>
    <n v="264.20999999999998"/>
    <n v="583.48"/>
    <s v="On-time"/>
    <n v="0"/>
    <n v="89.79"/>
    <n v="372"/>
    <n v="346"/>
    <n v="0.17936673839532741"/>
  </r>
  <r>
    <x v="332"/>
    <s v="C4690"/>
    <x v="300"/>
    <d v="2021-08-25T00:00:00"/>
    <x v="1"/>
    <x v="3"/>
    <x v="7"/>
    <x v="4"/>
    <x v="294"/>
    <x v="0"/>
    <s v="Supplies"/>
    <x v="291"/>
    <n v="265.19"/>
    <n v="43"/>
    <n v="11403.17"/>
    <s v="S167"/>
    <x v="4"/>
    <s v="W44"/>
    <x v="1"/>
    <s v="UPS"/>
    <s v="London-New York"/>
    <n v="1614"/>
    <n v="161"/>
    <x v="0"/>
    <n v="24"/>
    <n v="320.54000000000002"/>
    <n v="495.57"/>
    <n v="816.11"/>
    <s v="On-time"/>
    <n v="0"/>
    <n v="82.78"/>
    <n v="207"/>
    <n v="179"/>
    <n v="0.50564436183395289"/>
  </r>
  <r>
    <x v="333"/>
    <s v="C9252"/>
    <x v="301"/>
    <d v="2020-09-08T00:00:00"/>
    <x v="2"/>
    <x v="2"/>
    <x v="2"/>
    <x v="2"/>
    <x v="295"/>
    <x v="2"/>
    <s v="Accessories"/>
    <x v="292"/>
    <n v="367.36"/>
    <n v="50"/>
    <n v="18368"/>
    <s v="S414"/>
    <x v="2"/>
    <s v="W22"/>
    <x v="2"/>
    <s v="UPS"/>
    <s v="Mumbai-São Paulo"/>
    <n v="3373"/>
    <n v="107"/>
    <x v="0"/>
    <n v="21"/>
    <n v="1142.1099999999999"/>
    <n v="326.73"/>
    <n v="1468.84"/>
    <s v="On-time"/>
    <n v="0"/>
    <n v="79.959999999999994"/>
    <n v="476"/>
    <n v="436"/>
    <n v="0.43546990809368513"/>
  </r>
  <r>
    <x v="334"/>
    <s v="C8026"/>
    <x v="302"/>
    <d v="2022-08-05T00:00:00"/>
    <x v="2"/>
    <x v="4"/>
    <x v="3"/>
    <x v="5"/>
    <x v="296"/>
    <x v="2"/>
    <s v="Accessories"/>
    <x v="293"/>
    <n v="62.8"/>
    <n v="75"/>
    <n v="4710"/>
    <s v="S780"/>
    <x v="4"/>
    <s v="W41"/>
    <x v="1"/>
    <s v="FedEx"/>
    <s v="Toronto-London"/>
    <n v="2668"/>
    <n v="481"/>
    <x v="0"/>
    <n v="9"/>
    <n v="80.31"/>
    <n v="125.24"/>
    <n v="205.55"/>
    <s v="On-time"/>
    <n v="0"/>
    <n v="99.17"/>
    <n v="408"/>
    <n v="406"/>
    <n v="7.7042728635682164E-2"/>
  </r>
  <r>
    <x v="335"/>
    <s v="C6482"/>
    <x v="303"/>
    <d v="2022-09-01T00:00:00"/>
    <x v="2"/>
    <x v="0"/>
    <x v="0"/>
    <x v="1"/>
    <x v="297"/>
    <x v="2"/>
    <s v="Accessories"/>
    <x v="294"/>
    <n v="121.68"/>
    <n v="59"/>
    <n v="7179.1200000000008"/>
    <s v="S862"/>
    <x v="1"/>
    <s v="W15"/>
    <x v="2"/>
    <s v="DHL"/>
    <s v="New York-Mumbai"/>
    <n v="2504"/>
    <n v="97"/>
    <x v="0"/>
    <n v="5"/>
    <n v="141.19999999999999"/>
    <n v="171.69"/>
    <n v="312.89"/>
    <s v="Delayed"/>
    <n v="5"/>
    <n v="88.32"/>
    <n v="418"/>
    <n v="421"/>
    <n v="0.12495607028753992"/>
  </r>
  <r>
    <x v="336"/>
    <s v="C1516"/>
    <x v="110"/>
    <d v="2022-01-06T00:00:00"/>
    <x v="2"/>
    <x v="3"/>
    <x v="2"/>
    <x v="4"/>
    <x v="298"/>
    <x v="1"/>
    <s v="Furnishings"/>
    <x v="295"/>
    <n v="462.78"/>
    <n v="59"/>
    <n v="27304.019999999997"/>
    <s v="S381"/>
    <x v="2"/>
    <s v="W37"/>
    <x v="1"/>
    <s v="DHL"/>
    <s v="Beijing-London"/>
    <n v="4228"/>
    <n v="401"/>
    <x v="0"/>
    <n v="17"/>
    <n v="777.06"/>
    <n v="330.13"/>
    <n v="1107.19"/>
    <s v="On-time"/>
    <n v="0"/>
    <n v="87.28"/>
    <n v="214"/>
    <n v="193"/>
    <n v="0.26187086092715234"/>
  </r>
  <r>
    <x v="337"/>
    <s v="C3978"/>
    <x v="185"/>
    <d v="2024-05-21T00:00:00"/>
    <x v="2"/>
    <x v="4"/>
    <x v="7"/>
    <x v="7"/>
    <x v="299"/>
    <x v="0"/>
    <s v="Paper"/>
    <x v="296"/>
    <n v="63.77"/>
    <n v="20"/>
    <n v="1275.4000000000001"/>
    <s v="S323"/>
    <x v="3"/>
    <s v="W18"/>
    <x v="2"/>
    <s v="DHL"/>
    <s v="Berlin-London"/>
    <n v="3926"/>
    <n v="84"/>
    <x v="0"/>
    <n v="10"/>
    <n v="1378.05"/>
    <n v="33.08"/>
    <n v="1411.13"/>
    <s v="On-time"/>
    <n v="0"/>
    <n v="88.5"/>
    <n v="206"/>
    <n v="246"/>
    <n v="0.35943199184921043"/>
  </r>
  <r>
    <x v="338"/>
    <s v="C6008"/>
    <x v="222"/>
    <d v="2022-12-17T00:00:00"/>
    <x v="2"/>
    <x v="0"/>
    <x v="5"/>
    <x v="6"/>
    <x v="300"/>
    <x v="0"/>
    <s v="Paper"/>
    <x v="297"/>
    <n v="144.91999999999999"/>
    <n v="97"/>
    <n v="14057.239999999998"/>
    <s v="S852"/>
    <x v="3"/>
    <s v="W26"/>
    <x v="3"/>
    <s v="UPS"/>
    <s v="Beijing-São Paulo"/>
    <n v="2514"/>
    <n v="280"/>
    <x v="0"/>
    <n v="25"/>
    <n v="157.4"/>
    <n v="22.03"/>
    <n v="179.43"/>
    <s v="On-time"/>
    <n v="0"/>
    <n v="73.319999999999993"/>
    <n v="484"/>
    <n v="530"/>
    <n v="7.1372315035799522E-2"/>
  </r>
  <r>
    <x v="339"/>
    <s v="C1304"/>
    <x v="29"/>
    <d v="2020-04-09T00:00:00"/>
    <x v="2"/>
    <x v="2"/>
    <x v="3"/>
    <x v="0"/>
    <x v="240"/>
    <x v="2"/>
    <s v="Phones"/>
    <x v="238"/>
    <n v="400.03"/>
    <n v="10"/>
    <n v="4000.2999999999997"/>
    <s v="S256"/>
    <x v="3"/>
    <s v="W44"/>
    <x v="1"/>
    <s v="UPS"/>
    <s v="London-Cape Town"/>
    <n v="4892"/>
    <n v="246"/>
    <x v="0"/>
    <n v="26"/>
    <n v="530.94000000000005"/>
    <n v="290.38"/>
    <n v="821.32"/>
    <s v="On-time"/>
    <n v="0"/>
    <n v="99.65"/>
    <n v="284"/>
    <n v="254"/>
    <n v="0.16789043336058873"/>
  </r>
  <r>
    <x v="340"/>
    <s v="C7219"/>
    <x v="304"/>
    <d v="2024-07-24T00:00:00"/>
    <x v="2"/>
    <x v="3"/>
    <x v="5"/>
    <x v="0"/>
    <x v="301"/>
    <x v="2"/>
    <s v="Phones"/>
    <x v="298"/>
    <n v="316.11"/>
    <n v="33"/>
    <n v="10431.630000000001"/>
    <s v="S948"/>
    <x v="4"/>
    <s v="W1"/>
    <x v="3"/>
    <s v="BlueDart"/>
    <s v="Cape Town-Berlin"/>
    <n v="132"/>
    <n v="165"/>
    <x v="1"/>
    <n v="4"/>
    <n v="198.14"/>
    <n v="321.39"/>
    <n v="519.53"/>
    <s v="On-time"/>
    <n v="0"/>
    <n v="89.11"/>
    <n v="58"/>
    <n v="68"/>
    <n v="3.9358333333333331"/>
  </r>
  <r>
    <x v="341"/>
    <s v="C7662"/>
    <x v="305"/>
    <d v="2024-01-11T00:00:00"/>
    <x v="2"/>
    <x v="1"/>
    <x v="7"/>
    <x v="5"/>
    <x v="302"/>
    <x v="1"/>
    <s v="Tables"/>
    <x v="299"/>
    <n v="191.27"/>
    <n v="67"/>
    <n v="12815.09"/>
    <s v="S175"/>
    <x v="4"/>
    <s v="W32"/>
    <x v="3"/>
    <s v="UPS"/>
    <s v="Mumbai-Cape Town"/>
    <n v="3972"/>
    <n v="317"/>
    <x v="0"/>
    <n v="14"/>
    <n v="1525.9"/>
    <n v="465.54"/>
    <n v="1991.44"/>
    <s v="On-time"/>
    <n v="0"/>
    <n v="70.47"/>
    <n v="70"/>
    <n v="43"/>
    <n v="0.50136958710976842"/>
  </r>
  <r>
    <x v="342"/>
    <s v="C4507"/>
    <x v="306"/>
    <d v="2024-11-08T00:00:00"/>
    <x v="1"/>
    <x v="1"/>
    <x v="6"/>
    <x v="1"/>
    <x v="303"/>
    <x v="1"/>
    <s v="Tables"/>
    <x v="300"/>
    <n v="186.61"/>
    <n v="75"/>
    <n v="13995.750000000002"/>
    <s v="S652"/>
    <x v="3"/>
    <s v="W31"/>
    <x v="2"/>
    <s v="UPS"/>
    <s v="São Paulo-London"/>
    <n v="808"/>
    <n v="460"/>
    <x v="0"/>
    <n v="12"/>
    <n v="79.27"/>
    <n v="128.79"/>
    <n v="208.06"/>
    <s v="On-time"/>
    <n v="0"/>
    <n v="74.25"/>
    <n v="358"/>
    <n v="363"/>
    <n v="0.25750000000000001"/>
  </r>
  <r>
    <x v="343"/>
    <s v="C4835"/>
    <x v="307"/>
    <d v="2023-09-07T00:00:00"/>
    <x v="1"/>
    <x v="1"/>
    <x v="5"/>
    <x v="5"/>
    <x v="304"/>
    <x v="1"/>
    <s v="Tables"/>
    <x v="301"/>
    <n v="309.44"/>
    <n v="81"/>
    <n v="25064.639999999999"/>
    <s v="S219"/>
    <x v="4"/>
    <s v="W8"/>
    <x v="3"/>
    <s v="DHL"/>
    <s v="Cape Town-Cape Town"/>
    <n v="1093"/>
    <n v="364"/>
    <x v="0"/>
    <n v="17"/>
    <n v="1412.55"/>
    <n v="61.49"/>
    <n v="1474.04"/>
    <s v="On-time"/>
    <n v="0"/>
    <n v="81.3"/>
    <n v="106"/>
    <n v="122"/>
    <n v="1.3486184812442819"/>
  </r>
  <r>
    <x v="344"/>
    <s v="C8892"/>
    <x v="89"/>
    <d v="2023-06-22T00:00:00"/>
    <x v="1"/>
    <x v="3"/>
    <x v="5"/>
    <x v="4"/>
    <x v="305"/>
    <x v="0"/>
    <s v="Fasteners"/>
    <x v="302"/>
    <n v="205.63"/>
    <n v="42"/>
    <n v="8636.4599999999991"/>
    <s v="S187"/>
    <x v="0"/>
    <s v="W34"/>
    <x v="0"/>
    <s v="Maersk"/>
    <s v="São Paulo-Mumbai"/>
    <n v="4722"/>
    <n v="277"/>
    <x v="0"/>
    <n v="1"/>
    <n v="513.46"/>
    <n v="112.75"/>
    <n v="626.21"/>
    <s v="On-time"/>
    <n v="0"/>
    <n v="72.45"/>
    <n v="381"/>
    <n v="333"/>
    <n v="0.13261541719610334"/>
  </r>
  <r>
    <x v="345"/>
    <s v="C7942"/>
    <x v="308"/>
    <d v="2022-07-02T00:00:00"/>
    <x v="2"/>
    <x v="0"/>
    <x v="6"/>
    <x v="0"/>
    <x v="9"/>
    <x v="0"/>
    <s v="Fasteners"/>
    <x v="9"/>
    <n v="278.58999999999997"/>
    <n v="50"/>
    <n v="13929.499999999998"/>
    <s v="S966"/>
    <x v="3"/>
    <s v="W21"/>
    <x v="0"/>
    <s v="BlueDart"/>
    <s v="São Paulo-Berlin"/>
    <n v="2455"/>
    <n v="416"/>
    <x v="0"/>
    <n v="5"/>
    <n v="1072.46"/>
    <n v="499.12"/>
    <n v="1571.58"/>
    <s v="On-time"/>
    <n v="0"/>
    <n v="86.57"/>
    <n v="301"/>
    <n v="329"/>
    <n v="0.64015478615071275"/>
  </r>
  <r>
    <x v="346"/>
    <s v="C6449"/>
    <x v="49"/>
    <d v="2024-04-06T00:00:00"/>
    <x v="2"/>
    <x v="2"/>
    <x v="7"/>
    <x v="1"/>
    <x v="306"/>
    <x v="0"/>
    <s v="Paper"/>
    <x v="303"/>
    <n v="223.18"/>
    <n v="68"/>
    <n v="15176.24"/>
    <s v="S890"/>
    <x v="3"/>
    <s v="W24"/>
    <x v="3"/>
    <s v="UPS"/>
    <s v="Berlin-Mumbai"/>
    <n v="1473"/>
    <n v="179"/>
    <x v="0"/>
    <n v="15"/>
    <n v="1734.08"/>
    <n v="284.95"/>
    <n v="2019.03"/>
    <s v="On-time"/>
    <n v="0"/>
    <n v="71.88"/>
    <n v="460"/>
    <n v="419"/>
    <n v="1.3706924643584522"/>
  </r>
  <r>
    <x v="347"/>
    <s v="C4093"/>
    <x v="309"/>
    <d v="2021-01-12T00:00:00"/>
    <x v="1"/>
    <x v="2"/>
    <x v="6"/>
    <x v="5"/>
    <x v="307"/>
    <x v="2"/>
    <s v="Accessories"/>
    <x v="304"/>
    <n v="86.81"/>
    <n v="19"/>
    <n v="1649.39"/>
    <s v="S519"/>
    <x v="3"/>
    <s v="W31"/>
    <x v="3"/>
    <s v="DHL"/>
    <s v="London-New York"/>
    <n v="2914"/>
    <n v="113"/>
    <x v="0"/>
    <n v="12"/>
    <n v="1427.11"/>
    <n v="362.56"/>
    <n v="1789.67"/>
    <s v="Delayed"/>
    <n v="4"/>
    <n v="80.069999999999993"/>
    <n v="451"/>
    <n v="439"/>
    <n v="0.61416266300617706"/>
  </r>
  <r>
    <x v="348"/>
    <s v="C3748"/>
    <x v="310"/>
    <d v="2020-06-12T00:00:00"/>
    <x v="2"/>
    <x v="0"/>
    <x v="7"/>
    <x v="6"/>
    <x v="308"/>
    <x v="0"/>
    <s v="Binders"/>
    <x v="305"/>
    <n v="498.44"/>
    <n v="74"/>
    <n v="36884.559999999998"/>
    <s v="S369"/>
    <x v="3"/>
    <s v="W11"/>
    <x v="1"/>
    <s v="UPS"/>
    <s v="New York-Cape Town"/>
    <n v="4767"/>
    <n v="359"/>
    <x v="0"/>
    <n v="16"/>
    <n v="1248.83"/>
    <n v="468.69"/>
    <n v="1717.52"/>
    <s v="On-time"/>
    <n v="0"/>
    <n v="84.74"/>
    <n v="387"/>
    <n v="436"/>
    <n v="0.36029368575624082"/>
  </r>
  <r>
    <x v="349"/>
    <s v="C5771"/>
    <x v="311"/>
    <d v="2021-11-28T00:00:00"/>
    <x v="2"/>
    <x v="4"/>
    <x v="3"/>
    <x v="5"/>
    <x v="309"/>
    <x v="0"/>
    <s v="Fasteners"/>
    <x v="306"/>
    <n v="371.52"/>
    <n v="55"/>
    <n v="20433.599999999999"/>
    <s v="S157"/>
    <x v="1"/>
    <s v="W10"/>
    <x v="2"/>
    <s v="Maersk"/>
    <s v="São Paulo-Cape Town"/>
    <n v="2923"/>
    <n v="126"/>
    <x v="0"/>
    <n v="1"/>
    <n v="1166.24"/>
    <n v="105.64"/>
    <n v="1271.8800000000001"/>
    <s v="On-time"/>
    <n v="0"/>
    <n v="98.16"/>
    <n v="98"/>
    <n v="118"/>
    <n v="0.43512829284981186"/>
  </r>
  <r>
    <x v="350"/>
    <s v="C1492"/>
    <x v="312"/>
    <d v="2023-11-27T00:00:00"/>
    <x v="2"/>
    <x v="4"/>
    <x v="7"/>
    <x v="4"/>
    <x v="310"/>
    <x v="0"/>
    <s v="Paper"/>
    <x v="307"/>
    <n v="104.87"/>
    <n v="70"/>
    <n v="7340.9000000000005"/>
    <s v="S426"/>
    <x v="3"/>
    <s v="W2"/>
    <x v="2"/>
    <s v="FedEx"/>
    <s v="Beijing-Cape Town"/>
    <n v="183"/>
    <n v="469"/>
    <x v="1"/>
    <n v="3"/>
    <n v="1379.4"/>
    <n v="54.44"/>
    <n v="1433.84"/>
    <s v="On-time"/>
    <n v="0"/>
    <n v="81.92"/>
    <n v="411"/>
    <n v="429"/>
    <n v="7.8351912568306004"/>
  </r>
  <r>
    <x v="351"/>
    <s v="C9070"/>
    <x v="313"/>
    <d v="2023-03-05T00:00:00"/>
    <x v="2"/>
    <x v="2"/>
    <x v="7"/>
    <x v="4"/>
    <x v="311"/>
    <x v="0"/>
    <s v="Storage"/>
    <x v="308"/>
    <n v="191.2"/>
    <n v="3"/>
    <n v="573.59999999999991"/>
    <s v="S528"/>
    <x v="1"/>
    <s v="W40"/>
    <x v="1"/>
    <s v="BlueDart"/>
    <s v="Toronto-Beijing"/>
    <n v="146"/>
    <n v="494"/>
    <x v="1"/>
    <n v="11"/>
    <n v="1530.76"/>
    <n v="381.05"/>
    <n v="1911.81"/>
    <s v="On-time"/>
    <n v="0"/>
    <n v="86.62"/>
    <n v="137"/>
    <n v="186"/>
    <n v="13.09458904109589"/>
  </r>
  <r>
    <x v="352"/>
    <s v="C1656"/>
    <x v="312"/>
    <d v="2024-05-21T00:00:00"/>
    <x v="2"/>
    <x v="1"/>
    <x v="4"/>
    <x v="3"/>
    <x v="312"/>
    <x v="2"/>
    <s v="Accessories"/>
    <x v="309"/>
    <n v="402.36"/>
    <n v="7"/>
    <n v="2816.52"/>
    <s v="S329"/>
    <x v="2"/>
    <s v="W16"/>
    <x v="0"/>
    <s v="BlueDart"/>
    <s v="Cape Town-London"/>
    <n v="2215"/>
    <n v="268"/>
    <x v="0"/>
    <n v="27"/>
    <n v="830.28"/>
    <n v="311.27"/>
    <n v="1141.55"/>
    <s v="On-time"/>
    <n v="0"/>
    <n v="87.84"/>
    <n v="65"/>
    <n v="84"/>
    <n v="0.515372460496614"/>
  </r>
  <r>
    <x v="353"/>
    <s v="C4596"/>
    <x v="314"/>
    <d v="2022-02-09T00:00:00"/>
    <x v="2"/>
    <x v="0"/>
    <x v="1"/>
    <x v="6"/>
    <x v="147"/>
    <x v="2"/>
    <s v="Accessories"/>
    <x v="146"/>
    <n v="48.83"/>
    <n v="66"/>
    <n v="3222.7799999999997"/>
    <s v="S399"/>
    <x v="3"/>
    <s v="W14"/>
    <x v="3"/>
    <s v="BlueDart"/>
    <s v="Mumbai-Toronto"/>
    <n v="2438"/>
    <n v="328"/>
    <x v="0"/>
    <n v="26"/>
    <n v="221.8"/>
    <n v="311.77999999999997"/>
    <n v="533.57999999999993"/>
    <s v="On-time"/>
    <n v="0"/>
    <n v="75.98"/>
    <n v="110"/>
    <n v="69"/>
    <n v="0.21885972108285476"/>
  </r>
  <r>
    <x v="354"/>
    <s v="C3227"/>
    <x v="315"/>
    <d v="2020-09-03T00:00:00"/>
    <x v="1"/>
    <x v="2"/>
    <x v="7"/>
    <x v="7"/>
    <x v="313"/>
    <x v="2"/>
    <s v="Accessories"/>
    <x v="310"/>
    <n v="106.09"/>
    <n v="74"/>
    <n v="7850.66"/>
    <s v="S998"/>
    <x v="4"/>
    <s v="W13"/>
    <x v="1"/>
    <s v="Maersk"/>
    <s v="São Paulo-New York"/>
    <n v="3171"/>
    <n v="71"/>
    <x v="0"/>
    <n v="11"/>
    <n v="1975.47"/>
    <n v="265.37"/>
    <n v="2240.84"/>
    <s v="On-time"/>
    <n v="0"/>
    <n v="86.6"/>
    <n v="388"/>
    <n v="363"/>
    <n v="0.70666666666666667"/>
  </r>
  <r>
    <x v="355"/>
    <s v="C8534"/>
    <x v="316"/>
    <d v="2022-08-02T00:00:00"/>
    <x v="2"/>
    <x v="3"/>
    <x v="4"/>
    <x v="1"/>
    <x v="314"/>
    <x v="2"/>
    <s v="Phones"/>
    <x v="311"/>
    <n v="258.41000000000003"/>
    <n v="76"/>
    <n v="19639.160000000003"/>
    <s v="S878"/>
    <x v="2"/>
    <s v="W20"/>
    <x v="1"/>
    <s v="BlueDart"/>
    <s v="Cape Town-São Paulo"/>
    <n v="1113"/>
    <n v="284"/>
    <x v="0"/>
    <n v="2"/>
    <n v="1828.76"/>
    <n v="60.18"/>
    <n v="1888.94"/>
    <s v="Delayed"/>
    <n v="1"/>
    <n v="81.41"/>
    <n v="181"/>
    <n v="166"/>
    <n v="1.6971608265947888"/>
  </r>
  <r>
    <x v="356"/>
    <s v="C9707"/>
    <x v="317"/>
    <d v="2022-06-03T00:00:00"/>
    <x v="2"/>
    <x v="3"/>
    <x v="6"/>
    <x v="1"/>
    <x v="315"/>
    <x v="2"/>
    <s v="Phones"/>
    <x v="312"/>
    <n v="360.32"/>
    <n v="5"/>
    <n v="1801.6"/>
    <s v="S470"/>
    <x v="2"/>
    <s v="W48"/>
    <x v="3"/>
    <s v="FedEx"/>
    <s v="Beijing-Beijing"/>
    <n v="4861"/>
    <n v="67"/>
    <x v="0"/>
    <n v="2"/>
    <n v="985.14"/>
    <n v="113.09"/>
    <n v="1098.23"/>
    <s v="On-time"/>
    <n v="0"/>
    <n v="78.25"/>
    <n v="386"/>
    <n v="424"/>
    <n v="0.22592676404032092"/>
  </r>
  <r>
    <x v="357"/>
    <s v="C7403"/>
    <x v="318"/>
    <d v="2021-10-31T00:00:00"/>
    <x v="2"/>
    <x v="0"/>
    <x v="1"/>
    <x v="4"/>
    <x v="242"/>
    <x v="1"/>
    <s v="Bookcases"/>
    <x v="240"/>
    <n v="30.84"/>
    <n v="68"/>
    <n v="2097.12"/>
    <s v="S948"/>
    <x v="2"/>
    <s v="W26"/>
    <x v="3"/>
    <s v="FedEx"/>
    <s v="Cape Town-Berlin"/>
    <n v="2793"/>
    <n v="253"/>
    <x v="0"/>
    <n v="5"/>
    <n v="206.88"/>
    <n v="462.69"/>
    <n v="669.56999999999994"/>
    <s v="On-time"/>
    <n v="0"/>
    <n v="93.75"/>
    <n v="286"/>
    <n v="262"/>
    <n v="0.23973147153598279"/>
  </r>
  <r>
    <x v="358"/>
    <s v="C6021"/>
    <x v="319"/>
    <d v="2022-08-01T00:00:00"/>
    <x v="1"/>
    <x v="1"/>
    <x v="4"/>
    <x v="5"/>
    <x v="316"/>
    <x v="0"/>
    <s v="Art"/>
    <x v="313"/>
    <n v="242.6"/>
    <n v="86"/>
    <n v="20863.599999999999"/>
    <s v="S381"/>
    <x v="1"/>
    <s v="W32"/>
    <x v="1"/>
    <s v="BlueDart"/>
    <s v="Beijing-Beijing"/>
    <n v="2937"/>
    <n v="216"/>
    <x v="0"/>
    <n v="23"/>
    <n v="526.51"/>
    <n v="176.92"/>
    <n v="703.43"/>
    <s v="On-time"/>
    <n v="0"/>
    <n v="81.239999999999995"/>
    <n v="74"/>
    <n v="76"/>
    <n v="0.23950629894450118"/>
  </r>
  <r>
    <x v="359"/>
    <s v="C4312"/>
    <x v="71"/>
    <d v="2021-07-03T00:00:00"/>
    <x v="2"/>
    <x v="3"/>
    <x v="6"/>
    <x v="0"/>
    <x v="317"/>
    <x v="0"/>
    <s v="Binders"/>
    <x v="314"/>
    <n v="27.11"/>
    <n v="98"/>
    <n v="2656.7799999999997"/>
    <s v="S320"/>
    <x v="1"/>
    <s v="W9"/>
    <x v="2"/>
    <s v="Maersk"/>
    <s v="Cape Town-Beijing"/>
    <n v="4323"/>
    <n v="430"/>
    <x v="0"/>
    <n v="25"/>
    <n v="470.01"/>
    <n v="74.89"/>
    <n v="544.9"/>
    <s v="On-time"/>
    <n v="0"/>
    <n v="92.17"/>
    <n v="139"/>
    <n v="149"/>
    <n v="0.12604672681008558"/>
  </r>
  <r>
    <x v="360"/>
    <s v="C2551"/>
    <x v="320"/>
    <d v="2020-06-24T00:00:00"/>
    <x v="2"/>
    <x v="3"/>
    <x v="0"/>
    <x v="7"/>
    <x v="318"/>
    <x v="0"/>
    <s v="Paper"/>
    <x v="315"/>
    <n v="32.19"/>
    <n v="89"/>
    <n v="2864.91"/>
    <s v="S339"/>
    <x v="2"/>
    <s v="W12"/>
    <x v="2"/>
    <s v="DHL"/>
    <s v="New York-São Paulo"/>
    <n v="4336"/>
    <n v="235"/>
    <x v="0"/>
    <n v="25"/>
    <n v="950.02"/>
    <n v="146.97"/>
    <n v="1096.99"/>
    <s v="On-time"/>
    <n v="0"/>
    <n v="75.56"/>
    <n v="468"/>
    <n v="497"/>
    <n v="0.25299584870848707"/>
  </r>
  <r>
    <x v="361"/>
    <s v="C8790"/>
    <x v="321"/>
    <d v="2021-10-23T00:00:00"/>
    <x v="2"/>
    <x v="2"/>
    <x v="6"/>
    <x v="0"/>
    <x v="319"/>
    <x v="2"/>
    <s v="Phones"/>
    <x v="316"/>
    <n v="331.21"/>
    <n v="51"/>
    <n v="16891.71"/>
    <s v="S860"/>
    <x v="1"/>
    <s v="W26"/>
    <x v="2"/>
    <s v="DHL"/>
    <s v="London-London"/>
    <n v="1762"/>
    <n v="425"/>
    <x v="0"/>
    <n v="19"/>
    <n v="659.16"/>
    <n v="39.67"/>
    <n v="698.82999999999993"/>
    <s v="On-time"/>
    <n v="0"/>
    <n v="89.12"/>
    <n v="201"/>
    <n v="174"/>
    <n v="0.39661180476730984"/>
  </r>
  <r>
    <x v="362"/>
    <s v="C6564"/>
    <x v="322"/>
    <d v="2020-11-22T00:00:00"/>
    <x v="1"/>
    <x v="2"/>
    <x v="0"/>
    <x v="2"/>
    <x v="320"/>
    <x v="2"/>
    <s v="Phones"/>
    <x v="317"/>
    <n v="341.44"/>
    <n v="85"/>
    <n v="29022.400000000001"/>
    <s v="S458"/>
    <x v="2"/>
    <s v="W21"/>
    <x v="1"/>
    <s v="Maersk"/>
    <s v="New York-London"/>
    <n v="2378"/>
    <n v="381"/>
    <x v="0"/>
    <n v="2"/>
    <n v="721.77"/>
    <n v="104.74"/>
    <n v="826.51"/>
    <s v="On-time"/>
    <n v="0"/>
    <n v="75.06"/>
    <n v="314"/>
    <n v="281"/>
    <n v="0.34756518082422205"/>
  </r>
  <r>
    <x v="363"/>
    <s v="C4910"/>
    <x v="323"/>
    <d v="2022-09-22T00:00:00"/>
    <x v="1"/>
    <x v="2"/>
    <x v="0"/>
    <x v="7"/>
    <x v="321"/>
    <x v="0"/>
    <s v="Art"/>
    <x v="318"/>
    <n v="28.32"/>
    <n v="85"/>
    <n v="2407.1999999999998"/>
    <s v="S138"/>
    <x v="3"/>
    <s v="W20"/>
    <x v="2"/>
    <s v="DHL"/>
    <s v="Toronto-São Paulo"/>
    <n v="3614"/>
    <n v="280"/>
    <x v="0"/>
    <n v="18"/>
    <n v="1563.99"/>
    <n v="434.44"/>
    <n v="1998.43"/>
    <s v="On-time"/>
    <n v="0"/>
    <n v="88.47"/>
    <n v="141"/>
    <n v="111"/>
    <n v="0.55296900940785831"/>
  </r>
  <r>
    <x v="364"/>
    <s v="C1247"/>
    <x v="324"/>
    <d v="2024-06-18T00:00:00"/>
    <x v="2"/>
    <x v="3"/>
    <x v="7"/>
    <x v="5"/>
    <x v="322"/>
    <x v="0"/>
    <s v="Binders"/>
    <x v="319"/>
    <n v="144.21"/>
    <n v="29"/>
    <n v="4182.09"/>
    <s v="S468"/>
    <x v="2"/>
    <s v="W48"/>
    <x v="2"/>
    <s v="Maersk"/>
    <s v="New York-Cape Town"/>
    <n v="3801"/>
    <n v="120"/>
    <x v="0"/>
    <n v="11"/>
    <n v="848.56"/>
    <n v="237.86"/>
    <n v="1086.42"/>
    <s v="On-time"/>
    <n v="0"/>
    <n v="80.150000000000006"/>
    <n v="287"/>
    <n v="304"/>
    <n v="0.28582478295185482"/>
  </r>
  <r>
    <x v="365"/>
    <s v="C5516"/>
    <x v="325"/>
    <d v="2024-06-09T00:00:00"/>
    <x v="2"/>
    <x v="0"/>
    <x v="5"/>
    <x v="1"/>
    <x v="323"/>
    <x v="0"/>
    <s v="Fasteners"/>
    <x v="84"/>
    <n v="112.22"/>
    <n v="40"/>
    <n v="4488.8"/>
    <s v="S672"/>
    <x v="2"/>
    <s v="W49"/>
    <x v="0"/>
    <s v="DHL"/>
    <s v="Cape Town-New York"/>
    <n v="2660"/>
    <n v="162"/>
    <x v="0"/>
    <n v="10"/>
    <n v="1977.08"/>
    <n v="344.52"/>
    <n v="2321.6"/>
    <s v="On-time"/>
    <n v="0"/>
    <n v="79.59"/>
    <n v="59"/>
    <n v="107"/>
    <n v="0.87278195488721799"/>
  </r>
  <r>
    <x v="366"/>
    <s v="C3199"/>
    <x v="326"/>
    <d v="2022-05-03T00:00:00"/>
    <x v="2"/>
    <x v="2"/>
    <x v="6"/>
    <x v="1"/>
    <x v="324"/>
    <x v="0"/>
    <s v="Labels"/>
    <x v="320"/>
    <n v="463.92"/>
    <n v="49"/>
    <n v="22732.080000000002"/>
    <s v="S441"/>
    <x v="4"/>
    <s v="W32"/>
    <x v="0"/>
    <s v="FedEx"/>
    <s v="Beijing-Beijing"/>
    <n v="1593"/>
    <n v="289"/>
    <x v="0"/>
    <n v="19"/>
    <n v="1354.2"/>
    <n v="137.9"/>
    <n v="1492.1"/>
    <s v="On-time"/>
    <n v="0"/>
    <n v="96.08"/>
    <n v="188"/>
    <n v="223"/>
    <n v="0.93666038920276207"/>
  </r>
  <r>
    <x v="367"/>
    <s v="C5149"/>
    <x v="327"/>
    <d v="2023-05-09T00:00:00"/>
    <x v="1"/>
    <x v="4"/>
    <x v="2"/>
    <x v="3"/>
    <x v="325"/>
    <x v="2"/>
    <s v="Phones"/>
    <x v="321"/>
    <n v="443.86"/>
    <n v="64"/>
    <n v="28407.040000000001"/>
    <s v="S620"/>
    <x v="3"/>
    <s v="W22"/>
    <x v="1"/>
    <s v="Maersk"/>
    <s v="Mumbai-Berlin"/>
    <n v="3467"/>
    <n v="331"/>
    <x v="0"/>
    <n v="5"/>
    <n v="391.01"/>
    <n v="225.14"/>
    <n v="616.15"/>
    <s v="On-time"/>
    <n v="0"/>
    <n v="75.83"/>
    <n v="266"/>
    <n v="283"/>
    <n v="0.17771848860686471"/>
  </r>
  <r>
    <x v="368"/>
    <s v="C9783"/>
    <x v="328"/>
    <d v="2020-11-18T00:00:00"/>
    <x v="2"/>
    <x v="3"/>
    <x v="0"/>
    <x v="4"/>
    <x v="326"/>
    <x v="1"/>
    <s v="Furnishings"/>
    <x v="322"/>
    <n v="293.23"/>
    <n v="2"/>
    <n v="586.46"/>
    <s v="S857"/>
    <x v="4"/>
    <s v="W29"/>
    <x v="1"/>
    <s v="DHL"/>
    <s v="Beijing-Beijing"/>
    <n v="2393"/>
    <n v="460"/>
    <x v="0"/>
    <n v="10"/>
    <n v="274.01"/>
    <n v="174.73"/>
    <n v="448.74"/>
    <s v="On-time"/>
    <n v="0"/>
    <n v="82.81"/>
    <n v="344"/>
    <n v="310"/>
    <n v="0.18752193898871711"/>
  </r>
  <r>
    <x v="369"/>
    <s v="C7887"/>
    <x v="329"/>
    <d v="2024-04-17T00:00:00"/>
    <x v="1"/>
    <x v="0"/>
    <x v="1"/>
    <x v="7"/>
    <x v="327"/>
    <x v="0"/>
    <s v="Appliances"/>
    <x v="323"/>
    <n v="94.35"/>
    <n v="92"/>
    <n v="8680.1999999999989"/>
    <s v="S652"/>
    <x v="1"/>
    <s v="W47"/>
    <x v="1"/>
    <s v="Maersk"/>
    <s v="Berlin-São Paulo"/>
    <n v="858"/>
    <n v="121"/>
    <x v="0"/>
    <n v="6"/>
    <n v="1472.42"/>
    <n v="311.47000000000003"/>
    <n v="1783.89"/>
    <s v="On-time"/>
    <n v="0"/>
    <n v="72.52"/>
    <n v="354"/>
    <n v="354"/>
    <n v="2.0791258741258742"/>
  </r>
  <r>
    <x v="370"/>
    <s v="C1401"/>
    <x v="134"/>
    <d v="2023-10-16T00:00:00"/>
    <x v="1"/>
    <x v="1"/>
    <x v="7"/>
    <x v="0"/>
    <x v="4"/>
    <x v="0"/>
    <s v="Art"/>
    <x v="4"/>
    <n v="41.98"/>
    <n v="40"/>
    <n v="1679.1999999999998"/>
    <s v="S392"/>
    <x v="4"/>
    <s v="W24"/>
    <x v="3"/>
    <s v="BlueDart"/>
    <s v="Mumbai-Toronto"/>
    <n v="4676"/>
    <n v="131"/>
    <x v="0"/>
    <n v="26"/>
    <n v="497.87"/>
    <n v="15.92"/>
    <n v="513.79"/>
    <s v="On-time"/>
    <n v="0"/>
    <n v="85.3"/>
    <n v="262"/>
    <n v="295"/>
    <n v="0.10987810094097518"/>
  </r>
  <r>
    <x v="371"/>
    <s v="C2694"/>
    <x v="330"/>
    <d v="2021-09-11T00:00:00"/>
    <x v="2"/>
    <x v="2"/>
    <x v="6"/>
    <x v="2"/>
    <x v="328"/>
    <x v="1"/>
    <s v="Chairs"/>
    <x v="324"/>
    <n v="360.43"/>
    <n v="56"/>
    <n v="20184.080000000002"/>
    <s v="S695"/>
    <x v="3"/>
    <s v="W26"/>
    <x v="0"/>
    <s v="UPS"/>
    <s v="Mumbai-São Paulo"/>
    <n v="4179"/>
    <n v="174"/>
    <x v="0"/>
    <n v="14"/>
    <n v="1829.78"/>
    <n v="81.69"/>
    <n v="1911.47"/>
    <s v="Delayed"/>
    <n v="5"/>
    <n v="91.73"/>
    <n v="228"/>
    <n v="191"/>
    <n v="0.45739889925819577"/>
  </r>
  <r>
    <x v="372"/>
    <s v="C5585"/>
    <x v="304"/>
    <d v="2024-07-28T00:00:00"/>
    <x v="2"/>
    <x v="0"/>
    <x v="5"/>
    <x v="1"/>
    <x v="329"/>
    <x v="0"/>
    <s v="Art"/>
    <x v="325"/>
    <n v="357.7"/>
    <n v="10"/>
    <n v="3577"/>
    <s v="S468"/>
    <x v="3"/>
    <s v="W16"/>
    <x v="0"/>
    <s v="DHL"/>
    <s v="Beijing-São Paulo"/>
    <n v="1610"/>
    <n v="372"/>
    <x v="0"/>
    <n v="2"/>
    <n v="1345.21"/>
    <n v="18.16"/>
    <n v="1363.37"/>
    <s v="On-time"/>
    <n v="0"/>
    <n v="73.349999999999994"/>
    <n v="339"/>
    <n v="363"/>
    <n v="0.84681366459627327"/>
  </r>
  <r>
    <x v="373"/>
    <s v="C6553"/>
    <x v="76"/>
    <d v="2024-06-28T00:00:00"/>
    <x v="1"/>
    <x v="1"/>
    <x v="1"/>
    <x v="2"/>
    <x v="330"/>
    <x v="0"/>
    <s v="Art"/>
    <x v="326"/>
    <n v="305.52999999999997"/>
    <n v="59"/>
    <n v="18026.269999999997"/>
    <s v="S567"/>
    <x v="0"/>
    <s v="W2"/>
    <x v="2"/>
    <s v="UPS"/>
    <s v="Cape Town-Mumbai"/>
    <n v="2110"/>
    <n v="215"/>
    <x v="0"/>
    <n v="9"/>
    <n v="1341.13"/>
    <n v="460.44"/>
    <n v="1801.57"/>
    <s v="On-time"/>
    <n v="0"/>
    <n v="97.05"/>
    <n v="95"/>
    <n v="136"/>
    <n v="0.85382464454976303"/>
  </r>
  <r>
    <x v="374"/>
    <s v="C6375"/>
    <x v="310"/>
    <d v="2022-01-08T00:00:00"/>
    <x v="2"/>
    <x v="3"/>
    <x v="4"/>
    <x v="4"/>
    <x v="48"/>
    <x v="0"/>
    <s v="Art"/>
    <x v="48"/>
    <n v="372"/>
    <n v="44"/>
    <n v="16368"/>
    <s v="S740"/>
    <x v="1"/>
    <s v="W9"/>
    <x v="0"/>
    <s v="UPS"/>
    <s v="Beijing-New York"/>
    <n v="94"/>
    <n v="71"/>
    <x v="0"/>
    <n v="7"/>
    <n v="1934.59"/>
    <n v="211.21"/>
    <n v="2145.8000000000002"/>
    <s v="Delayed"/>
    <n v="1"/>
    <n v="75.06"/>
    <n v="74"/>
    <n v="120"/>
    <n v="22.827659574468086"/>
  </r>
  <r>
    <x v="375"/>
    <s v="C2677"/>
    <x v="331"/>
    <d v="2024-10-18T00:00:00"/>
    <x v="1"/>
    <x v="1"/>
    <x v="2"/>
    <x v="0"/>
    <x v="331"/>
    <x v="0"/>
    <s v="Envelopes"/>
    <x v="327"/>
    <n v="115.44"/>
    <n v="71"/>
    <n v="8196.24"/>
    <s v="S804"/>
    <x v="4"/>
    <s v="W9"/>
    <x v="1"/>
    <s v="Maersk"/>
    <s v="São Paulo-New York"/>
    <n v="1059"/>
    <n v="390"/>
    <x v="0"/>
    <n v="3"/>
    <n v="942.64"/>
    <n v="218.7"/>
    <n v="1161.3399999999999"/>
    <s v="On-time"/>
    <n v="0"/>
    <n v="87.53"/>
    <n v="227"/>
    <n v="263"/>
    <n v="1.0966383380547686"/>
  </r>
  <r>
    <x v="376"/>
    <s v="C3760"/>
    <x v="332"/>
    <d v="2022-05-08T00:00:00"/>
    <x v="2"/>
    <x v="3"/>
    <x v="7"/>
    <x v="0"/>
    <x v="332"/>
    <x v="0"/>
    <s v="Fasteners"/>
    <x v="328"/>
    <n v="422.22"/>
    <n v="37"/>
    <n v="15622.140000000001"/>
    <s v="S297"/>
    <x v="4"/>
    <s v="W1"/>
    <x v="2"/>
    <s v="FedEx"/>
    <s v="Toronto-Mumbai"/>
    <n v="3462"/>
    <n v="236"/>
    <x v="0"/>
    <n v="8"/>
    <n v="1315.39"/>
    <n v="105.6"/>
    <n v="1420.99"/>
    <s v="On-time"/>
    <n v="0"/>
    <n v="79.31"/>
    <n v="113"/>
    <n v="99"/>
    <n v="0.4104534950895436"/>
  </r>
  <r>
    <x v="377"/>
    <s v="C3869"/>
    <x v="333"/>
    <d v="2020-07-19T00:00:00"/>
    <x v="2"/>
    <x v="0"/>
    <x v="3"/>
    <x v="2"/>
    <x v="333"/>
    <x v="2"/>
    <s v="Accessories"/>
    <x v="329"/>
    <n v="400.41"/>
    <n v="84"/>
    <n v="33634.44"/>
    <s v="S897"/>
    <x v="0"/>
    <s v="W2"/>
    <x v="2"/>
    <s v="BlueDart"/>
    <s v="Toronto-Cape Town"/>
    <n v="537"/>
    <n v="409"/>
    <x v="0"/>
    <n v="25"/>
    <n v="525.48"/>
    <n v="352.82"/>
    <n v="878.3"/>
    <s v="On-time"/>
    <n v="0"/>
    <n v="83.23"/>
    <n v="109"/>
    <n v="101"/>
    <n v="1.6355679702048416"/>
  </r>
  <r>
    <x v="378"/>
    <s v="C2973"/>
    <x v="228"/>
    <d v="2022-02-20T00:00:00"/>
    <x v="1"/>
    <x v="4"/>
    <x v="6"/>
    <x v="4"/>
    <x v="334"/>
    <x v="2"/>
    <s v="Machines"/>
    <x v="330"/>
    <n v="215.08"/>
    <n v="93"/>
    <n v="20002.440000000002"/>
    <s v="S777"/>
    <x v="4"/>
    <s v="W26"/>
    <x v="2"/>
    <s v="DHL"/>
    <s v="Toronto-São Paulo"/>
    <n v="17"/>
    <n v="119"/>
    <x v="1"/>
    <n v="19"/>
    <n v="1877.46"/>
    <n v="322.63"/>
    <n v="2200.09"/>
    <s v="On-time"/>
    <n v="0"/>
    <n v="73.81"/>
    <n v="151"/>
    <n v="159"/>
    <n v="129.41705882352943"/>
  </r>
  <r>
    <x v="379"/>
    <s v="C8727"/>
    <x v="334"/>
    <d v="2024-10-18T00:00:00"/>
    <x v="2"/>
    <x v="4"/>
    <x v="6"/>
    <x v="4"/>
    <x v="335"/>
    <x v="1"/>
    <s v="Furnishings"/>
    <x v="331"/>
    <n v="175.96"/>
    <n v="83"/>
    <n v="14604.68"/>
    <s v="S394"/>
    <x v="1"/>
    <s v="W17"/>
    <x v="2"/>
    <s v="Maersk"/>
    <s v="New York-London"/>
    <n v="3980"/>
    <n v="237"/>
    <x v="0"/>
    <n v="27"/>
    <n v="89.56"/>
    <n v="350.76"/>
    <n v="440.32"/>
    <s v="On-time"/>
    <n v="0"/>
    <n v="74.19"/>
    <n v="61"/>
    <n v="44"/>
    <n v="0.11063316582914573"/>
  </r>
  <r>
    <x v="380"/>
    <s v="C7570"/>
    <x v="80"/>
    <d v="2022-12-08T00:00:00"/>
    <x v="2"/>
    <x v="0"/>
    <x v="0"/>
    <x v="1"/>
    <x v="336"/>
    <x v="0"/>
    <s v="Binders"/>
    <x v="332"/>
    <n v="205.67"/>
    <n v="58"/>
    <n v="11928.859999999999"/>
    <s v="S751"/>
    <x v="4"/>
    <s v="W20"/>
    <x v="3"/>
    <s v="DHL"/>
    <s v="Toronto-London"/>
    <n v="3480"/>
    <n v="163"/>
    <x v="0"/>
    <n v="18"/>
    <n v="810.79"/>
    <n v="445.4"/>
    <n v="1256.19"/>
    <s v="On-time"/>
    <n v="0"/>
    <n v="85.54"/>
    <n v="320"/>
    <n v="365"/>
    <n v="0.3609741379310345"/>
  </r>
  <r>
    <x v="381"/>
    <s v="C6714"/>
    <x v="335"/>
    <d v="2022-03-09T00:00:00"/>
    <x v="0"/>
    <x v="2"/>
    <x v="7"/>
    <x v="7"/>
    <x v="337"/>
    <x v="0"/>
    <s v="Paper"/>
    <x v="333"/>
    <n v="403.76"/>
    <n v="66"/>
    <n v="26648.16"/>
    <s v="S189"/>
    <x v="3"/>
    <s v="W18"/>
    <x v="0"/>
    <s v="Maersk"/>
    <s v="Mumbai-Berlin"/>
    <n v="4581"/>
    <n v="469"/>
    <x v="0"/>
    <n v="4"/>
    <n v="1630.77"/>
    <n v="102.36"/>
    <n v="1733.13"/>
    <s v="On-time"/>
    <n v="0"/>
    <n v="72.81"/>
    <n v="125"/>
    <n v="90"/>
    <n v="0.37833005893909627"/>
  </r>
  <r>
    <x v="382"/>
    <s v="C5663"/>
    <x v="336"/>
    <d v="2024-04-24T00:00:00"/>
    <x v="0"/>
    <x v="0"/>
    <x v="6"/>
    <x v="2"/>
    <x v="338"/>
    <x v="1"/>
    <s v="Furnishings"/>
    <x v="334"/>
    <n v="255.68"/>
    <n v="72"/>
    <n v="18408.96"/>
    <s v="S273"/>
    <x v="2"/>
    <s v="W40"/>
    <x v="2"/>
    <s v="Maersk"/>
    <s v="Berlin-New York"/>
    <n v="1394"/>
    <n v="417"/>
    <x v="0"/>
    <n v="25"/>
    <n v="561.62"/>
    <n v="12.49"/>
    <n v="574.11"/>
    <s v="On-time"/>
    <n v="0"/>
    <n v="80.92"/>
    <n v="438"/>
    <n v="396"/>
    <n v="0.4118436154949785"/>
  </r>
  <r>
    <x v="383"/>
    <s v="C8597"/>
    <x v="337"/>
    <d v="2020-04-01T00:00:00"/>
    <x v="1"/>
    <x v="1"/>
    <x v="4"/>
    <x v="3"/>
    <x v="339"/>
    <x v="1"/>
    <s v="Tables"/>
    <x v="335"/>
    <n v="24.56"/>
    <n v="30"/>
    <n v="736.8"/>
    <s v="S513"/>
    <x v="3"/>
    <s v="W48"/>
    <x v="0"/>
    <s v="FedEx"/>
    <s v="Berlin-São Paulo"/>
    <n v="3695"/>
    <n v="257"/>
    <x v="0"/>
    <n v="10"/>
    <n v="1418.31"/>
    <n v="82.6"/>
    <n v="1500.91"/>
    <s v="On-time"/>
    <n v="0"/>
    <n v="74.2"/>
    <n v="326"/>
    <n v="304"/>
    <n v="0.40620027063599462"/>
  </r>
  <r>
    <x v="384"/>
    <s v="C7939"/>
    <x v="338"/>
    <d v="2023-12-03T00:00:00"/>
    <x v="2"/>
    <x v="4"/>
    <x v="3"/>
    <x v="4"/>
    <x v="304"/>
    <x v="1"/>
    <s v="Tables"/>
    <x v="301"/>
    <n v="464.3"/>
    <n v="79"/>
    <n v="36679.700000000004"/>
    <s v="S661"/>
    <x v="0"/>
    <s v="W1"/>
    <x v="0"/>
    <s v="FedEx"/>
    <s v="London-London"/>
    <n v="136"/>
    <n v="444"/>
    <x v="1"/>
    <n v="14"/>
    <n v="826.12"/>
    <n v="348.32"/>
    <n v="1174.44"/>
    <s v="On-time"/>
    <n v="0"/>
    <n v="88.97"/>
    <n v="156"/>
    <n v="185"/>
    <n v="8.6355882352941187"/>
  </r>
  <r>
    <x v="385"/>
    <s v="C8056"/>
    <x v="339"/>
    <d v="2024-11-10T00:00:00"/>
    <x v="2"/>
    <x v="1"/>
    <x v="6"/>
    <x v="3"/>
    <x v="340"/>
    <x v="0"/>
    <s v="Storage"/>
    <x v="336"/>
    <n v="316.83"/>
    <n v="7"/>
    <n v="2217.81"/>
    <s v="S548"/>
    <x v="3"/>
    <s v="W22"/>
    <x v="0"/>
    <s v="FedEx"/>
    <s v="Mumbai-Toronto"/>
    <n v="1869"/>
    <n v="62"/>
    <x v="0"/>
    <n v="3"/>
    <n v="1286.95"/>
    <n v="335.69"/>
    <n v="1622.64"/>
    <s v="On-time"/>
    <n v="0"/>
    <n v="70.34"/>
    <n v="378"/>
    <n v="363"/>
    <n v="0.86818619582664536"/>
  </r>
  <r>
    <x v="386"/>
    <s v="C2380"/>
    <x v="340"/>
    <d v="2025-01-07T00:00:00"/>
    <x v="1"/>
    <x v="2"/>
    <x v="0"/>
    <x v="6"/>
    <x v="341"/>
    <x v="0"/>
    <s v="Binders"/>
    <x v="337"/>
    <n v="93.91"/>
    <n v="37"/>
    <n v="3474.67"/>
    <s v="S971"/>
    <x v="3"/>
    <s v="W41"/>
    <x v="0"/>
    <s v="Maersk"/>
    <s v="Berlin-New York"/>
    <n v="2136"/>
    <n v="74"/>
    <x v="0"/>
    <n v="7"/>
    <n v="1151.6600000000001"/>
    <n v="467.98"/>
    <n v="1619.64"/>
    <s v="On-time"/>
    <n v="0"/>
    <n v="82.39"/>
    <n v="233"/>
    <n v="266"/>
    <n v="0.7582584269662922"/>
  </r>
  <r>
    <x v="387"/>
    <s v="C9907"/>
    <x v="341"/>
    <d v="2023-04-21T00:00:00"/>
    <x v="2"/>
    <x v="1"/>
    <x v="7"/>
    <x v="6"/>
    <x v="342"/>
    <x v="0"/>
    <s v="Storage"/>
    <x v="338"/>
    <n v="262.88"/>
    <n v="80"/>
    <n v="21030.400000000001"/>
    <s v="S775"/>
    <x v="0"/>
    <s v="W22"/>
    <x v="3"/>
    <s v="FedEx"/>
    <s v="Berlin-London"/>
    <n v="697"/>
    <n v="134"/>
    <x v="0"/>
    <n v="22"/>
    <n v="1368.62"/>
    <n v="77.27"/>
    <n v="1445.89"/>
    <s v="On-time"/>
    <n v="0"/>
    <n v="88.81"/>
    <n v="247"/>
    <n v="247"/>
    <n v="2.0744476327116215"/>
  </r>
  <r>
    <x v="388"/>
    <s v="C2155"/>
    <x v="342"/>
    <d v="2020-02-10T00:00:00"/>
    <x v="0"/>
    <x v="0"/>
    <x v="0"/>
    <x v="1"/>
    <x v="343"/>
    <x v="0"/>
    <s v="Binders"/>
    <x v="339"/>
    <n v="312.11"/>
    <n v="34"/>
    <n v="10611.74"/>
    <s v="S565"/>
    <x v="2"/>
    <s v="W39"/>
    <x v="1"/>
    <s v="BlueDart"/>
    <s v="London-New York"/>
    <n v="3990"/>
    <n v="473"/>
    <x v="0"/>
    <n v="11"/>
    <n v="1875.33"/>
    <n v="401.93"/>
    <n v="2277.2600000000002"/>
    <s v="On-time"/>
    <n v="0"/>
    <n v="96.24"/>
    <n v="402"/>
    <n v="418"/>
    <n v="0.57074185463659155"/>
  </r>
  <r>
    <x v="389"/>
    <s v="C8969"/>
    <x v="343"/>
    <d v="2021-05-20T00:00:00"/>
    <x v="2"/>
    <x v="1"/>
    <x v="3"/>
    <x v="1"/>
    <x v="344"/>
    <x v="0"/>
    <s v="Envelopes"/>
    <x v="27"/>
    <n v="391.95"/>
    <n v="46"/>
    <n v="18029.7"/>
    <s v="S975"/>
    <x v="0"/>
    <s v="W7"/>
    <x v="1"/>
    <s v="FedEx"/>
    <s v="Berlin-London"/>
    <n v="1302"/>
    <n v="164"/>
    <x v="0"/>
    <n v="17"/>
    <n v="106.4"/>
    <n v="455.07"/>
    <n v="561.47"/>
    <s v="Delayed"/>
    <n v="10"/>
    <n v="90"/>
    <n v="485"/>
    <n v="526"/>
    <n v="0.43123655913978498"/>
  </r>
  <r>
    <x v="390"/>
    <s v="C8045"/>
    <x v="344"/>
    <d v="2020-05-14T00:00:00"/>
    <x v="2"/>
    <x v="4"/>
    <x v="1"/>
    <x v="3"/>
    <x v="251"/>
    <x v="1"/>
    <s v="Chairs"/>
    <x v="249"/>
    <n v="11.44"/>
    <n v="74"/>
    <n v="846.56"/>
    <s v="S387"/>
    <x v="1"/>
    <s v="W42"/>
    <x v="2"/>
    <s v="FedEx"/>
    <s v="New York-Cape Town"/>
    <n v="594"/>
    <n v="232"/>
    <x v="0"/>
    <n v="21"/>
    <n v="1529.63"/>
    <n v="431.87"/>
    <n v="1961.5"/>
    <s v="On-time"/>
    <n v="0"/>
    <n v="86.38"/>
    <n v="117"/>
    <n v="139"/>
    <n v="3.3021885521885523"/>
  </r>
  <r>
    <x v="391"/>
    <s v="C5359"/>
    <x v="345"/>
    <d v="2024-08-15T00:00:00"/>
    <x v="1"/>
    <x v="1"/>
    <x v="3"/>
    <x v="6"/>
    <x v="251"/>
    <x v="1"/>
    <s v="Chairs"/>
    <x v="249"/>
    <n v="167.06"/>
    <n v="89"/>
    <n v="14868.34"/>
    <s v="S910"/>
    <x v="0"/>
    <s v="W21"/>
    <x v="3"/>
    <s v="BlueDart"/>
    <s v="Berlin-Toronto"/>
    <n v="4407"/>
    <n v="191"/>
    <x v="0"/>
    <n v="10"/>
    <n v="1568.28"/>
    <n v="432.12"/>
    <n v="2000.4"/>
    <s v="On-time"/>
    <n v="0"/>
    <n v="93.03"/>
    <n v="452"/>
    <n v="411"/>
    <n v="0.45391422736555481"/>
  </r>
  <r>
    <x v="392"/>
    <s v="C8293"/>
    <x v="346"/>
    <d v="2023-08-21T00:00:00"/>
    <x v="2"/>
    <x v="4"/>
    <x v="7"/>
    <x v="3"/>
    <x v="345"/>
    <x v="1"/>
    <s v="Furnishings"/>
    <x v="340"/>
    <n v="392.17"/>
    <n v="51"/>
    <n v="20000.670000000002"/>
    <s v="S209"/>
    <x v="3"/>
    <s v="W28"/>
    <x v="3"/>
    <s v="BlueDart"/>
    <s v="New York-Mumbai"/>
    <n v="65"/>
    <n v="373"/>
    <x v="1"/>
    <n v="1"/>
    <n v="1164.58"/>
    <n v="319.69"/>
    <n v="1484.27"/>
    <s v="On-time"/>
    <n v="0"/>
    <n v="91.91"/>
    <n v="263"/>
    <n v="222"/>
    <n v="22.834923076923076"/>
  </r>
  <r>
    <x v="393"/>
    <s v="C9716"/>
    <x v="347"/>
    <d v="2020-08-22T00:00:00"/>
    <x v="2"/>
    <x v="4"/>
    <x v="3"/>
    <x v="2"/>
    <x v="260"/>
    <x v="0"/>
    <s v="Binders"/>
    <x v="258"/>
    <n v="344.2"/>
    <n v="43"/>
    <n v="14800.6"/>
    <s v="S832"/>
    <x v="0"/>
    <s v="W14"/>
    <x v="3"/>
    <s v="DHL"/>
    <s v="Berlin-New York"/>
    <n v="3883"/>
    <n v="68"/>
    <x v="0"/>
    <n v="17"/>
    <n v="1465.92"/>
    <n v="34.4"/>
    <n v="1500.32"/>
    <s v="On-time"/>
    <n v="0"/>
    <n v="76.569999999999993"/>
    <n v="486"/>
    <n v="492"/>
    <n v="0.3863816636621169"/>
  </r>
  <r>
    <x v="394"/>
    <s v="C4084"/>
    <x v="348"/>
    <d v="2021-07-16T00:00:00"/>
    <x v="2"/>
    <x v="0"/>
    <x v="5"/>
    <x v="1"/>
    <x v="346"/>
    <x v="0"/>
    <s v="Binders"/>
    <x v="341"/>
    <n v="207.24"/>
    <n v="97"/>
    <n v="20102.280000000002"/>
    <s v="S222"/>
    <x v="2"/>
    <s v="W43"/>
    <x v="0"/>
    <s v="FedEx"/>
    <s v="Beijing-São Paulo"/>
    <n v="2375"/>
    <n v="420"/>
    <x v="0"/>
    <n v="19"/>
    <n v="1241.01"/>
    <n v="277.16000000000003"/>
    <n v="1518.17"/>
    <s v="On-time"/>
    <n v="0"/>
    <n v="98.5"/>
    <n v="133"/>
    <n v="116"/>
    <n v="0.63922947368421057"/>
  </r>
  <r>
    <x v="395"/>
    <s v="C9132"/>
    <x v="349"/>
    <d v="2022-10-11T00:00:00"/>
    <x v="2"/>
    <x v="0"/>
    <x v="7"/>
    <x v="6"/>
    <x v="145"/>
    <x v="0"/>
    <s v="Paper"/>
    <x v="144"/>
    <n v="303.32"/>
    <n v="35"/>
    <n v="10616.199999999999"/>
    <s v="S644"/>
    <x v="0"/>
    <s v="W44"/>
    <x v="3"/>
    <s v="UPS"/>
    <s v="Mumbai-Berlin"/>
    <n v="3671"/>
    <n v="490"/>
    <x v="0"/>
    <n v="2"/>
    <n v="832.16"/>
    <n v="417.15"/>
    <n v="1249.31"/>
    <s v="On-time"/>
    <n v="0"/>
    <n v="82.32"/>
    <n v="441"/>
    <n v="426"/>
    <n v="0.34031871424679921"/>
  </r>
  <r>
    <x v="396"/>
    <s v="C4450"/>
    <x v="350"/>
    <d v="2022-09-19T00:00:00"/>
    <x v="2"/>
    <x v="2"/>
    <x v="7"/>
    <x v="7"/>
    <x v="347"/>
    <x v="1"/>
    <s v="Chairs"/>
    <x v="342"/>
    <n v="427.3"/>
    <n v="3"/>
    <n v="1281.9000000000001"/>
    <s v="S219"/>
    <x v="4"/>
    <s v="W27"/>
    <x v="3"/>
    <s v="BlueDart"/>
    <s v="São Paulo-Toronto"/>
    <n v="1933"/>
    <n v="176"/>
    <x v="0"/>
    <n v="3"/>
    <n v="1504.9"/>
    <n v="198.57"/>
    <n v="1703.47"/>
    <s v="On-time"/>
    <n v="0"/>
    <n v="82.99"/>
    <n v="473"/>
    <n v="497"/>
    <n v="0.8812571132953958"/>
  </r>
  <r>
    <x v="397"/>
    <s v="C9509"/>
    <x v="351"/>
    <d v="2021-01-25T00:00:00"/>
    <x v="2"/>
    <x v="0"/>
    <x v="1"/>
    <x v="7"/>
    <x v="348"/>
    <x v="1"/>
    <s v="Furnishings"/>
    <x v="343"/>
    <n v="94.06"/>
    <n v="37"/>
    <n v="3480.2200000000003"/>
    <s v="S623"/>
    <x v="0"/>
    <s v="W6"/>
    <x v="3"/>
    <s v="UPS"/>
    <s v="São Paulo-Beijing"/>
    <n v="1647"/>
    <n v="91"/>
    <x v="0"/>
    <n v="2"/>
    <n v="618.78"/>
    <n v="295.8"/>
    <n v="914.57999999999993"/>
    <s v="On-time"/>
    <n v="0"/>
    <n v="74.91"/>
    <n v="68"/>
    <n v="73"/>
    <n v="0.55530054644808735"/>
  </r>
  <r>
    <x v="398"/>
    <s v="C1609"/>
    <x v="352"/>
    <d v="2023-03-08T00:00:00"/>
    <x v="1"/>
    <x v="2"/>
    <x v="6"/>
    <x v="7"/>
    <x v="349"/>
    <x v="0"/>
    <s v="Appliances"/>
    <x v="344"/>
    <n v="119.52"/>
    <n v="41"/>
    <n v="4900.32"/>
    <s v="S900"/>
    <x v="2"/>
    <s v="W12"/>
    <x v="2"/>
    <s v="BlueDart"/>
    <s v="São Paulo-Toronto"/>
    <n v="1966"/>
    <n v="409"/>
    <x v="0"/>
    <n v="19"/>
    <n v="1409.39"/>
    <n v="23.83"/>
    <n v="1433.22"/>
    <s v="On-time"/>
    <n v="0"/>
    <n v="79.400000000000006"/>
    <n v="480"/>
    <n v="465"/>
    <n v="0.72900305188199388"/>
  </r>
  <r>
    <x v="399"/>
    <s v="C7277"/>
    <x v="353"/>
    <d v="2020-03-21T00:00:00"/>
    <x v="2"/>
    <x v="1"/>
    <x v="0"/>
    <x v="1"/>
    <x v="350"/>
    <x v="0"/>
    <s v="Art"/>
    <x v="345"/>
    <n v="280"/>
    <n v="44"/>
    <n v="12320"/>
    <s v="S681"/>
    <x v="1"/>
    <s v="W17"/>
    <x v="1"/>
    <s v="Maersk"/>
    <s v="Beijing-Beijing"/>
    <n v="1314"/>
    <n v="327"/>
    <x v="0"/>
    <n v="17"/>
    <n v="1260.53"/>
    <n v="42.88"/>
    <n v="1303.4100000000001"/>
    <s v="Delayed"/>
    <n v="7"/>
    <n v="78.36"/>
    <n v="480"/>
    <n v="489"/>
    <n v="0.99194063926940645"/>
  </r>
  <r>
    <x v="400"/>
    <s v="C2865"/>
    <x v="354"/>
    <d v="2022-11-12T00:00:00"/>
    <x v="2"/>
    <x v="3"/>
    <x v="1"/>
    <x v="6"/>
    <x v="351"/>
    <x v="0"/>
    <s v="Paper"/>
    <x v="346"/>
    <n v="344.96"/>
    <n v="10"/>
    <n v="3449.6"/>
    <s v="S855"/>
    <x v="3"/>
    <s v="W11"/>
    <x v="2"/>
    <s v="FedEx"/>
    <s v="New York-Toronto"/>
    <n v="4508"/>
    <n v="190"/>
    <x v="0"/>
    <n v="28"/>
    <n v="798"/>
    <n v="423.51"/>
    <n v="1221.51"/>
    <s v="On-time"/>
    <n v="0"/>
    <n v="99.96"/>
    <n v="180"/>
    <n v="192"/>
    <n v="0.27096495119787045"/>
  </r>
  <r>
    <x v="401"/>
    <s v="C5839"/>
    <x v="355"/>
    <d v="2022-02-07T00:00:00"/>
    <x v="1"/>
    <x v="0"/>
    <x v="6"/>
    <x v="7"/>
    <x v="352"/>
    <x v="2"/>
    <s v="Phones"/>
    <x v="347"/>
    <n v="499.5"/>
    <n v="48"/>
    <n v="23976"/>
    <s v="S327"/>
    <x v="2"/>
    <s v="W33"/>
    <x v="3"/>
    <s v="UPS"/>
    <s v="São Paulo-Toronto"/>
    <n v="4381"/>
    <n v="440"/>
    <x v="0"/>
    <n v="17"/>
    <n v="1197.43"/>
    <n v="454.86"/>
    <n v="1652.29"/>
    <s v="On-time"/>
    <n v="0"/>
    <n v="81.88"/>
    <n v="268"/>
    <n v="252"/>
    <n v="0.37714905272768773"/>
  </r>
  <r>
    <x v="402"/>
    <s v="C1940"/>
    <x v="356"/>
    <d v="2022-08-18T00:00:00"/>
    <x v="2"/>
    <x v="1"/>
    <x v="6"/>
    <x v="5"/>
    <x v="353"/>
    <x v="1"/>
    <s v="Chairs"/>
    <x v="348"/>
    <n v="273.02999999999997"/>
    <n v="71"/>
    <n v="19385.129999999997"/>
    <s v="S430"/>
    <x v="1"/>
    <s v="W14"/>
    <x v="0"/>
    <s v="DHL"/>
    <s v="Mumbai-London"/>
    <n v="2445"/>
    <n v="478"/>
    <x v="0"/>
    <n v="6"/>
    <n v="1152.27"/>
    <n v="67.63"/>
    <n v="1219.9000000000001"/>
    <s v="On-time"/>
    <n v="0"/>
    <n v="92.26"/>
    <n v="459"/>
    <n v="492"/>
    <n v="0.49893660531697342"/>
  </r>
  <r>
    <x v="403"/>
    <s v="C7562"/>
    <x v="357"/>
    <d v="2024-06-04T00:00:00"/>
    <x v="1"/>
    <x v="1"/>
    <x v="5"/>
    <x v="0"/>
    <x v="354"/>
    <x v="0"/>
    <s v="Art"/>
    <x v="349"/>
    <n v="353.47"/>
    <n v="2"/>
    <n v="706.94"/>
    <s v="S549"/>
    <x v="2"/>
    <s v="W32"/>
    <x v="2"/>
    <s v="FedEx"/>
    <s v="London-São Paulo"/>
    <n v="3525"/>
    <n v="365"/>
    <x v="0"/>
    <n v="5"/>
    <n v="1878.21"/>
    <n v="454.12"/>
    <n v="2332.33"/>
    <s v="On-time"/>
    <n v="0"/>
    <n v="72.55"/>
    <n v="465"/>
    <n v="465"/>
    <n v="0.66165390070921981"/>
  </r>
  <r>
    <x v="404"/>
    <s v="C2794"/>
    <x v="358"/>
    <d v="2023-07-20T00:00:00"/>
    <x v="2"/>
    <x v="0"/>
    <x v="3"/>
    <x v="1"/>
    <x v="355"/>
    <x v="0"/>
    <s v="Binders"/>
    <x v="350"/>
    <n v="86.56"/>
    <n v="32"/>
    <n v="2769.92"/>
    <s v="S780"/>
    <x v="0"/>
    <s v="W32"/>
    <x v="0"/>
    <s v="DHL"/>
    <s v="São Paulo-Berlin"/>
    <n v="1646"/>
    <n v="492"/>
    <x v="0"/>
    <n v="6"/>
    <n v="1265.8699999999999"/>
    <n v="226.68"/>
    <n v="1492.55"/>
    <s v="On-time"/>
    <n v="0"/>
    <n v="89.79"/>
    <n v="260"/>
    <n v="269"/>
    <n v="0.90677399756986632"/>
  </r>
  <r>
    <x v="405"/>
    <s v="C3781"/>
    <x v="359"/>
    <d v="2022-12-09T00:00:00"/>
    <x v="2"/>
    <x v="3"/>
    <x v="6"/>
    <x v="0"/>
    <x v="138"/>
    <x v="0"/>
    <s v="Labels"/>
    <x v="137"/>
    <n v="171.87"/>
    <n v="42"/>
    <n v="7218.54"/>
    <s v="S100"/>
    <x v="0"/>
    <s v="W26"/>
    <x v="1"/>
    <s v="FedEx"/>
    <s v="Mumbai-Beijing"/>
    <n v="3144"/>
    <n v="214"/>
    <x v="0"/>
    <n v="15"/>
    <n v="328.32"/>
    <n v="75.06"/>
    <n v="403.38"/>
    <s v="On-time"/>
    <n v="0"/>
    <n v="88.87"/>
    <n v="204"/>
    <n v="184"/>
    <n v="0.12830152671755726"/>
  </r>
  <r>
    <x v="406"/>
    <s v="C8990"/>
    <x v="360"/>
    <d v="2023-01-30T00:00:00"/>
    <x v="2"/>
    <x v="3"/>
    <x v="3"/>
    <x v="6"/>
    <x v="356"/>
    <x v="0"/>
    <s v="Art"/>
    <x v="351"/>
    <n v="99.45"/>
    <n v="62"/>
    <n v="6165.9000000000005"/>
    <s v="S483"/>
    <x v="0"/>
    <s v="W29"/>
    <x v="2"/>
    <s v="DHL"/>
    <s v="Mumbai-New York"/>
    <n v="2890"/>
    <n v="84"/>
    <x v="0"/>
    <n v="9"/>
    <n v="95.52"/>
    <n v="414.73"/>
    <n v="510.25"/>
    <s v="On-time"/>
    <n v="0"/>
    <n v="76.42"/>
    <n v="373"/>
    <n v="393"/>
    <n v="0.17655709342560555"/>
  </r>
  <r>
    <x v="407"/>
    <s v="C5788"/>
    <x v="361"/>
    <d v="2022-03-07T00:00:00"/>
    <x v="1"/>
    <x v="1"/>
    <x v="3"/>
    <x v="0"/>
    <x v="357"/>
    <x v="0"/>
    <s v="Binders"/>
    <x v="352"/>
    <n v="428.73"/>
    <n v="46"/>
    <n v="19721.580000000002"/>
    <s v="S758"/>
    <x v="1"/>
    <s v="W9"/>
    <x v="0"/>
    <s v="Maersk"/>
    <s v="Berlin-Toronto"/>
    <n v="3341"/>
    <n v="371"/>
    <x v="0"/>
    <n v="12"/>
    <n v="79.22"/>
    <n v="451.68"/>
    <n v="530.9"/>
    <s v="On-time"/>
    <n v="0"/>
    <n v="72.459999999999994"/>
    <n v="80"/>
    <n v="40"/>
    <n v="0.1589045196049087"/>
  </r>
  <r>
    <x v="408"/>
    <s v="C8353"/>
    <x v="362"/>
    <d v="2021-12-04T00:00:00"/>
    <x v="2"/>
    <x v="4"/>
    <x v="0"/>
    <x v="6"/>
    <x v="358"/>
    <x v="0"/>
    <s v="Labels"/>
    <x v="353"/>
    <n v="357.82"/>
    <n v="93"/>
    <n v="33277.26"/>
    <s v="S894"/>
    <x v="1"/>
    <s v="W23"/>
    <x v="1"/>
    <s v="UPS"/>
    <s v="Cape Town-São Paulo"/>
    <n v="2609"/>
    <n v="170"/>
    <x v="0"/>
    <n v="24"/>
    <n v="1177.8900000000001"/>
    <n v="377.22"/>
    <n v="1555.11"/>
    <s v="On-time"/>
    <n v="0"/>
    <n v="89.67"/>
    <n v="489"/>
    <n v="512"/>
    <n v="0.5960559601379839"/>
  </r>
  <r>
    <x v="409"/>
    <s v="C9768"/>
    <x v="363"/>
    <d v="2021-05-22T00:00:00"/>
    <x v="2"/>
    <x v="1"/>
    <x v="1"/>
    <x v="2"/>
    <x v="359"/>
    <x v="0"/>
    <s v="Labels"/>
    <x v="354"/>
    <n v="399.17"/>
    <n v="32"/>
    <n v="12773.44"/>
    <s v="S260"/>
    <x v="0"/>
    <s v="W4"/>
    <x v="2"/>
    <s v="FedEx"/>
    <s v="Cape Town-São Paulo"/>
    <n v="978"/>
    <n v="191"/>
    <x v="0"/>
    <n v="23"/>
    <n v="115.65"/>
    <n v="358.35"/>
    <n v="474"/>
    <s v="On-time"/>
    <n v="0"/>
    <n v="77.47"/>
    <n v="412"/>
    <n v="422"/>
    <n v="0.48466257668711654"/>
  </r>
  <r>
    <x v="410"/>
    <s v="C6081"/>
    <x v="364"/>
    <d v="2023-10-21T00:00:00"/>
    <x v="1"/>
    <x v="3"/>
    <x v="5"/>
    <x v="7"/>
    <x v="360"/>
    <x v="0"/>
    <s v="Storage"/>
    <x v="355"/>
    <n v="375.92"/>
    <n v="52"/>
    <n v="19547.84"/>
    <s v="S634"/>
    <x v="2"/>
    <s v="W17"/>
    <x v="3"/>
    <s v="Maersk"/>
    <s v="Cape Town-London"/>
    <n v="4734"/>
    <n v="435"/>
    <x v="0"/>
    <n v="22"/>
    <n v="1593.21"/>
    <n v="151.78"/>
    <n v="1744.99"/>
    <s v="On-time"/>
    <n v="0"/>
    <n v="73.3"/>
    <n v="286"/>
    <n v="239"/>
    <n v="0.36860794254330376"/>
  </r>
  <r>
    <x v="411"/>
    <s v="C2432"/>
    <x v="365"/>
    <d v="2024-06-30T00:00:00"/>
    <x v="1"/>
    <x v="1"/>
    <x v="4"/>
    <x v="3"/>
    <x v="361"/>
    <x v="0"/>
    <s v="Storage"/>
    <x v="356"/>
    <n v="93.54"/>
    <n v="52"/>
    <n v="4864.08"/>
    <s v="S265"/>
    <x v="3"/>
    <s v="W2"/>
    <x v="0"/>
    <s v="BlueDart"/>
    <s v="Cape Town-Cape Town"/>
    <n v="3566"/>
    <n v="279"/>
    <x v="0"/>
    <n v="21"/>
    <n v="1105.25"/>
    <n v="470.02"/>
    <n v="1575.27"/>
    <s v="On-time"/>
    <n v="0"/>
    <n v="98.11"/>
    <n v="359"/>
    <n v="326"/>
    <n v="0.44174705552439708"/>
  </r>
  <r>
    <x v="412"/>
    <s v="C5097"/>
    <x v="136"/>
    <d v="2024-03-06T00:00:00"/>
    <x v="2"/>
    <x v="3"/>
    <x v="2"/>
    <x v="6"/>
    <x v="362"/>
    <x v="0"/>
    <s v="Storage"/>
    <x v="357"/>
    <n v="170.23"/>
    <n v="55"/>
    <n v="9362.65"/>
    <s v="S208"/>
    <x v="3"/>
    <s v="W20"/>
    <x v="0"/>
    <s v="Maersk"/>
    <s v="Berlin-Beijing"/>
    <n v="2404"/>
    <n v="277"/>
    <x v="0"/>
    <n v="25"/>
    <n v="1872.62"/>
    <n v="388.32"/>
    <n v="2260.94"/>
    <s v="On-time"/>
    <n v="0"/>
    <n v="74.83"/>
    <n v="488"/>
    <n v="499"/>
    <n v="0.94049084858569054"/>
  </r>
  <r>
    <x v="413"/>
    <s v="C2191"/>
    <x v="366"/>
    <d v="2023-03-19T00:00:00"/>
    <x v="1"/>
    <x v="2"/>
    <x v="2"/>
    <x v="4"/>
    <x v="110"/>
    <x v="2"/>
    <s v="Accessories"/>
    <x v="109"/>
    <n v="244.19"/>
    <n v="46"/>
    <n v="11232.74"/>
    <s v="S773"/>
    <x v="1"/>
    <s v="W10"/>
    <x v="0"/>
    <s v="DHL"/>
    <s v="Cape Town-Cape Town"/>
    <n v="3684"/>
    <n v="142"/>
    <x v="0"/>
    <n v="4"/>
    <n v="518.75"/>
    <n v="79.36"/>
    <n v="598.11"/>
    <s v="On-time"/>
    <n v="0"/>
    <n v="73.81"/>
    <n v="262"/>
    <n v="286"/>
    <n v="0.16235342019543975"/>
  </r>
  <r>
    <x v="414"/>
    <s v="C8074"/>
    <x v="367"/>
    <d v="2021-06-07T00:00:00"/>
    <x v="2"/>
    <x v="0"/>
    <x v="1"/>
    <x v="7"/>
    <x v="363"/>
    <x v="2"/>
    <s v="Phones"/>
    <x v="358"/>
    <n v="235.76"/>
    <n v="46"/>
    <n v="10844.96"/>
    <s v="S259"/>
    <x v="3"/>
    <s v="W21"/>
    <x v="0"/>
    <s v="UPS"/>
    <s v="São Paulo-Toronto"/>
    <n v="2177"/>
    <n v="450"/>
    <x v="0"/>
    <n v="15"/>
    <n v="1932.03"/>
    <n v="65.16"/>
    <n v="1997.19"/>
    <s v="On-time"/>
    <n v="0"/>
    <n v="96.79"/>
    <n v="392"/>
    <n v="394"/>
    <n v="0.91740468534680752"/>
  </r>
  <r>
    <x v="415"/>
    <s v="C2882"/>
    <x v="368"/>
    <d v="2023-11-30T00:00:00"/>
    <x v="2"/>
    <x v="2"/>
    <x v="4"/>
    <x v="6"/>
    <x v="364"/>
    <x v="1"/>
    <s v="Chairs"/>
    <x v="359"/>
    <n v="121.84"/>
    <n v="32"/>
    <n v="3898.88"/>
    <s v="S590"/>
    <x v="2"/>
    <s v="W21"/>
    <x v="3"/>
    <s v="DHL"/>
    <s v="Toronto-New York"/>
    <n v="4734"/>
    <n v="266"/>
    <x v="0"/>
    <n v="16"/>
    <n v="1096.0899999999999"/>
    <n v="361.77"/>
    <n v="1457.86"/>
    <s v="On-time"/>
    <n v="0"/>
    <n v="89.65"/>
    <n v="129"/>
    <n v="106"/>
    <n v="0.30795521757498939"/>
  </r>
  <r>
    <x v="416"/>
    <s v="C8131"/>
    <x v="369"/>
    <d v="2022-06-27T00:00:00"/>
    <x v="1"/>
    <x v="1"/>
    <x v="3"/>
    <x v="1"/>
    <x v="243"/>
    <x v="1"/>
    <s v="Chairs"/>
    <x v="241"/>
    <n v="467.44"/>
    <n v="48"/>
    <n v="22437.119999999999"/>
    <s v="S416"/>
    <x v="2"/>
    <s v="W4"/>
    <x v="1"/>
    <s v="UPS"/>
    <s v="Cape Town-Berlin"/>
    <n v="3751"/>
    <n v="396"/>
    <x v="0"/>
    <n v="17"/>
    <n v="1442.31"/>
    <n v="260.5"/>
    <n v="1702.81"/>
    <s v="On-time"/>
    <n v="0"/>
    <n v="70.16"/>
    <n v="301"/>
    <n v="323"/>
    <n v="0.45396161023727005"/>
  </r>
  <r>
    <x v="417"/>
    <s v="C5972"/>
    <x v="370"/>
    <d v="2023-01-21T00:00:00"/>
    <x v="2"/>
    <x v="1"/>
    <x v="2"/>
    <x v="0"/>
    <x v="365"/>
    <x v="1"/>
    <s v="Furnishings"/>
    <x v="360"/>
    <n v="225.1"/>
    <n v="24"/>
    <n v="5402.4"/>
    <s v="S223"/>
    <x v="4"/>
    <s v="W10"/>
    <x v="0"/>
    <s v="DHL"/>
    <s v="Toronto-Berlin"/>
    <n v="2822"/>
    <n v="366"/>
    <x v="0"/>
    <n v="26"/>
    <n v="1672.73"/>
    <n v="189.02"/>
    <n v="1861.75"/>
    <s v="On-time"/>
    <n v="0"/>
    <n v="72.099999999999994"/>
    <n v="363"/>
    <n v="376"/>
    <n v="0.65972714386959608"/>
  </r>
  <r>
    <x v="418"/>
    <s v="C4410"/>
    <x v="371"/>
    <d v="2020-11-10T00:00:00"/>
    <x v="0"/>
    <x v="1"/>
    <x v="0"/>
    <x v="1"/>
    <x v="188"/>
    <x v="0"/>
    <s v="Binders"/>
    <x v="187"/>
    <n v="73.22"/>
    <n v="82"/>
    <n v="6004.04"/>
    <s v="S298"/>
    <x v="3"/>
    <s v="W8"/>
    <x v="0"/>
    <s v="Maersk"/>
    <s v="Beijing-São Paulo"/>
    <n v="3872"/>
    <n v="366"/>
    <x v="0"/>
    <n v="26"/>
    <n v="880.39"/>
    <n v="152.74"/>
    <n v="1033.1300000000001"/>
    <s v="On-time"/>
    <n v="0"/>
    <n v="96.23"/>
    <n v="219"/>
    <n v="262"/>
    <n v="0.26682076446280995"/>
  </r>
  <r>
    <x v="419"/>
    <s v="C2118"/>
    <x v="335"/>
    <d v="2020-03-27T00:00:00"/>
    <x v="0"/>
    <x v="3"/>
    <x v="3"/>
    <x v="2"/>
    <x v="366"/>
    <x v="0"/>
    <s v="Storage"/>
    <x v="361"/>
    <n v="111.5"/>
    <n v="47"/>
    <n v="5240.5"/>
    <s v="S495"/>
    <x v="0"/>
    <s v="W37"/>
    <x v="0"/>
    <s v="DHL"/>
    <s v="São Paulo-New York"/>
    <n v="541"/>
    <n v="60"/>
    <x v="0"/>
    <n v="4"/>
    <n v="777.49"/>
    <n v="472.54"/>
    <n v="1250.03"/>
    <s v="On-time"/>
    <n v="0"/>
    <n v="87.57"/>
    <n v="352"/>
    <n v="391"/>
    <n v="2.3105914972273567"/>
  </r>
  <r>
    <x v="420"/>
    <s v="C4441"/>
    <x v="372"/>
    <d v="2020-12-23T00:00:00"/>
    <x v="2"/>
    <x v="4"/>
    <x v="6"/>
    <x v="5"/>
    <x v="367"/>
    <x v="2"/>
    <s v="Phones"/>
    <x v="362"/>
    <n v="420.07"/>
    <n v="47"/>
    <n v="19743.29"/>
    <s v="S482"/>
    <x v="1"/>
    <s v="W15"/>
    <x v="3"/>
    <s v="Maersk"/>
    <s v="New York-São Paulo"/>
    <n v="431"/>
    <n v="425"/>
    <x v="0"/>
    <n v="3"/>
    <n v="502.41"/>
    <n v="218.44"/>
    <n v="720.85"/>
    <s v="On-time"/>
    <n v="0"/>
    <n v="81.88"/>
    <n v="484"/>
    <n v="480"/>
    <n v="1.6725058004640372"/>
  </r>
  <r>
    <x v="421"/>
    <s v="C8983"/>
    <x v="373"/>
    <d v="2024-08-08T00:00:00"/>
    <x v="2"/>
    <x v="4"/>
    <x v="1"/>
    <x v="4"/>
    <x v="368"/>
    <x v="0"/>
    <s v="Art"/>
    <x v="363"/>
    <n v="263.07"/>
    <n v="42"/>
    <n v="11048.94"/>
    <s v="S994"/>
    <x v="1"/>
    <s v="W21"/>
    <x v="2"/>
    <s v="Maersk"/>
    <s v="Berlin-New York"/>
    <n v="1210"/>
    <n v="80"/>
    <x v="0"/>
    <n v="8"/>
    <n v="1176.8599999999999"/>
    <n v="104.9"/>
    <n v="1281.76"/>
    <s v="On-time"/>
    <n v="0"/>
    <n v="87.59"/>
    <n v="74"/>
    <n v="39"/>
    <n v="1.0593057851239669"/>
  </r>
  <r>
    <x v="422"/>
    <s v="C5261"/>
    <x v="374"/>
    <d v="2021-10-23T00:00:00"/>
    <x v="2"/>
    <x v="3"/>
    <x v="1"/>
    <x v="0"/>
    <x v="225"/>
    <x v="0"/>
    <s v="Storage"/>
    <x v="223"/>
    <n v="419.46"/>
    <n v="32"/>
    <n v="13422.72"/>
    <s v="S162"/>
    <x v="2"/>
    <s v="W41"/>
    <x v="3"/>
    <s v="FedEx"/>
    <s v="Beijing-São Paulo"/>
    <n v="3928"/>
    <n v="346"/>
    <x v="0"/>
    <n v="6"/>
    <n v="1008.07"/>
    <n v="485.23"/>
    <n v="1493.3"/>
    <s v="On-time"/>
    <n v="0"/>
    <n v="82.74"/>
    <n v="57"/>
    <n v="42"/>
    <n v="0.38016802443991854"/>
  </r>
  <r>
    <x v="423"/>
    <s v="C5524"/>
    <x v="95"/>
    <d v="2022-12-19T00:00:00"/>
    <x v="2"/>
    <x v="1"/>
    <x v="0"/>
    <x v="4"/>
    <x v="369"/>
    <x v="2"/>
    <s v="Accessories"/>
    <x v="364"/>
    <n v="436.9"/>
    <n v="42"/>
    <n v="18349.8"/>
    <s v="S867"/>
    <x v="1"/>
    <s v="W11"/>
    <x v="2"/>
    <s v="FedEx"/>
    <s v="Mumbai-New York"/>
    <n v="4428"/>
    <n v="263"/>
    <x v="0"/>
    <n v="6"/>
    <n v="1902.19"/>
    <n v="25.22"/>
    <n v="1927.41"/>
    <s v="Delayed"/>
    <n v="12"/>
    <n v="75.67"/>
    <n v="227"/>
    <n v="228"/>
    <n v="0.43527777777777782"/>
  </r>
  <r>
    <x v="424"/>
    <s v="C8424"/>
    <x v="107"/>
    <d v="2020-12-04T00:00:00"/>
    <x v="2"/>
    <x v="3"/>
    <x v="5"/>
    <x v="5"/>
    <x v="185"/>
    <x v="0"/>
    <s v="Appliances"/>
    <x v="184"/>
    <n v="118.48"/>
    <n v="55"/>
    <n v="6516.4000000000005"/>
    <s v="S582"/>
    <x v="3"/>
    <s v="W15"/>
    <x v="0"/>
    <s v="FedEx"/>
    <s v="Mumbai-São Paulo"/>
    <n v="1412"/>
    <n v="71"/>
    <x v="0"/>
    <n v="25"/>
    <n v="1464.43"/>
    <n v="94.84"/>
    <n v="1559.27"/>
    <s v="On-time"/>
    <n v="0"/>
    <n v="87.44"/>
    <n v="177"/>
    <n v="147"/>
    <n v="1.104298866855524"/>
  </r>
  <r>
    <x v="425"/>
    <s v="C9407"/>
    <x v="375"/>
    <d v="2021-10-13T00:00:00"/>
    <x v="1"/>
    <x v="3"/>
    <x v="0"/>
    <x v="0"/>
    <x v="370"/>
    <x v="2"/>
    <s v="Copiers"/>
    <x v="365"/>
    <n v="448.8"/>
    <n v="13"/>
    <n v="5834.4000000000005"/>
    <s v="S468"/>
    <x v="0"/>
    <s v="W29"/>
    <x v="0"/>
    <s v="FedEx"/>
    <s v="New York-Beijing"/>
    <n v="3838"/>
    <n v="246"/>
    <x v="0"/>
    <n v="12"/>
    <n v="1301.31"/>
    <n v="131.15"/>
    <n v="1432.46"/>
    <s v="On-time"/>
    <n v="0"/>
    <n v="79.39"/>
    <n v="475"/>
    <n v="519"/>
    <n v="0.37323084940072954"/>
  </r>
  <r>
    <x v="426"/>
    <s v="C9223"/>
    <x v="376"/>
    <d v="2021-09-26T00:00:00"/>
    <x v="1"/>
    <x v="1"/>
    <x v="4"/>
    <x v="3"/>
    <x v="371"/>
    <x v="0"/>
    <s v="Binders"/>
    <x v="366"/>
    <n v="425.94"/>
    <n v="20"/>
    <n v="8518.7999999999993"/>
    <s v="S964"/>
    <x v="2"/>
    <s v="W42"/>
    <x v="2"/>
    <s v="Maersk"/>
    <s v="London-São Paulo"/>
    <n v="2649"/>
    <n v="282"/>
    <x v="0"/>
    <n v="23"/>
    <n v="1890.62"/>
    <n v="207.33"/>
    <n v="2097.9499999999998"/>
    <s v="On-time"/>
    <n v="0"/>
    <n v="84.3"/>
    <n v="290"/>
    <n v="293"/>
    <n v="0.79197810494526233"/>
  </r>
  <r>
    <x v="427"/>
    <s v="C5419"/>
    <x v="72"/>
    <d v="2024-06-26T00:00:00"/>
    <x v="0"/>
    <x v="2"/>
    <x v="3"/>
    <x v="1"/>
    <x v="372"/>
    <x v="0"/>
    <s v="Binders"/>
    <x v="367"/>
    <n v="330.41"/>
    <n v="35"/>
    <n v="11564.35"/>
    <s v="S685"/>
    <x v="2"/>
    <s v="W28"/>
    <x v="3"/>
    <s v="Maersk"/>
    <s v="London-New York"/>
    <n v="4703"/>
    <n v="341"/>
    <x v="0"/>
    <n v="4"/>
    <n v="1976.52"/>
    <n v="257.74"/>
    <n v="2234.2600000000002"/>
    <s v="On-time"/>
    <n v="0"/>
    <n v="83.17"/>
    <n v="464"/>
    <n v="430"/>
    <n v="0.47507123112906657"/>
  </r>
  <r>
    <x v="428"/>
    <s v="C6781"/>
    <x v="377"/>
    <d v="2024-11-04T00:00:00"/>
    <x v="1"/>
    <x v="3"/>
    <x v="1"/>
    <x v="4"/>
    <x v="373"/>
    <x v="0"/>
    <s v="Labels"/>
    <x v="368"/>
    <n v="437.15"/>
    <n v="90"/>
    <n v="39343.5"/>
    <s v="S131"/>
    <x v="3"/>
    <s v="W9"/>
    <x v="3"/>
    <s v="BlueDart"/>
    <s v="Beijing-São Paulo"/>
    <n v="1683"/>
    <n v="494"/>
    <x v="0"/>
    <n v="18"/>
    <n v="1527.95"/>
    <n v="291.18"/>
    <n v="1819.13"/>
    <s v="On-time"/>
    <n v="0"/>
    <n v="79.2"/>
    <n v="67"/>
    <n v="26"/>
    <n v="1.0808853238265004"/>
  </r>
  <r>
    <x v="429"/>
    <s v="C2954"/>
    <x v="316"/>
    <d v="2020-06-05T00:00:00"/>
    <x v="2"/>
    <x v="3"/>
    <x v="2"/>
    <x v="1"/>
    <x v="210"/>
    <x v="1"/>
    <s v="Furnishings"/>
    <x v="208"/>
    <n v="292.02999999999997"/>
    <n v="33"/>
    <n v="9636.99"/>
    <s v="S407"/>
    <x v="4"/>
    <s v="W14"/>
    <x v="0"/>
    <s v="UPS"/>
    <s v="São Paulo-London"/>
    <n v="105"/>
    <n v="302"/>
    <x v="1"/>
    <n v="2"/>
    <n v="409.88"/>
    <n v="301.25"/>
    <n v="711.13"/>
    <s v="On-time"/>
    <n v="0"/>
    <n v="82.4"/>
    <n v="497"/>
    <n v="487"/>
    <n v="6.7726666666666668"/>
  </r>
  <r>
    <x v="430"/>
    <s v="C4119"/>
    <x v="378"/>
    <d v="2020-05-12T00:00:00"/>
    <x v="2"/>
    <x v="0"/>
    <x v="6"/>
    <x v="1"/>
    <x v="374"/>
    <x v="1"/>
    <s v="Furnishings"/>
    <x v="369"/>
    <n v="63.88"/>
    <n v="75"/>
    <n v="4791"/>
    <s v="S180"/>
    <x v="1"/>
    <s v="W12"/>
    <x v="2"/>
    <s v="FedEx"/>
    <s v="Mumbai-Berlin"/>
    <n v="4181"/>
    <n v="498"/>
    <x v="0"/>
    <n v="2"/>
    <n v="445.87"/>
    <n v="397.57"/>
    <n v="843.44"/>
    <s v="On-time"/>
    <n v="0"/>
    <n v="89.04"/>
    <n v="393"/>
    <n v="407"/>
    <n v="0.20173164314757236"/>
  </r>
  <r>
    <x v="431"/>
    <s v="C6570"/>
    <x v="379"/>
    <d v="2022-07-20T00:00:00"/>
    <x v="0"/>
    <x v="4"/>
    <x v="2"/>
    <x v="1"/>
    <x v="375"/>
    <x v="0"/>
    <s v="Appliances"/>
    <x v="370"/>
    <n v="393.57"/>
    <n v="10"/>
    <n v="3935.7"/>
    <s v="S255"/>
    <x v="0"/>
    <s v="W48"/>
    <x v="3"/>
    <s v="FedEx"/>
    <s v="São Paulo-Toronto"/>
    <n v="2905"/>
    <n v="357"/>
    <x v="0"/>
    <n v="22"/>
    <n v="1113.22"/>
    <n v="32.85"/>
    <n v="1146.07"/>
    <s v="On-time"/>
    <n v="0"/>
    <n v="99.16"/>
    <n v="55"/>
    <n v="27"/>
    <n v="0.39451635111876071"/>
  </r>
  <r>
    <x v="432"/>
    <s v="C9285"/>
    <x v="380"/>
    <d v="2024-10-13T00:00:00"/>
    <x v="2"/>
    <x v="3"/>
    <x v="1"/>
    <x v="3"/>
    <x v="289"/>
    <x v="0"/>
    <s v="Art"/>
    <x v="286"/>
    <n v="75.930000000000007"/>
    <n v="91"/>
    <n v="6909.630000000001"/>
    <s v="S593"/>
    <x v="3"/>
    <s v="W7"/>
    <x v="2"/>
    <s v="Maersk"/>
    <s v="São Paulo-London"/>
    <n v="3770"/>
    <n v="98"/>
    <x v="0"/>
    <n v="18"/>
    <n v="1560.83"/>
    <n v="74.430000000000007"/>
    <n v="1635.26"/>
    <s v="On-time"/>
    <n v="0"/>
    <n v="93.56"/>
    <n v="134"/>
    <n v="124"/>
    <n v="0.43375596816976125"/>
  </r>
  <r>
    <x v="433"/>
    <s v="C6970"/>
    <x v="381"/>
    <d v="2024-11-07T00:00:00"/>
    <x v="0"/>
    <x v="4"/>
    <x v="5"/>
    <x v="7"/>
    <x v="376"/>
    <x v="0"/>
    <s v="Binders"/>
    <x v="371"/>
    <n v="376.99"/>
    <n v="10"/>
    <n v="3769.9"/>
    <s v="S784"/>
    <x v="3"/>
    <s v="W23"/>
    <x v="3"/>
    <s v="BlueDart"/>
    <s v="New York-London"/>
    <n v="2883"/>
    <n v="114"/>
    <x v="0"/>
    <n v="17"/>
    <n v="1074.1300000000001"/>
    <n v="247.77"/>
    <n v="1321.9"/>
    <s v="On-time"/>
    <n v="0"/>
    <n v="81.709999999999994"/>
    <n v="187"/>
    <n v="167"/>
    <n v="0.45851543531044053"/>
  </r>
  <r>
    <x v="434"/>
    <s v="C2798"/>
    <x v="94"/>
    <d v="2021-06-16T00:00:00"/>
    <x v="2"/>
    <x v="1"/>
    <x v="0"/>
    <x v="4"/>
    <x v="377"/>
    <x v="0"/>
    <s v="Fasteners"/>
    <x v="372"/>
    <n v="301.43"/>
    <n v="88"/>
    <n v="26525.84"/>
    <s v="S319"/>
    <x v="1"/>
    <s v="W39"/>
    <x v="3"/>
    <s v="FedEx"/>
    <s v="Berlin-London"/>
    <n v="3021"/>
    <n v="219"/>
    <x v="0"/>
    <n v="8"/>
    <n v="1102.74"/>
    <n v="447.34"/>
    <n v="1550.08"/>
    <s v="On-time"/>
    <n v="0"/>
    <n v="89.83"/>
    <n v="229"/>
    <n v="267"/>
    <n v="0.51310162197947695"/>
  </r>
  <r>
    <x v="435"/>
    <s v="C8189"/>
    <x v="282"/>
    <d v="2022-02-26T00:00:00"/>
    <x v="2"/>
    <x v="0"/>
    <x v="6"/>
    <x v="0"/>
    <x v="98"/>
    <x v="1"/>
    <s v="Chairs"/>
    <x v="97"/>
    <n v="85.75"/>
    <n v="50"/>
    <n v="4287.5"/>
    <s v="S145"/>
    <x v="4"/>
    <s v="W17"/>
    <x v="2"/>
    <s v="FedEx"/>
    <s v="New York-London"/>
    <n v="687"/>
    <n v="97"/>
    <x v="0"/>
    <n v="28"/>
    <n v="1111.3599999999999"/>
    <n v="355.8"/>
    <n v="1467.16"/>
    <s v="On-time"/>
    <n v="0"/>
    <n v="93.07"/>
    <n v="325"/>
    <n v="289"/>
    <n v="2.1356040756914121"/>
  </r>
  <r>
    <x v="436"/>
    <s v="C7621"/>
    <x v="382"/>
    <d v="2024-08-21T00:00:00"/>
    <x v="2"/>
    <x v="3"/>
    <x v="3"/>
    <x v="2"/>
    <x v="378"/>
    <x v="0"/>
    <s v="Art"/>
    <x v="373"/>
    <n v="437.27"/>
    <n v="72"/>
    <n v="31483.439999999999"/>
    <s v="S186"/>
    <x v="0"/>
    <s v="W49"/>
    <x v="0"/>
    <s v="BlueDart"/>
    <s v="New York-Cape Town"/>
    <n v="917"/>
    <n v="278"/>
    <x v="0"/>
    <n v="2"/>
    <n v="859.47"/>
    <n v="348.95"/>
    <n v="1208.42"/>
    <s v="On-time"/>
    <n v="0"/>
    <n v="84.73"/>
    <n v="164"/>
    <n v="154"/>
    <n v="1.3177971646673938"/>
  </r>
  <r>
    <x v="437"/>
    <s v="C4133"/>
    <x v="195"/>
    <d v="2023-02-16T00:00:00"/>
    <x v="1"/>
    <x v="3"/>
    <x v="6"/>
    <x v="7"/>
    <x v="53"/>
    <x v="0"/>
    <s v="Binders"/>
    <x v="53"/>
    <n v="210.48"/>
    <n v="11"/>
    <n v="2315.2799999999997"/>
    <s v="S409"/>
    <x v="4"/>
    <s v="W8"/>
    <x v="2"/>
    <s v="FedEx"/>
    <s v="Cape Town-Mumbai"/>
    <n v="2089"/>
    <n v="185"/>
    <x v="0"/>
    <n v="8"/>
    <n v="861.96"/>
    <n v="20.96"/>
    <n v="882.92000000000007"/>
    <s v="On-time"/>
    <n v="0"/>
    <n v="98.07"/>
    <n v="417"/>
    <n v="392"/>
    <n v="0.4226519865964577"/>
  </r>
  <r>
    <x v="438"/>
    <s v="C5348"/>
    <x v="185"/>
    <d v="2024-05-27T00:00:00"/>
    <x v="2"/>
    <x v="1"/>
    <x v="0"/>
    <x v="5"/>
    <x v="379"/>
    <x v="0"/>
    <s v="Paper"/>
    <x v="374"/>
    <n v="72.8"/>
    <n v="31"/>
    <n v="2256.7999999999997"/>
    <s v="S417"/>
    <x v="0"/>
    <s v="W25"/>
    <x v="3"/>
    <s v="DHL"/>
    <s v="New York-New York"/>
    <n v="405"/>
    <n v="170"/>
    <x v="0"/>
    <n v="8"/>
    <n v="901.66"/>
    <n v="278.93"/>
    <n v="1180.5899999999999"/>
    <s v="On-time"/>
    <n v="0"/>
    <n v="71.89"/>
    <n v="359"/>
    <n v="382"/>
    <n v="2.9150370370370369"/>
  </r>
  <r>
    <x v="439"/>
    <s v="C4529"/>
    <x v="383"/>
    <d v="2024-05-02T00:00:00"/>
    <x v="0"/>
    <x v="4"/>
    <x v="3"/>
    <x v="5"/>
    <x v="380"/>
    <x v="0"/>
    <s v="Paper"/>
    <x v="375"/>
    <n v="205.97"/>
    <n v="89"/>
    <n v="18331.329999999998"/>
    <s v="S833"/>
    <x v="2"/>
    <s v="W11"/>
    <x v="0"/>
    <s v="BlueDart"/>
    <s v="Beijing-Cape Town"/>
    <n v="134"/>
    <n v="403"/>
    <x v="1"/>
    <n v="21"/>
    <n v="1272.9100000000001"/>
    <n v="497.42"/>
    <n v="1770.33"/>
    <s v="Delayed"/>
    <n v="2"/>
    <n v="75.849999999999994"/>
    <n v="113"/>
    <n v="122"/>
    <n v="13.211417910447761"/>
  </r>
  <r>
    <x v="440"/>
    <s v="C7057"/>
    <x v="384"/>
    <d v="2020-07-04T00:00:00"/>
    <x v="2"/>
    <x v="1"/>
    <x v="7"/>
    <x v="3"/>
    <x v="381"/>
    <x v="0"/>
    <s v="Paper"/>
    <x v="376"/>
    <n v="342.16"/>
    <n v="39"/>
    <n v="13344.240000000002"/>
    <s v="S968"/>
    <x v="1"/>
    <s v="W16"/>
    <x v="1"/>
    <s v="FedEx"/>
    <s v="New York-Berlin"/>
    <n v="4138"/>
    <n v="433"/>
    <x v="0"/>
    <n v="4"/>
    <n v="1402.6"/>
    <n v="482.82"/>
    <n v="1885.42"/>
    <s v="On-time"/>
    <n v="0"/>
    <n v="71.75"/>
    <n v="319"/>
    <n v="278"/>
    <n v="0.45563557274045435"/>
  </r>
  <r>
    <x v="441"/>
    <s v="C7230"/>
    <x v="385"/>
    <d v="2025-01-06T00:00:00"/>
    <x v="1"/>
    <x v="0"/>
    <x v="1"/>
    <x v="4"/>
    <x v="382"/>
    <x v="0"/>
    <s v="Storage"/>
    <x v="377"/>
    <n v="403.2"/>
    <n v="97"/>
    <n v="39110.400000000001"/>
    <s v="S527"/>
    <x v="1"/>
    <s v="W7"/>
    <x v="1"/>
    <s v="DHL"/>
    <s v="Mumbai-Beijing"/>
    <n v="924"/>
    <n v="491"/>
    <x v="0"/>
    <n v="7"/>
    <n v="515.21"/>
    <n v="238.27"/>
    <n v="753.48"/>
    <s v="Delayed"/>
    <n v="5"/>
    <n v="77.45"/>
    <n v="173"/>
    <n v="164"/>
    <n v="0.81545454545454543"/>
  </r>
  <r>
    <x v="442"/>
    <s v="C5286"/>
    <x v="386"/>
    <d v="2021-06-01T00:00:00"/>
    <x v="1"/>
    <x v="3"/>
    <x v="2"/>
    <x v="0"/>
    <x v="383"/>
    <x v="0"/>
    <s v="Art"/>
    <x v="378"/>
    <n v="489.64"/>
    <n v="35"/>
    <n v="17137.399999999998"/>
    <s v="S570"/>
    <x v="1"/>
    <s v="W45"/>
    <x v="2"/>
    <s v="FedEx"/>
    <s v="Beijing-Mumbai"/>
    <n v="2616"/>
    <n v="373"/>
    <x v="0"/>
    <n v="19"/>
    <n v="1313.88"/>
    <n v="472.56"/>
    <n v="1786.44"/>
    <s v="On-time"/>
    <n v="0"/>
    <n v="83.99"/>
    <n v="191"/>
    <n v="148"/>
    <n v="0.68288990825688078"/>
  </r>
  <r>
    <x v="443"/>
    <s v="C2634"/>
    <x v="387"/>
    <d v="2024-08-09T00:00:00"/>
    <x v="2"/>
    <x v="0"/>
    <x v="6"/>
    <x v="4"/>
    <x v="384"/>
    <x v="0"/>
    <s v="Binders"/>
    <x v="379"/>
    <n v="142"/>
    <n v="23"/>
    <n v="3266"/>
    <s v="S800"/>
    <x v="3"/>
    <s v="W8"/>
    <x v="2"/>
    <s v="FedEx"/>
    <s v="Toronto-New York"/>
    <n v="4407"/>
    <n v="436"/>
    <x v="0"/>
    <n v="23"/>
    <n v="565.16999999999996"/>
    <n v="281.35000000000002"/>
    <n v="846.52"/>
    <s v="On-time"/>
    <n v="0"/>
    <n v="72.17"/>
    <n v="220"/>
    <n v="227"/>
    <n v="0.19208531881098254"/>
  </r>
  <r>
    <x v="444"/>
    <s v="C5885"/>
    <x v="388"/>
    <d v="2020-06-13T00:00:00"/>
    <x v="1"/>
    <x v="0"/>
    <x v="2"/>
    <x v="6"/>
    <x v="122"/>
    <x v="0"/>
    <s v="Labels"/>
    <x v="121"/>
    <n v="447.34"/>
    <n v="75"/>
    <n v="33550.5"/>
    <s v="S330"/>
    <x v="3"/>
    <s v="W29"/>
    <x v="1"/>
    <s v="DHL"/>
    <s v="New York-São Paulo"/>
    <n v="117"/>
    <n v="269"/>
    <x v="1"/>
    <n v="10"/>
    <n v="550.32000000000005"/>
    <n v="483.03"/>
    <n v="1033.3499999999999"/>
    <s v="On-time"/>
    <n v="0"/>
    <n v="71.680000000000007"/>
    <n v="194"/>
    <n v="211"/>
    <n v="8.8320512820512818"/>
  </r>
  <r>
    <x v="445"/>
    <s v="C3480"/>
    <x v="389"/>
    <d v="2020-11-04T00:00:00"/>
    <x v="2"/>
    <x v="3"/>
    <x v="5"/>
    <x v="6"/>
    <x v="385"/>
    <x v="1"/>
    <s v="Chairs"/>
    <x v="380"/>
    <n v="90.87"/>
    <n v="76"/>
    <n v="6906.1200000000008"/>
    <s v="S116"/>
    <x v="1"/>
    <s v="W40"/>
    <x v="3"/>
    <s v="UPS"/>
    <s v="New York-São Paulo"/>
    <n v="4217"/>
    <n v="203"/>
    <x v="0"/>
    <n v="22"/>
    <n v="1764.59"/>
    <n v="219.37"/>
    <n v="1983.96"/>
    <s v="On-time"/>
    <n v="0"/>
    <n v="80.78"/>
    <n v="212"/>
    <n v="196"/>
    <n v="0.47046715674650225"/>
  </r>
  <r>
    <x v="446"/>
    <s v="C6942"/>
    <x v="390"/>
    <d v="2020-04-29T00:00:00"/>
    <x v="1"/>
    <x v="3"/>
    <x v="6"/>
    <x v="5"/>
    <x v="76"/>
    <x v="1"/>
    <s v="Tables"/>
    <x v="75"/>
    <n v="356.1"/>
    <n v="86"/>
    <n v="30624.600000000002"/>
    <s v="S846"/>
    <x v="4"/>
    <s v="W8"/>
    <x v="3"/>
    <s v="UPS"/>
    <s v="São Paulo-Berlin"/>
    <n v="1863"/>
    <n v="334"/>
    <x v="0"/>
    <n v="4"/>
    <n v="391.86"/>
    <n v="293.14999999999998"/>
    <n v="685.01"/>
    <s v="On-time"/>
    <n v="0"/>
    <n v="96.05"/>
    <n v="325"/>
    <n v="351"/>
    <n v="0.36769189479334408"/>
  </r>
  <r>
    <x v="447"/>
    <s v="C6161"/>
    <x v="391"/>
    <d v="2020-08-21T00:00:00"/>
    <x v="2"/>
    <x v="1"/>
    <x v="4"/>
    <x v="2"/>
    <x v="386"/>
    <x v="0"/>
    <s v="Art"/>
    <x v="381"/>
    <n v="88.98"/>
    <n v="4"/>
    <n v="355.92"/>
    <s v="S184"/>
    <x v="0"/>
    <s v="W25"/>
    <x v="1"/>
    <s v="DHL"/>
    <s v="Toronto-Cape Town"/>
    <n v="2205"/>
    <n v="417"/>
    <x v="0"/>
    <n v="2"/>
    <n v="1767.47"/>
    <n v="442.56"/>
    <n v="2210.0300000000002"/>
    <s v="On-time"/>
    <n v="0"/>
    <n v="73.16"/>
    <n v="154"/>
    <n v="174"/>
    <n v="1.0022811791383222"/>
  </r>
  <r>
    <x v="448"/>
    <s v="C4104"/>
    <x v="392"/>
    <d v="2024-03-22T00:00:00"/>
    <x v="1"/>
    <x v="1"/>
    <x v="3"/>
    <x v="6"/>
    <x v="387"/>
    <x v="0"/>
    <s v="Binders"/>
    <x v="382"/>
    <n v="382.27"/>
    <n v="13"/>
    <n v="4969.51"/>
    <s v="S251"/>
    <x v="4"/>
    <s v="W18"/>
    <x v="3"/>
    <s v="FedEx"/>
    <s v="Cape Town-New York"/>
    <n v="2698"/>
    <n v="179"/>
    <x v="0"/>
    <n v="25"/>
    <n v="1123.8699999999999"/>
    <n v="236.73"/>
    <n v="1360.6"/>
    <s v="On-time"/>
    <n v="0"/>
    <n v="87.6"/>
    <n v="306"/>
    <n v="344"/>
    <n v="0.50429948109710898"/>
  </r>
  <r>
    <x v="449"/>
    <s v="C9716"/>
    <x v="161"/>
    <d v="2021-06-01T00:00:00"/>
    <x v="2"/>
    <x v="0"/>
    <x v="0"/>
    <x v="5"/>
    <x v="385"/>
    <x v="1"/>
    <s v="Chairs"/>
    <x v="380"/>
    <n v="379.41"/>
    <n v="25"/>
    <n v="9485.25"/>
    <s v="S778"/>
    <x v="3"/>
    <s v="W8"/>
    <x v="0"/>
    <s v="DHL"/>
    <s v="São Paulo-São Paulo"/>
    <n v="3470"/>
    <n v="255"/>
    <x v="0"/>
    <n v="13"/>
    <n v="475.97"/>
    <n v="50.48"/>
    <n v="526.45000000000005"/>
    <s v="On-time"/>
    <n v="0"/>
    <n v="88.84"/>
    <n v="123"/>
    <n v="172"/>
    <n v="0.15171469740634008"/>
  </r>
  <r>
    <x v="450"/>
    <s v="C5430"/>
    <x v="393"/>
    <d v="2022-11-17T00:00:00"/>
    <x v="2"/>
    <x v="1"/>
    <x v="0"/>
    <x v="5"/>
    <x v="76"/>
    <x v="1"/>
    <s v="Tables"/>
    <x v="75"/>
    <n v="165.68"/>
    <n v="40"/>
    <n v="6627.2000000000007"/>
    <s v="S657"/>
    <x v="4"/>
    <s v="W47"/>
    <x v="1"/>
    <s v="UPS"/>
    <s v="Cape Town-London"/>
    <n v="1200"/>
    <n v="300"/>
    <x v="0"/>
    <n v="10"/>
    <n v="147.66999999999999"/>
    <n v="184.84"/>
    <n v="332.51"/>
    <s v="On-time"/>
    <n v="0"/>
    <n v="79.95"/>
    <n v="136"/>
    <n v="123"/>
    <n v="0.27709166666666668"/>
  </r>
  <r>
    <x v="451"/>
    <s v="C6265"/>
    <x v="394"/>
    <d v="2021-05-24T00:00:00"/>
    <x v="2"/>
    <x v="0"/>
    <x v="5"/>
    <x v="5"/>
    <x v="386"/>
    <x v="0"/>
    <s v="Art"/>
    <x v="381"/>
    <n v="274.97000000000003"/>
    <n v="54"/>
    <n v="14848.380000000001"/>
    <s v="S969"/>
    <x v="1"/>
    <s v="W1"/>
    <x v="0"/>
    <s v="BlueDart"/>
    <s v="Berlin-Beijing"/>
    <n v="2363"/>
    <n v="223"/>
    <x v="0"/>
    <n v="6"/>
    <n v="1583.42"/>
    <n v="75.45"/>
    <n v="1658.87"/>
    <s v="On-time"/>
    <n v="0"/>
    <n v="90.75"/>
    <n v="90"/>
    <n v="105"/>
    <n v="0.70201862039779939"/>
  </r>
  <r>
    <x v="452"/>
    <s v="C1172"/>
    <x v="284"/>
    <d v="2022-03-06T00:00:00"/>
    <x v="1"/>
    <x v="0"/>
    <x v="1"/>
    <x v="7"/>
    <x v="387"/>
    <x v="0"/>
    <s v="Binders"/>
    <x v="382"/>
    <n v="364.98"/>
    <n v="71"/>
    <n v="25913.58"/>
    <s v="S138"/>
    <x v="1"/>
    <s v="W11"/>
    <x v="3"/>
    <s v="Maersk"/>
    <s v="São Paulo-Mumbai"/>
    <n v="4791"/>
    <n v="222"/>
    <x v="0"/>
    <n v="14"/>
    <n v="1539.59"/>
    <n v="247.08"/>
    <n v="1786.67"/>
    <s v="On-time"/>
    <n v="0"/>
    <n v="73.290000000000006"/>
    <n v="465"/>
    <n v="482"/>
    <n v="0.37292214568983512"/>
  </r>
  <r>
    <x v="453"/>
    <s v="C1271"/>
    <x v="395"/>
    <d v="2021-01-23T00:00:00"/>
    <x v="2"/>
    <x v="0"/>
    <x v="7"/>
    <x v="2"/>
    <x v="388"/>
    <x v="2"/>
    <s v="Copiers"/>
    <x v="383"/>
    <n v="468.9"/>
    <n v="33"/>
    <n v="15473.699999999999"/>
    <s v="S467"/>
    <x v="2"/>
    <s v="W10"/>
    <x v="0"/>
    <s v="BlueDart"/>
    <s v="Cape Town-New York"/>
    <n v="3365"/>
    <n v="187"/>
    <x v="0"/>
    <n v="11"/>
    <n v="200"/>
    <n v="364.64"/>
    <n v="564.64"/>
    <s v="On-time"/>
    <n v="0"/>
    <n v="89.54"/>
    <n v="318"/>
    <n v="311"/>
    <n v="0.16779791976225855"/>
  </r>
  <r>
    <x v="454"/>
    <s v="C3183"/>
    <x v="396"/>
    <d v="2022-08-27T00:00:00"/>
    <x v="2"/>
    <x v="0"/>
    <x v="4"/>
    <x v="0"/>
    <x v="272"/>
    <x v="0"/>
    <s v="Labels"/>
    <x v="269"/>
    <n v="22.99"/>
    <n v="39"/>
    <n v="896.6099999999999"/>
    <s v="S949"/>
    <x v="0"/>
    <s v="W43"/>
    <x v="1"/>
    <s v="Maersk"/>
    <s v="Cape Town-Mumbai"/>
    <n v="1154"/>
    <n v="210"/>
    <x v="0"/>
    <n v="17"/>
    <n v="163.24"/>
    <n v="63.71"/>
    <n v="226.95"/>
    <s v="On-time"/>
    <n v="0"/>
    <n v="85.86"/>
    <n v="198"/>
    <n v="183"/>
    <n v="0.19666377816291161"/>
  </r>
  <r>
    <x v="455"/>
    <s v="C4254"/>
    <x v="29"/>
    <d v="2020-01-22T00:00:00"/>
    <x v="2"/>
    <x v="3"/>
    <x v="1"/>
    <x v="5"/>
    <x v="389"/>
    <x v="0"/>
    <s v="Labels"/>
    <x v="384"/>
    <n v="356.3"/>
    <n v="22"/>
    <n v="7838.6"/>
    <s v="S885"/>
    <x v="2"/>
    <s v="W18"/>
    <x v="1"/>
    <s v="Maersk"/>
    <s v="Beijing-Berlin"/>
    <n v="1829"/>
    <n v="211"/>
    <x v="0"/>
    <n v="26"/>
    <n v="1418.21"/>
    <n v="447.3"/>
    <n v="1865.51"/>
    <s v="On-time"/>
    <n v="0"/>
    <n v="89.62"/>
    <n v="444"/>
    <n v="472"/>
    <n v="1.0199617277200657"/>
  </r>
  <r>
    <x v="456"/>
    <s v="C2172"/>
    <x v="397"/>
    <d v="2023-05-25T00:00:00"/>
    <x v="2"/>
    <x v="2"/>
    <x v="1"/>
    <x v="7"/>
    <x v="63"/>
    <x v="0"/>
    <s v="Paper"/>
    <x v="62"/>
    <n v="385.67"/>
    <n v="53"/>
    <n v="20440.510000000002"/>
    <s v="S581"/>
    <x v="1"/>
    <s v="W3"/>
    <x v="3"/>
    <s v="BlueDart"/>
    <s v="Berlin-Beijing"/>
    <n v="3164"/>
    <n v="455"/>
    <x v="0"/>
    <n v="7"/>
    <n v="1033.48"/>
    <n v="33.21"/>
    <n v="1066.69"/>
    <s v="On-time"/>
    <n v="0"/>
    <n v="93.13"/>
    <n v="240"/>
    <n v="242"/>
    <n v="0.33713337547408345"/>
  </r>
  <r>
    <x v="457"/>
    <s v="C3908"/>
    <x v="398"/>
    <d v="2020-03-15T00:00:00"/>
    <x v="2"/>
    <x v="3"/>
    <x v="3"/>
    <x v="1"/>
    <x v="390"/>
    <x v="0"/>
    <s v="Storage"/>
    <x v="385"/>
    <n v="352.88"/>
    <n v="92"/>
    <n v="32464.959999999999"/>
    <s v="S486"/>
    <x v="2"/>
    <s v="W28"/>
    <x v="1"/>
    <s v="Maersk"/>
    <s v="Cape Town-Cape Town"/>
    <n v="3445"/>
    <n v="245"/>
    <x v="0"/>
    <n v="22"/>
    <n v="1524.73"/>
    <n v="27.47"/>
    <n v="1552.2"/>
    <s v="On-time"/>
    <n v="0"/>
    <n v="86.44"/>
    <n v="233"/>
    <n v="262"/>
    <n v="0.45056603773584908"/>
  </r>
  <r>
    <x v="458"/>
    <s v="C4013"/>
    <x v="248"/>
    <d v="2022-01-27T00:00:00"/>
    <x v="2"/>
    <x v="3"/>
    <x v="1"/>
    <x v="7"/>
    <x v="391"/>
    <x v="2"/>
    <s v="Accessories"/>
    <x v="386"/>
    <n v="28.87"/>
    <n v="45"/>
    <n v="1299.1500000000001"/>
    <s v="S808"/>
    <x v="1"/>
    <s v="W18"/>
    <x v="2"/>
    <s v="FedEx"/>
    <s v="São Paulo-Berlin"/>
    <n v="1804"/>
    <n v="420"/>
    <x v="0"/>
    <n v="12"/>
    <n v="131.74"/>
    <n v="499.23"/>
    <n v="630.97"/>
    <s v="On-time"/>
    <n v="0"/>
    <n v="85.88"/>
    <n v="185"/>
    <n v="166"/>
    <n v="0.34976164079822619"/>
  </r>
  <r>
    <x v="459"/>
    <s v="C3752"/>
    <x v="399"/>
    <d v="2024-01-05T00:00:00"/>
    <x v="1"/>
    <x v="0"/>
    <x v="6"/>
    <x v="1"/>
    <x v="295"/>
    <x v="2"/>
    <s v="Accessories"/>
    <x v="292"/>
    <n v="365.85"/>
    <n v="16"/>
    <n v="5853.6"/>
    <s v="S292"/>
    <x v="2"/>
    <s v="W32"/>
    <x v="2"/>
    <s v="FedEx"/>
    <s v="Mumbai-São Paulo"/>
    <n v="2743"/>
    <n v="257"/>
    <x v="0"/>
    <n v="2"/>
    <n v="1019.36"/>
    <n v="302.61"/>
    <n v="1321.97"/>
    <s v="On-time"/>
    <n v="0"/>
    <n v="83"/>
    <n v="475"/>
    <n v="494"/>
    <n v="0.48194312796208533"/>
  </r>
  <r>
    <x v="460"/>
    <s v="C1874"/>
    <x v="400"/>
    <d v="2021-08-14T00:00:00"/>
    <x v="1"/>
    <x v="0"/>
    <x v="7"/>
    <x v="0"/>
    <x v="392"/>
    <x v="1"/>
    <s v="Bookcases"/>
    <x v="387"/>
    <n v="164.81"/>
    <n v="87"/>
    <n v="14338.47"/>
    <s v="S828"/>
    <x v="2"/>
    <s v="W39"/>
    <x v="3"/>
    <s v="UPS"/>
    <s v="São Paulo-São Paulo"/>
    <n v="1779"/>
    <n v="247"/>
    <x v="0"/>
    <n v="27"/>
    <n v="758.97"/>
    <n v="92.51"/>
    <n v="851.48"/>
    <s v="On-time"/>
    <n v="0"/>
    <n v="77.430000000000007"/>
    <n v="170"/>
    <n v="205"/>
    <n v="0.47862844294547502"/>
  </r>
  <r>
    <x v="461"/>
    <s v="C7451"/>
    <x v="401"/>
    <d v="2020-06-17T00:00:00"/>
    <x v="0"/>
    <x v="2"/>
    <x v="3"/>
    <x v="6"/>
    <x v="393"/>
    <x v="1"/>
    <s v="Chairs"/>
    <x v="388"/>
    <n v="126.16"/>
    <n v="16"/>
    <n v="2018.56"/>
    <s v="S417"/>
    <x v="4"/>
    <s v="W28"/>
    <x v="2"/>
    <s v="UPS"/>
    <s v="Berlin-Toronto"/>
    <n v="188"/>
    <n v="143"/>
    <x v="0"/>
    <n v="29"/>
    <n v="266.73"/>
    <n v="109.13"/>
    <n v="375.86"/>
    <s v="On-time"/>
    <n v="0"/>
    <n v="95.62"/>
    <n v="133"/>
    <n v="131"/>
    <n v="1.9992553191489362"/>
  </r>
  <r>
    <x v="462"/>
    <s v="C5467"/>
    <x v="402"/>
    <d v="2020-11-20T00:00:00"/>
    <x v="2"/>
    <x v="3"/>
    <x v="2"/>
    <x v="4"/>
    <x v="394"/>
    <x v="0"/>
    <s v="Art"/>
    <x v="389"/>
    <n v="315.12"/>
    <n v="83"/>
    <n v="26154.959999999999"/>
    <s v="S142"/>
    <x v="3"/>
    <s v="W38"/>
    <x v="1"/>
    <s v="DHL"/>
    <s v="New York-Beijing"/>
    <n v="4320"/>
    <n v="470"/>
    <x v="0"/>
    <n v="28"/>
    <n v="642.91999999999996"/>
    <n v="393.76"/>
    <n v="1036.68"/>
    <s v="On-time"/>
    <n v="0"/>
    <n v="82.4"/>
    <n v="318"/>
    <n v="324"/>
    <n v="0.23997222222222223"/>
  </r>
  <r>
    <x v="463"/>
    <s v="C4256"/>
    <x v="21"/>
    <d v="2023-06-21T00:00:00"/>
    <x v="2"/>
    <x v="0"/>
    <x v="4"/>
    <x v="3"/>
    <x v="395"/>
    <x v="0"/>
    <s v="Envelopes"/>
    <x v="390"/>
    <n v="286.8"/>
    <n v="8"/>
    <n v="2294.4"/>
    <s v="S342"/>
    <x v="3"/>
    <s v="W13"/>
    <x v="3"/>
    <s v="DHL"/>
    <s v="London-Mumbai"/>
    <n v="3510"/>
    <n v="68"/>
    <x v="0"/>
    <n v="2"/>
    <n v="1195.74"/>
    <n v="226.59"/>
    <n v="1422.33"/>
    <s v="On-time"/>
    <n v="0"/>
    <n v="91.35"/>
    <n v="477"/>
    <n v="466"/>
    <n v="0.40522222222222221"/>
  </r>
  <r>
    <x v="464"/>
    <s v="C8514"/>
    <x v="66"/>
    <d v="2024-10-10T00:00:00"/>
    <x v="0"/>
    <x v="3"/>
    <x v="6"/>
    <x v="7"/>
    <x v="396"/>
    <x v="0"/>
    <s v="Paper"/>
    <x v="391"/>
    <n v="179.15"/>
    <n v="99"/>
    <n v="17735.850000000002"/>
    <s v="S594"/>
    <x v="3"/>
    <s v="W48"/>
    <x v="2"/>
    <s v="FedEx"/>
    <s v="New York-Beijing"/>
    <n v="4548"/>
    <n v="404"/>
    <x v="0"/>
    <n v="5"/>
    <n v="1875.03"/>
    <n v="476.77"/>
    <n v="2351.8000000000002"/>
    <s v="On-time"/>
    <n v="0"/>
    <n v="85.82"/>
    <n v="408"/>
    <n v="407"/>
    <n v="0.51710642040457344"/>
  </r>
  <r>
    <x v="465"/>
    <s v="C9055"/>
    <x v="403"/>
    <d v="2023-05-17T00:00:00"/>
    <x v="1"/>
    <x v="3"/>
    <x v="0"/>
    <x v="1"/>
    <x v="397"/>
    <x v="0"/>
    <s v="Supplies"/>
    <x v="392"/>
    <n v="331.51"/>
    <n v="57"/>
    <n v="18896.07"/>
    <s v="S735"/>
    <x v="1"/>
    <s v="W36"/>
    <x v="0"/>
    <s v="BlueDart"/>
    <s v="São Paulo-São Paulo"/>
    <n v="949"/>
    <n v="436"/>
    <x v="0"/>
    <n v="14"/>
    <n v="1670.01"/>
    <n v="192.58"/>
    <n v="1862.59"/>
    <s v="On-time"/>
    <n v="0"/>
    <n v="81.709999999999994"/>
    <n v="220"/>
    <n v="229"/>
    <n v="1.9626870389884088"/>
  </r>
  <r>
    <x v="466"/>
    <s v="C8183"/>
    <x v="404"/>
    <d v="2023-08-18T00:00:00"/>
    <x v="2"/>
    <x v="2"/>
    <x v="1"/>
    <x v="1"/>
    <x v="398"/>
    <x v="2"/>
    <s v="Phones"/>
    <x v="393"/>
    <n v="282.26"/>
    <n v="40"/>
    <n v="11290.4"/>
    <s v="S659"/>
    <x v="4"/>
    <s v="W28"/>
    <x v="2"/>
    <s v="BlueDart"/>
    <s v="New York-Cape Town"/>
    <n v="2737"/>
    <n v="387"/>
    <x v="0"/>
    <n v="1"/>
    <n v="1610.79"/>
    <n v="422.92"/>
    <n v="2033.71"/>
    <s v="On-time"/>
    <n v="0"/>
    <n v="70.37"/>
    <n v="189"/>
    <n v="219"/>
    <n v="0.74304347826086958"/>
  </r>
  <r>
    <x v="467"/>
    <s v="C9742"/>
    <x v="405"/>
    <d v="2022-05-01T00:00:00"/>
    <x v="2"/>
    <x v="4"/>
    <x v="0"/>
    <x v="7"/>
    <x v="399"/>
    <x v="2"/>
    <s v="Phones"/>
    <x v="394"/>
    <n v="199.45"/>
    <n v="25"/>
    <n v="4986.25"/>
    <s v="S203"/>
    <x v="1"/>
    <s v="W33"/>
    <x v="2"/>
    <s v="DHL"/>
    <s v="Mumbai-Mumbai"/>
    <n v="1816"/>
    <n v="169"/>
    <x v="0"/>
    <n v="27"/>
    <n v="1208.9100000000001"/>
    <n v="389.94"/>
    <n v="1598.85"/>
    <s v="On-time"/>
    <n v="0"/>
    <n v="72.680000000000007"/>
    <n v="243"/>
    <n v="196"/>
    <n v="0.88042400881057259"/>
  </r>
  <r>
    <x v="468"/>
    <s v="C9709"/>
    <x v="406"/>
    <d v="2022-11-12T00:00:00"/>
    <x v="2"/>
    <x v="2"/>
    <x v="0"/>
    <x v="4"/>
    <x v="400"/>
    <x v="1"/>
    <s v="Chairs"/>
    <x v="395"/>
    <n v="90.32"/>
    <n v="49"/>
    <n v="4425.6799999999994"/>
    <s v="S681"/>
    <x v="0"/>
    <s v="W14"/>
    <x v="2"/>
    <s v="FedEx"/>
    <s v="London-Cape Town"/>
    <n v="2203"/>
    <n v="365"/>
    <x v="0"/>
    <n v="7"/>
    <n v="1815.82"/>
    <n v="474.61"/>
    <n v="2290.4299999999998"/>
    <s v="On-time"/>
    <n v="0"/>
    <n v="92.87"/>
    <n v="422"/>
    <n v="469"/>
    <n v="1.0396867907399001"/>
  </r>
  <r>
    <x v="469"/>
    <s v="C4798"/>
    <x v="407"/>
    <d v="2022-07-10T00:00:00"/>
    <x v="2"/>
    <x v="0"/>
    <x v="5"/>
    <x v="1"/>
    <x v="401"/>
    <x v="1"/>
    <s v="Furnishings"/>
    <x v="396"/>
    <n v="42.44"/>
    <n v="88"/>
    <n v="3734.72"/>
    <s v="S890"/>
    <x v="4"/>
    <s v="W4"/>
    <x v="1"/>
    <s v="DHL"/>
    <s v="São Paulo-New York"/>
    <n v="1724"/>
    <n v="380"/>
    <x v="0"/>
    <n v="11"/>
    <n v="170.86"/>
    <n v="297.38"/>
    <n v="468.24"/>
    <s v="On-time"/>
    <n v="0"/>
    <n v="98.46"/>
    <n v="155"/>
    <n v="125"/>
    <n v="0.27160092807424596"/>
  </r>
  <r>
    <x v="470"/>
    <s v="C8740"/>
    <x v="408"/>
    <d v="2024-10-11T00:00:00"/>
    <x v="2"/>
    <x v="0"/>
    <x v="3"/>
    <x v="3"/>
    <x v="402"/>
    <x v="0"/>
    <s v="Appliances"/>
    <x v="397"/>
    <n v="119"/>
    <n v="62"/>
    <n v="7378"/>
    <s v="S822"/>
    <x v="0"/>
    <s v="W19"/>
    <x v="1"/>
    <s v="UPS"/>
    <s v="Berlin-Cape Town"/>
    <n v="133"/>
    <n v="58"/>
    <x v="0"/>
    <n v="13"/>
    <n v="1466.69"/>
    <n v="214.32"/>
    <n v="1681.01"/>
    <s v="On-time"/>
    <n v="0"/>
    <n v="92.52"/>
    <n v="97"/>
    <n v="61"/>
    <n v="12.639172932330826"/>
  </r>
  <r>
    <x v="471"/>
    <s v="C8744"/>
    <x v="409"/>
    <d v="2023-12-30T00:00:00"/>
    <x v="2"/>
    <x v="2"/>
    <x v="7"/>
    <x v="7"/>
    <x v="403"/>
    <x v="0"/>
    <s v="Binders"/>
    <x v="398"/>
    <n v="16.850000000000001"/>
    <n v="73"/>
    <n v="1230.0500000000002"/>
    <s v="S185"/>
    <x v="3"/>
    <s v="W38"/>
    <x v="3"/>
    <s v="DHL"/>
    <s v="São Paulo-Berlin"/>
    <n v="2259"/>
    <n v="336"/>
    <x v="0"/>
    <n v="24"/>
    <n v="1138.67"/>
    <n v="345.16"/>
    <n v="1483.83"/>
    <s v="On-time"/>
    <n v="0"/>
    <n v="89.55"/>
    <n v="489"/>
    <n v="526"/>
    <n v="0.65685258964143423"/>
  </r>
  <r>
    <x v="472"/>
    <s v="C6367"/>
    <x v="410"/>
    <d v="2022-08-08T00:00:00"/>
    <x v="2"/>
    <x v="3"/>
    <x v="2"/>
    <x v="2"/>
    <x v="129"/>
    <x v="0"/>
    <s v="Paper"/>
    <x v="128"/>
    <n v="189.09"/>
    <n v="27"/>
    <n v="5105.43"/>
    <s v="S597"/>
    <x v="1"/>
    <s v="W25"/>
    <x v="0"/>
    <s v="FedEx"/>
    <s v="Mumbai-Toronto"/>
    <n v="1333"/>
    <n v="267"/>
    <x v="0"/>
    <n v="9"/>
    <n v="193.72"/>
    <n v="444.36"/>
    <n v="638.08000000000004"/>
    <s v="On-time"/>
    <n v="0"/>
    <n v="76.08"/>
    <n v="316"/>
    <n v="273"/>
    <n v="0.4786796699174794"/>
  </r>
  <r>
    <x v="473"/>
    <s v="C9364"/>
    <x v="411"/>
    <d v="2023-05-21T00:00:00"/>
    <x v="0"/>
    <x v="1"/>
    <x v="3"/>
    <x v="1"/>
    <x v="404"/>
    <x v="2"/>
    <s v="Accessories"/>
    <x v="399"/>
    <n v="84.29"/>
    <n v="28"/>
    <n v="2360.1200000000003"/>
    <s v="S674"/>
    <x v="2"/>
    <s v="W44"/>
    <x v="2"/>
    <s v="BlueDart"/>
    <s v="Beijing-London"/>
    <n v="3734"/>
    <n v="460"/>
    <x v="0"/>
    <n v="2"/>
    <n v="1368.88"/>
    <n v="137.86000000000001"/>
    <n v="1506.74"/>
    <s v="Delayed"/>
    <n v="5"/>
    <n v="84.16"/>
    <n v="493"/>
    <n v="542"/>
    <n v="0.4035190144617033"/>
  </r>
  <r>
    <x v="474"/>
    <s v="C8152"/>
    <x v="394"/>
    <d v="2023-11-24T00:00:00"/>
    <x v="1"/>
    <x v="1"/>
    <x v="1"/>
    <x v="5"/>
    <x v="405"/>
    <x v="2"/>
    <s v="Accessories"/>
    <x v="400"/>
    <n v="188.82"/>
    <n v="25"/>
    <n v="4720.5"/>
    <s v="S313"/>
    <x v="1"/>
    <s v="W48"/>
    <x v="2"/>
    <s v="UPS"/>
    <s v="Beijing-Cape Town"/>
    <n v="314"/>
    <n v="271"/>
    <x v="0"/>
    <n v="26"/>
    <n v="1527.75"/>
    <n v="197.17"/>
    <n v="1724.92"/>
    <s v="On-time"/>
    <n v="0"/>
    <n v="93.04"/>
    <n v="228"/>
    <n v="197"/>
    <n v="5.493375796178344"/>
  </r>
  <r>
    <x v="475"/>
    <s v="C7793"/>
    <x v="412"/>
    <d v="2020-05-10T00:00:00"/>
    <x v="1"/>
    <x v="4"/>
    <x v="0"/>
    <x v="5"/>
    <x v="406"/>
    <x v="2"/>
    <s v="Phones"/>
    <x v="401"/>
    <n v="150.4"/>
    <n v="86"/>
    <n v="12934.4"/>
    <s v="S290"/>
    <x v="0"/>
    <s v="W31"/>
    <x v="2"/>
    <s v="DHL"/>
    <s v="Cape Town-London"/>
    <n v="4766"/>
    <n v="153"/>
    <x v="0"/>
    <n v="25"/>
    <n v="1327.16"/>
    <n v="267.2"/>
    <n v="1594.36"/>
    <s v="On-time"/>
    <n v="0"/>
    <n v="96.04"/>
    <n v="179"/>
    <n v="188"/>
    <n v="0.33452790600083926"/>
  </r>
  <r>
    <x v="476"/>
    <s v="C1615"/>
    <x v="413"/>
    <d v="2021-07-21T00:00:00"/>
    <x v="2"/>
    <x v="0"/>
    <x v="0"/>
    <x v="4"/>
    <x v="20"/>
    <x v="1"/>
    <s v="Furnishings"/>
    <x v="20"/>
    <n v="315.18"/>
    <n v="13"/>
    <n v="4097.34"/>
    <s v="S930"/>
    <x v="3"/>
    <s v="W24"/>
    <x v="1"/>
    <s v="UPS"/>
    <s v="Mumbai-São Paulo"/>
    <n v="1623"/>
    <n v="221"/>
    <x v="0"/>
    <n v="16"/>
    <n v="1797.74"/>
    <n v="90.27"/>
    <n v="1888.01"/>
    <s v="On-time"/>
    <n v="0"/>
    <n v="90.12"/>
    <n v="116"/>
    <n v="110"/>
    <n v="1.1632840418977202"/>
  </r>
  <r>
    <x v="477"/>
    <s v="C2677"/>
    <x v="414"/>
    <d v="2020-08-12T00:00:00"/>
    <x v="0"/>
    <x v="1"/>
    <x v="2"/>
    <x v="0"/>
    <x v="407"/>
    <x v="1"/>
    <s v="Tables"/>
    <x v="402"/>
    <n v="319.33"/>
    <n v="14"/>
    <n v="4470.62"/>
    <s v="S730"/>
    <x v="2"/>
    <s v="W24"/>
    <x v="3"/>
    <s v="DHL"/>
    <s v="Beijing-London"/>
    <n v="2196"/>
    <n v="108"/>
    <x v="0"/>
    <n v="27"/>
    <n v="1277.3800000000001"/>
    <n v="480.67"/>
    <n v="1758.05"/>
    <s v="On-time"/>
    <n v="0"/>
    <n v="87.37"/>
    <n v="229"/>
    <n v="242"/>
    <n v="0.80056921675774129"/>
  </r>
  <r>
    <x v="478"/>
    <s v="C9931"/>
    <x v="415"/>
    <d v="2021-01-06T00:00:00"/>
    <x v="2"/>
    <x v="0"/>
    <x v="6"/>
    <x v="2"/>
    <x v="229"/>
    <x v="1"/>
    <s v="Chairs"/>
    <x v="227"/>
    <n v="123.71"/>
    <n v="20"/>
    <n v="2474.1999999999998"/>
    <s v="S396"/>
    <x v="4"/>
    <s v="W10"/>
    <x v="0"/>
    <s v="Maersk"/>
    <s v="Toronto-New York"/>
    <n v="4151"/>
    <n v="94"/>
    <x v="0"/>
    <n v="23"/>
    <n v="336.65"/>
    <n v="399.02"/>
    <n v="735.67"/>
    <s v="On-time"/>
    <n v="0"/>
    <n v="93.03"/>
    <n v="371"/>
    <n v="390"/>
    <n v="0.17722717417489761"/>
  </r>
  <r>
    <x v="479"/>
    <s v="C3137"/>
    <x v="416"/>
    <d v="2024-09-02T00:00:00"/>
    <x v="2"/>
    <x v="1"/>
    <x v="4"/>
    <x v="6"/>
    <x v="408"/>
    <x v="0"/>
    <s v="Binders"/>
    <x v="403"/>
    <n v="428.82"/>
    <n v="77"/>
    <n v="33019.14"/>
    <s v="S273"/>
    <x v="4"/>
    <s v="W20"/>
    <x v="1"/>
    <s v="FedEx"/>
    <s v="Beijing-London"/>
    <n v="4746"/>
    <n v="219"/>
    <x v="0"/>
    <n v="1"/>
    <n v="1851.85"/>
    <n v="447.23"/>
    <n v="2299.08"/>
    <s v="On-time"/>
    <n v="0"/>
    <n v="88.52"/>
    <n v="308"/>
    <n v="299"/>
    <n v="0.48442477876106194"/>
  </r>
  <r>
    <x v="480"/>
    <s v="C2661"/>
    <x v="388"/>
    <d v="2021-11-05T00:00:00"/>
    <x v="2"/>
    <x v="2"/>
    <x v="3"/>
    <x v="5"/>
    <x v="409"/>
    <x v="0"/>
    <s v="Fasteners"/>
    <x v="84"/>
    <n v="435.82"/>
    <n v="41"/>
    <n v="17868.62"/>
    <s v="S594"/>
    <x v="4"/>
    <s v="W23"/>
    <x v="2"/>
    <s v="Maersk"/>
    <s v="São Paulo-Beijing"/>
    <n v="4306"/>
    <n v="100"/>
    <x v="0"/>
    <n v="15"/>
    <n v="705.18"/>
    <n v="489.78"/>
    <n v="1194.96"/>
    <s v="On-time"/>
    <n v="0"/>
    <n v="73.2"/>
    <n v="413"/>
    <n v="440"/>
    <n v="0.27751045053413842"/>
  </r>
  <r>
    <x v="481"/>
    <s v="C5043"/>
    <x v="417"/>
    <d v="2020-09-20T00:00:00"/>
    <x v="1"/>
    <x v="0"/>
    <x v="2"/>
    <x v="0"/>
    <x v="194"/>
    <x v="0"/>
    <s v="Paper"/>
    <x v="193"/>
    <n v="255.19"/>
    <n v="41"/>
    <n v="10462.789999999999"/>
    <s v="S150"/>
    <x v="4"/>
    <s v="W8"/>
    <x v="2"/>
    <s v="FedEx"/>
    <s v="London-Mumbai"/>
    <n v="392"/>
    <n v="124"/>
    <x v="0"/>
    <n v="14"/>
    <n v="1740.88"/>
    <n v="497.84"/>
    <n v="2238.7199999999998"/>
    <s v="On-time"/>
    <n v="0"/>
    <n v="90.94"/>
    <n v="62"/>
    <n v="45"/>
    <n v="5.7110204081632645"/>
  </r>
  <r>
    <x v="482"/>
    <s v="C5216"/>
    <x v="418"/>
    <d v="2023-02-12T00:00:00"/>
    <x v="1"/>
    <x v="4"/>
    <x v="0"/>
    <x v="3"/>
    <x v="390"/>
    <x v="0"/>
    <s v="Storage"/>
    <x v="385"/>
    <n v="420.93"/>
    <n v="90"/>
    <n v="37883.699999999997"/>
    <s v="S156"/>
    <x v="1"/>
    <s v="W33"/>
    <x v="1"/>
    <s v="UPS"/>
    <s v="London-Beijing"/>
    <n v="4365"/>
    <n v="54"/>
    <x v="0"/>
    <n v="27"/>
    <n v="1462.86"/>
    <n v="61.59"/>
    <n v="1524.45"/>
    <s v="On-time"/>
    <n v="0"/>
    <n v="91.68"/>
    <n v="155"/>
    <n v="142"/>
    <n v="0.34924398625429554"/>
  </r>
  <r>
    <x v="483"/>
    <s v="C6584"/>
    <x v="419"/>
    <d v="2021-01-30T00:00:00"/>
    <x v="2"/>
    <x v="4"/>
    <x v="3"/>
    <x v="7"/>
    <x v="410"/>
    <x v="2"/>
    <s v="Accessories"/>
    <x v="404"/>
    <n v="481.59"/>
    <n v="49"/>
    <n v="23597.91"/>
    <s v="S410"/>
    <x v="3"/>
    <s v="W10"/>
    <x v="2"/>
    <s v="Maersk"/>
    <s v="Mumbai-Berlin"/>
    <n v="2088"/>
    <n v="410"/>
    <x v="0"/>
    <n v="24"/>
    <n v="790.15"/>
    <n v="435.46"/>
    <n v="1225.6099999999999"/>
    <s v="Delayed"/>
    <n v="6"/>
    <n v="79.84"/>
    <n v="160"/>
    <n v="192"/>
    <n v="0.58697796934865898"/>
  </r>
  <r>
    <x v="484"/>
    <s v="C2622"/>
    <x v="332"/>
    <d v="2023-02-18T00:00:00"/>
    <x v="2"/>
    <x v="1"/>
    <x v="5"/>
    <x v="4"/>
    <x v="411"/>
    <x v="1"/>
    <s v="Furnishings"/>
    <x v="405"/>
    <n v="474"/>
    <n v="84"/>
    <n v="39816"/>
    <s v="S548"/>
    <x v="3"/>
    <s v="W16"/>
    <x v="3"/>
    <s v="BlueDart"/>
    <s v="São Paulo-São Paulo"/>
    <n v="1064"/>
    <n v="348"/>
    <x v="0"/>
    <n v="2"/>
    <n v="1156.3900000000001"/>
    <n v="409.1"/>
    <n v="1565.49"/>
    <s v="On-time"/>
    <n v="0"/>
    <n v="81.87"/>
    <n v="330"/>
    <n v="345"/>
    <n v="1.4713251879699247"/>
  </r>
  <r>
    <x v="485"/>
    <s v="C1147"/>
    <x v="420"/>
    <d v="2024-07-10T00:00:00"/>
    <x v="2"/>
    <x v="0"/>
    <x v="6"/>
    <x v="6"/>
    <x v="229"/>
    <x v="1"/>
    <s v="Chairs"/>
    <x v="227"/>
    <n v="393.5"/>
    <n v="73"/>
    <n v="28725.5"/>
    <s v="S465"/>
    <x v="3"/>
    <s v="W32"/>
    <x v="2"/>
    <s v="Maersk"/>
    <s v="Mumbai-São Paulo"/>
    <n v="3238"/>
    <n v="379"/>
    <x v="0"/>
    <n v="14"/>
    <n v="414.27"/>
    <n v="292.99"/>
    <n v="707.26"/>
    <s v="On-time"/>
    <n v="0"/>
    <n v="91.38"/>
    <n v="338"/>
    <n v="367"/>
    <n v="0.21842495367510809"/>
  </r>
  <r>
    <x v="486"/>
    <s v="C2765"/>
    <x v="421"/>
    <d v="2021-09-17T00:00:00"/>
    <x v="2"/>
    <x v="0"/>
    <x v="4"/>
    <x v="6"/>
    <x v="412"/>
    <x v="2"/>
    <s v="Accessories"/>
    <x v="406"/>
    <n v="97.86"/>
    <n v="1"/>
    <n v="97.86"/>
    <s v="S669"/>
    <x v="2"/>
    <s v="W13"/>
    <x v="3"/>
    <s v="BlueDart"/>
    <s v="London-São Paulo"/>
    <n v="3557"/>
    <n v="132"/>
    <x v="0"/>
    <n v="18"/>
    <n v="839.16"/>
    <n v="469.93"/>
    <n v="1309.0899999999999"/>
    <s v="On-time"/>
    <n v="0"/>
    <n v="99.73"/>
    <n v="193"/>
    <n v="152"/>
    <n v="0.36803204947989876"/>
  </r>
  <r>
    <x v="487"/>
    <s v="C7654"/>
    <x v="422"/>
    <d v="2021-12-31T00:00:00"/>
    <x v="2"/>
    <x v="2"/>
    <x v="0"/>
    <x v="5"/>
    <x v="84"/>
    <x v="0"/>
    <s v="Binders"/>
    <x v="83"/>
    <n v="106.86"/>
    <n v="77"/>
    <n v="8228.2199999999993"/>
    <s v="S246"/>
    <x v="4"/>
    <s v="W12"/>
    <x v="2"/>
    <s v="FedEx"/>
    <s v="Beijing-London"/>
    <n v="4899"/>
    <n v="247"/>
    <x v="0"/>
    <n v="21"/>
    <n v="1680.98"/>
    <n v="324.3"/>
    <n v="2005.28"/>
    <s v="On-time"/>
    <n v="0"/>
    <n v="78.489999999999995"/>
    <n v="68"/>
    <n v="108"/>
    <n v="0.40932435190855276"/>
  </r>
  <r>
    <x v="488"/>
    <s v="C7663"/>
    <x v="423"/>
    <d v="2025-01-04T00:00:00"/>
    <x v="2"/>
    <x v="2"/>
    <x v="5"/>
    <x v="3"/>
    <x v="413"/>
    <x v="1"/>
    <s v="Furnishings"/>
    <x v="407"/>
    <n v="265.22000000000003"/>
    <n v="16"/>
    <n v="4243.5200000000004"/>
    <s v="S781"/>
    <x v="1"/>
    <s v="W5"/>
    <x v="2"/>
    <s v="UPS"/>
    <s v="São Paulo-Berlin"/>
    <n v="4215"/>
    <n v="499"/>
    <x v="0"/>
    <n v="23"/>
    <n v="952.63"/>
    <n v="268.48"/>
    <n v="1221.1099999999999"/>
    <s v="On-time"/>
    <n v="0"/>
    <n v="80.040000000000006"/>
    <n v="128"/>
    <n v="139"/>
    <n v="0.28970581257413996"/>
  </r>
  <r>
    <x v="489"/>
    <s v="C2651"/>
    <x v="91"/>
    <d v="2020-12-05T00:00:00"/>
    <x v="2"/>
    <x v="0"/>
    <x v="6"/>
    <x v="5"/>
    <x v="414"/>
    <x v="0"/>
    <s v="Paper"/>
    <x v="408"/>
    <n v="407.79"/>
    <n v="52"/>
    <n v="21205.08"/>
    <s v="S862"/>
    <x v="1"/>
    <s v="W28"/>
    <x v="2"/>
    <s v="FedEx"/>
    <s v="Mumbai-Cape Town"/>
    <n v="1003"/>
    <n v="303"/>
    <x v="0"/>
    <n v="8"/>
    <n v="1468.85"/>
    <n v="280.55"/>
    <n v="1749.4"/>
    <s v="On-time"/>
    <n v="0"/>
    <n v="83.05"/>
    <n v="126"/>
    <n v="147"/>
    <n v="1.7441674975074777"/>
  </r>
  <r>
    <x v="490"/>
    <s v="C4802"/>
    <x v="424"/>
    <d v="2024-08-18T00:00:00"/>
    <x v="0"/>
    <x v="0"/>
    <x v="7"/>
    <x v="5"/>
    <x v="414"/>
    <x v="0"/>
    <s v="Paper"/>
    <x v="408"/>
    <n v="407.83"/>
    <n v="38"/>
    <n v="15497.539999999999"/>
    <s v="S998"/>
    <x v="3"/>
    <s v="W23"/>
    <x v="1"/>
    <s v="Maersk"/>
    <s v="London-Toronto"/>
    <n v="340"/>
    <n v="229"/>
    <x v="0"/>
    <n v="17"/>
    <n v="994.65"/>
    <n v="410.69"/>
    <n v="1405.34"/>
    <s v="On-time"/>
    <n v="0"/>
    <n v="72.02"/>
    <n v="217"/>
    <n v="252"/>
    <n v="4.1333529411764705"/>
  </r>
  <r>
    <x v="491"/>
    <s v="C4895"/>
    <x v="72"/>
    <d v="2024-10-05T00:00:00"/>
    <x v="1"/>
    <x v="3"/>
    <x v="3"/>
    <x v="4"/>
    <x v="415"/>
    <x v="2"/>
    <s v="Phones"/>
    <x v="409"/>
    <n v="138.97"/>
    <n v="63"/>
    <n v="8755.11"/>
    <s v="S408"/>
    <x v="4"/>
    <s v="W26"/>
    <x v="2"/>
    <s v="UPS"/>
    <s v="Beijing-Beijing"/>
    <n v="791"/>
    <n v="297"/>
    <x v="0"/>
    <n v="25"/>
    <n v="1845.32"/>
    <n v="159.11000000000001"/>
    <n v="2004.43"/>
    <s v="Delayed"/>
    <n v="1"/>
    <n v="82.27"/>
    <n v="416"/>
    <n v="416"/>
    <n v="2.5340455120101137"/>
  </r>
  <r>
    <x v="492"/>
    <s v="C8954"/>
    <x v="425"/>
    <d v="2022-02-08T00:00:00"/>
    <x v="2"/>
    <x v="4"/>
    <x v="0"/>
    <x v="6"/>
    <x v="416"/>
    <x v="0"/>
    <s v="Binders"/>
    <x v="410"/>
    <n v="366.62"/>
    <n v="54"/>
    <n v="19797.48"/>
    <s v="S871"/>
    <x v="0"/>
    <s v="W17"/>
    <x v="0"/>
    <s v="UPS"/>
    <s v="São Paulo-London"/>
    <n v="4442"/>
    <n v="281"/>
    <x v="0"/>
    <n v="15"/>
    <n v="127.91"/>
    <n v="440.97"/>
    <n v="568.88"/>
    <s v="On-time"/>
    <n v="0"/>
    <n v="94.97"/>
    <n v="296"/>
    <n v="302"/>
    <n v="0.12806843764070239"/>
  </r>
  <r>
    <x v="493"/>
    <s v="C5700"/>
    <x v="426"/>
    <d v="2021-11-17T00:00:00"/>
    <x v="1"/>
    <x v="2"/>
    <x v="1"/>
    <x v="7"/>
    <x v="397"/>
    <x v="0"/>
    <s v="Supplies"/>
    <x v="392"/>
    <n v="263.49"/>
    <n v="25"/>
    <n v="6587.25"/>
    <s v="S117"/>
    <x v="4"/>
    <s v="W29"/>
    <x v="1"/>
    <s v="BlueDart"/>
    <s v="Mumbai-Cape Town"/>
    <n v="117"/>
    <n v="154"/>
    <x v="1"/>
    <n v="11"/>
    <n v="1371.52"/>
    <n v="495.05"/>
    <n v="1866.57"/>
    <s v="On-time"/>
    <n v="0"/>
    <n v="76.05"/>
    <n v="398"/>
    <n v="417"/>
    <n v="15.953589743589744"/>
  </r>
  <r>
    <x v="494"/>
    <s v="C7264"/>
    <x v="427"/>
    <d v="2024-08-08T00:00:00"/>
    <x v="1"/>
    <x v="3"/>
    <x v="7"/>
    <x v="1"/>
    <x v="417"/>
    <x v="1"/>
    <s v="Furnishings"/>
    <x v="411"/>
    <n v="360.35"/>
    <n v="38"/>
    <n v="13693.300000000001"/>
    <s v="S343"/>
    <x v="1"/>
    <s v="W5"/>
    <x v="0"/>
    <s v="UPS"/>
    <s v="Cape Town-Mumbai"/>
    <n v="174"/>
    <n v="92"/>
    <x v="0"/>
    <n v="16"/>
    <n v="1045.9000000000001"/>
    <n v="242.11"/>
    <n v="1288.01"/>
    <s v="On-time"/>
    <n v="0"/>
    <n v="88.78"/>
    <n v="237"/>
    <n v="265"/>
    <n v="7.40235632183908"/>
  </r>
  <r>
    <x v="495"/>
    <s v="C9624"/>
    <x v="428"/>
    <d v="2022-02-07T00:00:00"/>
    <x v="2"/>
    <x v="1"/>
    <x v="0"/>
    <x v="6"/>
    <x v="418"/>
    <x v="1"/>
    <s v="Furnishings"/>
    <x v="412"/>
    <n v="265.64999999999998"/>
    <n v="17"/>
    <n v="4516.0499999999993"/>
    <s v="S270"/>
    <x v="3"/>
    <s v="W10"/>
    <x v="0"/>
    <s v="Maersk"/>
    <s v="Berlin-Beijing"/>
    <n v="2669"/>
    <n v="57"/>
    <x v="0"/>
    <n v="5"/>
    <n v="927.98"/>
    <n v="423.01"/>
    <n v="1350.99"/>
    <s v="Delayed"/>
    <n v="14"/>
    <n v="83.16"/>
    <n v="317"/>
    <n v="296"/>
    <n v="0.5061783439490446"/>
  </r>
  <r>
    <x v="496"/>
    <s v="C9892"/>
    <x v="429"/>
    <d v="2024-09-27T00:00:00"/>
    <x v="1"/>
    <x v="4"/>
    <x v="0"/>
    <x v="1"/>
    <x v="419"/>
    <x v="0"/>
    <s v="Appliances"/>
    <x v="413"/>
    <n v="94.64"/>
    <n v="3"/>
    <n v="283.92"/>
    <s v="S977"/>
    <x v="0"/>
    <s v="W7"/>
    <x v="0"/>
    <s v="Maersk"/>
    <s v="Beijing-Beijing"/>
    <n v="2681"/>
    <n v="468"/>
    <x v="0"/>
    <n v="28"/>
    <n v="72.5"/>
    <n v="17.04"/>
    <n v="89.539999999999992"/>
    <s v="On-time"/>
    <n v="0"/>
    <n v="71.22"/>
    <n v="253"/>
    <n v="282"/>
    <n v="3.3397985826184258E-2"/>
  </r>
  <r>
    <x v="497"/>
    <s v="C6377"/>
    <x v="240"/>
    <d v="2021-08-17T00:00:00"/>
    <x v="2"/>
    <x v="1"/>
    <x v="0"/>
    <x v="4"/>
    <x v="420"/>
    <x v="0"/>
    <s v="Art"/>
    <x v="414"/>
    <n v="335.11"/>
    <n v="23"/>
    <n v="7707.5300000000007"/>
    <s v="S192"/>
    <x v="3"/>
    <s v="W17"/>
    <x v="1"/>
    <s v="DHL"/>
    <s v="Berlin-Cape Town"/>
    <n v="2377"/>
    <n v="105"/>
    <x v="0"/>
    <n v="10"/>
    <n v="721.62"/>
    <n v="388.06"/>
    <n v="1109.68"/>
    <s v="Delayed"/>
    <n v="9"/>
    <n v="91.14"/>
    <n v="235"/>
    <n v="231"/>
    <n v="0.46684055532183427"/>
  </r>
  <r>
    <x v="498"/>
    <s v="C8665"/>
    <x v="430"/>
    <d v="2020-02-11T00:00:00"/>
    <x v="1"/>
    <x v="2"/>
    <x v="3"/>
    <x v="3"/>
    <x v="318"/>
    <x v="0"/>
    <s v="Paper"/>
    <x v="315"/>
    <n v="347.43"/>
    <n v="90"/>
    <n v="31268.7"/>
    <s v="S983"/>
    <x v="1"/>
    <s v="W9"/>
    <x v="3"/>
    <s v="Maersk"/>
    <s v="Beijing-Toronto"/>
    <n v="4810"/>
    <n v="360"/>
    <x v="0"/>
    <n v="27"/>
    <n v="1442.79"/>
    <n v="196.81"/>
    <n v="1639.6"/>
    <s v="On-time"/>
    <n v="0"/>
    <n v="85.29"/>
    <n v="452"/>
    <n v="463"/>
    <n v="0.34087318087318086"/>
  </r>
  <r>
    <x v="499"/>
    <s v="C1941"/>
    <x v="416"/>
    <d v="2021-08-26T00:00:00"/>
    <x v="1"/>
    <x v="4"/>
    <x v="3"/>
    <x v="0"/>
    <x v="261"/>
    <x v="0"/>
    <s v="Storage"/>
    <x v="259"/>
    <n v="234.09"/>
    <n v="31"/>
    <n v="7256.79"/>
    <s v="S228"/>
    <x v="4"/>
    <s v="W23"/>
    <x v="3"/>
    <s v="DHL"/>
    <s v="Toronto-Mumbai"/>
    <n v="2087"/>
    <n v="384"/>
    <x v="0"/>
    <n v="24"/>
    <n v="1985.63"/>
    <n v="453.1"/>
    <n v="2438.73"/>
    <s v="On-time"/>
    <n v="0"/>
    <n v="77.53"/>
    <n v="457"/>
    <n v="408"/>
    <n v="1.1685337805462386"/>
  </r>
  <r>
    <x v="500"/>
    <s v="C7874"/>
    <x v="431"/>
    <d v="2022-08-08T00:00:00"/>
    <x v="2"/>
    <x v="4"/>
    <x v="0"/>
    <x v="1"/>
    <x v="421"/>
    <x v="2"/>
    <s v="Accessories"/>
    <x v="415"/>
    <n v="362.52"/>
    <n v="69"/>
    <n v="25013.879999999997"/>
    <s v="S681"/>
    <x v="1"/>
    <s v="W16"/>
    <x v="0"/>
    <s v="DHL"/>
    <s v="Cape Town-London"/>
    <n v="3557"/>
    <n v="178"/>
    <x v="0"/>
    <n v="27"/>
    <n v="262.18"/>
    <n v="472.97"/>
    <n v="735.15000000000009"/>
    <s v="On-time"/>
    <n v="0"/>
    <n v="82.29"/>
    <n v="453"/>
    <n v="446"/>
    <n v="0.20667697497891485"/>
  </r>
  <r>
    <x v="501"/>
    <s v="C8693"/>
    <x v="432"/>
    <d v="2022-08-20T00:00:00"/>
    <x v="2"/>
    <x v="2"/>
    <x v="6"/>
    <x v="2"/>
    <x v="106"/>
    <x v="1"/>
    <s v="Chairs"/>
    <x v="105"/>
    <n v="349.56"/>
    <n v="31"/>
    <n v="10836.36"/>
    <s v="S247"/>
    <x v="2"/>
    <s v="W30"/>
    <x v="2"/>
    <s v="FedEx"/>
    <s v="New York-New York"/>
    <n v="3491"/>
    <n v="90"/>
    <x v="0"/>
    <n v="18"/>
    <n v="146.91999999999999"/>
    <n v="483.51"/>
    <n v="630.42999999999995"/>
    <s v="On-time"/>
    <n v="0"/>
    <n v="80.8"/>
    <n v="252"/>
    <n v="237"/>
    <n v="0.18058722429103408"/>
  </r>
  <r>
    <x v="502"/>
    <s v="C4296"/>
    <x v="377"/>
    <d v="2023-05-19T00:00:00"/>
    <x v="0"/>
    <x v="1"/>
    <x v="2"/>
    <x v="5"/>
    <x v="345"/>
    <x v="1"/>
    <s v="Furnishings"/>
    <x v="340"/>
    <n v="261.39"/>
    <n v="52"/>
    <n v="13592.279999999999"/>
    <s v="S157"/>
    <x v="4"/>
    <s v="W42"/>
    <x v="0"/>
    <s v="DHL"/>
    <s v="London-London"/>
    <n v="3685"/>
    <n v="315"/>
    <x v="0"/>
    <n v="11"/>
    <n v="1671.5"/>
    <n v="356.7"/>
    <n v="2028.2"/>
    <s v="On-time"/>
    <n v="0"/>
    <n v="93.23"/>
    <n v="218"/>
    <n v="194"/>
    <n v="0.55039348710990499"/>
  </r>
  <r>
    <x v="503"/>
    <s v="C3820"/>
    <x v="385"/>
    <d v="2024-10-06T00:00:00"/>
    <x v="2"/>
    <x v="2"/>
    <x v="2"/>
    <x v="4"/>
    <x v="422"/>
    <x v="2"/>
    <s v="Machines"/>
    <x v="416"/>
    <n v="461.25"/>
    <n v="81"/>
    <n v="37361.25"/>
    <s v="S750"/>
    <x v="4"/>
    <s v="W5"/>
    <x v="3"/>
    <s v="Maersk"/>
    <s v="Cape Town-Berlin"/>
    <n v="3397"/>
    <n v="280"/>
    <x v="0"/>
    <n v="17"/>
    <n v="1044.22"/>
    <n v="247.75"/>
    <n v="1291.97"/>
    <s v="On-time"/>
    <n v="0"/>
    <n v="86.18"/>
    <n v="244"/>
    <n v="285"/>
    <n v="0.38032675890491613"/>
  </r>
  <r>
    <x v="504"/>
    <s v="C2100"/>
    <x v="433"/>
    <d v="2021-04-06T00:00:00"/>
    <x v="2"/>
    <x v="2"/>
    <x v="5"/>
    <x v="5"/>
    <x v="423"/>
    <x v="1"/>
    <s v="Chairs"/>
    <x v="417"/>
    <n v="298.87"/>
    <n v="29"/>
    <n v="8667.23"/>
    <s v="S120"/>
    <x v="2"/>
    <s v="W20"/>
    <x v="2"/>
    <s v="Maersk"/>
    <s v="Toronto-New York"/>
    <n v="3112"/>
    <n v="437"/>
    <x v="0"/>
    <n v="11"/>
    <n v="226.89"/>
    <n v="489.57"/>
    <n v="716.46"/>
    <s v="On-time"/>
    <n v="0"/>
    <n v="82.23"/>
    <n v="225"/>
    <n v="182"/>
    <n v="0.23022493573264782"/>
  </r>
  <r>
    <x v="505"/>
    <s v="C8852"/>
    <x v="302"/>
    <d v="2024-10-23T00:00:00"/>
    <x v="2"/>
    <x v="3"/>
    <x v="6"/>
    <x v="3"/>
    <x v="107"/>
    <x v="0"/>
    <s v="Appliances"/>
    <x v="106"/>
    <n v="469.98"/>
    <n v="35"/>
    <n v="16449.3"/>
    <s v="S655"/>
    <x v="0"/>
    <s v="W19"/>
    <x v="2"/>
    <s v="UPS"/>
    <s v="Mumbai-London"/>
    <n v="3235"/>
    <n v="190"/>
    <x v="0"/>
    <n v="11"/>
    <n v="1699.56"/>
    <n v="495.05"/>
    <n v="2194.61"/>
    <s v="On-time"/>
    <n v="0"/>
    <n v="92.89"/>
    <n v="453"/>
    <n v="482"/>
    <n v="0.67839567233384857"/>
  </r>
  <r>
    <x v="506"/>
    <s v="C4432"/>
    <x v="434"/>
    <d v="2024-05-17T00:00:00"/>
    <x v="1"/>
    <x v="0"/>
    <x v="5"/>
    <x v="7"/>
    <x v="23"/>
    <x v="0"/>
    <s v="Art"/>
    <x v="23"/>
    <n v="329.81"/>
    <n v="10"/>
    <n v="3298.1"/>
    <s v="S906"/>
    <x v="4"/>
    <s v="W43"/>
    <x v="1"/>
    <s v="FedEx"/>
    <s v="London-New York"/>
    <n v="287"/>
    <n v="221"/>
    <x v="0"/>
    <n v="16"/>
    <n v="1298.98"/>
    <n v="172.38"/>
    <n v="1471.36"/>
    <s v="On-time"/>
    <n v="0"/>
    <n v="81.05"/>
    <n v="278"/>
    <n v="322"/>
    <n v="5.126689895470383"/>
  </r>
  <r>
    <x v="507"/>
    <s v="C3030"/>
    <x v="435"/>
    <d v="2024-01-25T00:00:00"/>
    <x v="1"/>
    <x v="2"/>
    <x v="6"/>
    <x v="4"/>
    <x v="424"/>
    <x v="0"/>
    <s v="Binders"/>
    <x v="418"/>
    <n v="155.25"/>
    <n v="66"/>
    <n v="10246.5"/>
    <s v="S829"/>
    <x v="3"/>
    <s v="W37"/>
    <x v="3"/>
    <s v="BlueDart"/>
    <s v="Berlin-Beijing"/>
    <n v="858"/>
    <n v="437"/>
    <x v="0"/>
    <n v="24"/>
    <n v="1164.81"/>
    <n v="254.17"/>
    <n v="1418.98"/>
    <s v="Delayed"/>
    <n v="2"/>
    <n v="92.7"/>
    <n v="226"/>
    <n v="221"/>
    <n v="1.6538228438228439"/>
  </r>
  <r>
    <x v="508"/>
    <s v="C8236"/>
    <x v="436"/>
    <d v="2022-03-13T00:00:00"/>
    <x v="2"/>
    <x v="3"/>
    <x v="4"/>
    <x v="6"/>
    <x v="425"/>
    <x v="0"/>
    <s v="Binders"/>
    <x v="419"/>
    <n v="485.7"/>
    <n v="63"/>
    <n v="30599.1"/>
    <s v="S141"/>
    <x v="3"/>
    <s v="W17"/>
    <x v="3"/>
    <s v="UPS"/>
    <s v="Beijing-Berlin"/>
    <n v="4886"/>
    <n v="263"/>
    <x v="0"/>
    <n v="12"/>
    <n v="666.52"/>
    <n v="187.03"/>
    <n v="853.55"/>
    <s v="On-time"/>
    <n v="0"/>
    <n v="82.68"/>
    <n v="100"/>
    <n v="106"/>
    <n v="0.17469300040933278"/>
  </r>
  <r>
    <x v="509"/>
    <s v="C8933"/>
    <x v="437"/>
    <d v="2024-12-27T00:00:00"/>
    <x v="1"/>
    <x v="3"/>
    <x v="6"/>
    <x v="5"/>
    <x v="426"/>
    <x v="0"/>
    <s v="Binders"/>
    <x v="420"/>
    <n v="489.95"/>
    <n v="41"/>
    <n v="20087.95"/>
    <s v="S424"/>
    <x v="0"/>
    <s v="W47"/>
    <x v="2"/>
    <s v="DHL"/>
    <s v="London-Cape Town"/>
    <n v="3410"/>
    <n v="499"/>
    <x v="0"/>
    <n v="13"/>
    <n v="1855.33"/>
    <n v="303"/>
    <n v="2158.33"/>
    <s v="On-time"/>
    <n v="0"/>
    <n v="93"/>
    <n v="87"/>
    <n v="80"/>
    <n v="0.63294134897360699"/>
  </r>
  <r>
    <x v="510"/>
    <s v="C1783"/>
    <x v="438"/>
    <d v="2024-10-19T00:00:00"/>
    <x v="2"/>
    <x v="3"/>
    <x v="1"/>
    <x v="2"/>
    <x v="427"/>
    <x v="0"/>
    <s v="Envelopes"/>
    <x v="27"/>
    <n v="299.81"/>
    <n v="27"/>
    <n v="8094.87"/>
    <s v="S119"/>
    <x v="4"/>
    <s v="W19"/>
    <x v="3"/>
    <s v="UPS"/>
    <s v="Toronto-Toronto"/>
    <n v="210"/>
    <n v="481"/>
    <x v="1"/>
    <n v="2"/>
    <n v="781.61"/>
    <n v="418.42"/>
    <n v="1200.03"/>
    <s v="On-time"/>
    <n v="0"/>
    <n v="79.75"/>
    <n v="323"/>
    <n v="300"/>
    <n v="5.714428571428571"/>
  </r>
  <r>
    <x v="511"/>
    <s v="C5722"/>
    <x v="94"/>
    <d v="2022-09-04T00:00:00"/>
    <x v="1"/>
    <x v="2"/>
    <x v="2"/>
    <x v="0"/>
    <x v="428"/>
    <x v="0"/>
    <s v="Paper"/>
    <x v="421"/>
    <n v="412.26"/>
    <n v="39"/>
    <n v="16078.14"/>
    <s v="S481"/>
    <x v="2"/>
    <s v="W33"/>
    <x v="2"/>
    <s v="UPS"/>
    <s v="Cape Town-São Paulo"/>
    <n v="3650"/>
    <n v="408"/>
    <x v="0"/>
    <n v="27"/>
    <n v="1728.03"/>
    <n v="49.34"/>
    <n v="1777.37"/>
    <s v="On-time"/>
    <n v="0"/>
    <n v="90.54"/>
    <n v="307"/>
    <n v="341"/>
    <n v="0.48695068493150684"/>
  </r>
  <r>
    <x v="512"/>
    <s v="C4454"/>
    <x v="439"/>
    <d v="2021-04-03T00:00:00"/>
    <x v="2"/>
    <x v="4"/>
    <x v="6"/>
    <x v="7"/>
    <x v="429"/>
    <x v="0"/>
    <s v="Paper"/>
    <x v="422"/>
    <n v="318.23"/>
    <n v="68"/>
    <n v="21639.64"/>
    <s v="S657"/>
    <x v="0"/>
    <s v="W10"/>
    <x v="2"/>
    <s v="FedEx"/>
    <s v="Beijing-São Paulo"/>
    <n v="491"/>
    <n v="242"/>
    <x v="0"/>
    <n v="6"/>
    <n v="145.46"/>
    <n v="135.18"/>
    <n v="280.64"/>
    <s v="On-time"/>
    <n v="0"/>
    <n v="84.62"/>
    <n v="305"/>
    <n v="303"/>
    <n v="0.57156822810590624"/>
  </r>
  <r>
    <x v="513"/>
    <s v="C4354"/>
    <x v="440"/>
    <d v="2020-07-29T00:00:00"/>
    <x v="1"/>
    <x v="4"/>
    <x v="6"/>
    <x v="7"/>
    <x v="430"/>
    <x v="2"/>
    <s v="Phones"/>
    <x v="423"/>
    <n v="326.58999999999997"/>
    <n v="7"/>
    <n v="2286.1299999999997"/>
    <s v="S866"/>
    <x v="0"/>
    <s v="W40"/>
    <x v="2"/>
    <s v="UPS"/>
    <s v="Berlin-Beijing"/>
    <n v="4932"/>
    <n v="209"/>
    <x v="0"/>
    <n v="28"/>
    <n v="348.55"/>
    <n v="134.19999999999999"/>
    <n v="482.75"/>
    <s v="On-time"/>
    <n v="0"/>
    <n v="95.92"/>
    <n v="495"/>
    <n v="506"/>
    <n v="9.7881184103811844E-2"/>
  </r>
  <r>
    <x v="514"/>
    <s v="C2577"/>
    <x v="441"/>
    <d v="2023-04-02T00:00:00"/>
    <x v="2"/>
    <x v="1"/>
    <x v="5"/>
    <x v="1"/>
    <x v="107"/>
    <x v="0"/>
    <s v="Appliances"/>
    <x v="106"/>
    <n v="366.12"/>
    <n v="47"/>
    <n v="17207.64"/>
    <s v="S843"/>
    <x v="0"/>
    <s v="W36"/>
    <x v="0"/>
    <s v="BlueDart"/>
    <s v="Toronto-New York"/>
    <n v="357"/>
    <n v="464"/>
    <x v="1"/>
    <n v="2"/>
    <n v="1015.74"/>
    <n v="73.2"/>
    <n v="1088.94"/>
    <s v="On-time"/>
    <n v="0"/>
    <n v="95.87"/>
    <n v="456"/>
    <n v="482"/>
    <n v="3.0502521008403365"/>
  </r>
  <r>
    <x v="515"/>
    <s v="C5226"/>
    <x v="442"/>
    <d v="2024-06-05T00:00:00"/>
    <x v="2"/>
    <x v="3"/>
    <x v="7"/>
    <x v="4"/>
    <x v="425"/>
    <x v="0"/>
    <s v="Binders"/>
    <x v="419"/>
    <n v="152.36000000000001"/>
    <n v="85"/>
    <n v="12950.6"/>
    <s v="S440"/>
    <x v="1"/>
    <s v="W29"/>
    <x v="2"/>
    <s v="UPS"/>
    <s v="São Paulo-Berlin"/>
    <n v="669"/>
    <n v="101"/>
    <x v="0"/>
    <n v="6"/>
    <n v="1097.06"/>
    <n v="487"/>
    <n v="1584.06"/>
    <s v="On-time"/>
    <n v="0"/>
    <n v="80.650000000000006"/>
    <n v="413"/>
    <n v="414"/>
    <n v="2.3678026905829594"/>
  </r>
  <r>
    <x v="516"/>
    <s v="C3002"/>
    <x v="443"/>
    <d v="2022-06-30T00:00:00"/>
    <x v="1"/>
    <x v="1"/>
    <x v="2"/>
    <x v="4"/>
    <x v="429"/>
    <x v="0"/>
    <s v="Paper"/>
    <x v="422"/>
    <n v="237.21"/>
    <n v="53"/>
    <n v="12572.130000000001"/>
    <s v="S767"/>
    <x v="2"/>
    <s v="W17"/>
    <x v="1"/>
    <s v="UPS"/>
    <s v="Mumbai-New York"/>
    <n v="2243"/>
    <n v="107"/>
    <x v="0"/>
    <n v="10"/>
    <n v="535.33000000000004"/>
    <n v="262.31"/>
    <n v="797.6400000000001"/>
    <s v="On-time"/>
    <n v="0"/>
    <n v="86"/>
    <n v="196"/>
    <n v="150"/>
    <n v="0.35561301827909053"/>
  </r>
  <r>
    <x v="517"/>
    <s v="C9783"/>
    <x v="333"/>
    <d v="2022-04-19T00:00:00"/>
    <x v="1"/>
    <x v="2"/>
    <x v="1"/>
    <x v="7"/>
    <x v="431"/>
    <x v="2"/>
    <s v="Phones"/>
    <x v="424"/>
    <n v="6.86"/>
    <n v="65"/>
    <n v="445.90000000000003"/>
    <s v="S367"/>
    <x v="3"/>
    <s v="W4"/>
    <x v="3"/>
    <s v="BlueDart"/>
    <s v="New York-Berlin"/>
    <n v="4859"/>
    <n v="342"/>
    <x v="0"/>
    <n v="19"/>
    <n v="770.51"/>
    <n v="51.78"/>
    <n v="822.29"/>
    <s v="On-time"/>
    <n v="0"/>
    <n v="88.27"/>
    <n v="386"/>
    <n v="359"/>
    <n v="0.16923029429923853"/>
  </r>
  <r>
    <x v="518"/>
    <s v="C6530"/>
    <x v="444"/>
    <d v="2023-07-07T00:00:00"/>
    <x v="1"/>
    <x v="4"/>
    <x v="4"/>
    <x v="5"/>
    <x v="432"/>
    <x v="2"/>
    <s v="Phones"/>
    <x v="425"/>
    <n v="178.29"/>
    <n v="39"/>
    <n v="6953.3099999999995"/>
    <s v="S703"/>
    <x v="0"/>
    <s v="W44"/>
    <x v="0"/>
    <s v="BlueDart"/>
    <s v="Beijing-Mumbai"/>
    <n v="4093"/>
    <n v="95"/>
    <x v="0"/>
    <n v="3"/>
    <n v="1690.7"/>
    <n v="479.76"/>
    <n v="2170.46"/>
    <s v="On-time"/>
    <n v="0"/>
    <n v="88.9"/>
    <n v="455"/>
    <n v="470"/>
    <n v="0.5302858538968972"/>
  </r>
  <r>
    <x v="519"/>
    <s v="C8866"/>
    <x v="445"/>
    <d v="2024-03-15T00:00:00"/>
    <x v="2"/>
    <x v="3"/>
    <x v="3"/>
    <x v="3"/>
    <x v="433"/>
    <x v="0"/>
    <s v="Appliances"/>
    <x v="426"/>
    <n v="137.11000000000001"/>
    <n v="7"/>
    <n v="959.7700000000001"/>
    <s v="S115"/>
    <x v="0"/>
    <s v="W7"/>
    <x v="3"/>
    <s v="FedEx"/>
    <s v="Berlin-Toronto"/>
    <n v="4524"/>
    <n v="242"/>
    <x v="0"/>
    <n v="1"/>
    <n v="879.67"/>
    <n v="420.16"/>
    <n v="1299.83"/>
    <s v="On-time"/>
    <n v="0"/>
    <n v="72.59"/>
    <n v="318"/>
    <n v="340"/>
    <n v="0.28731874447391687"/>
  </r>
  <r>
    <x v="520"/>
    <s v="C8841"/>
    <x v="446"/>
    <d v="2022-02-06T00:00:00"/>
    <x v="1"/>
    <x v="3"/>
    <x v="4"/>
    <x v="1"/>
    <x v="434"/>
    <x v="0"/>
    <s v="Art"/>
    <x v="427"/>
    <n v="46.79"/>
    <n v="11"/>
    <n v="514.68999999999994"/>
    <s v="S326"/>
    <x v="1"/>
    <s v="W9"/>
    <x v="2"/>
    <s v="Maersk"/>
    <s v="Berlin-New York"/>
    <n v="4661"/>
    <n v="345"/>
    <x v="0"/>
    <n v="28"/>
    <n v="1396.91"/>
    <n v="190.68"/>
    <n v="1587.59"/>
    <s v="On-time"/>
    <n v="0"/>
    <n v="84.07"/>
    <n v="309"/>
    <n v="296"/>
    <n v="0.34061145676893367"/>
  </r>
  <r>
    <x v="521"/>
    <s v="C9622"/>
    <x v="447"/>
    <d v="2024-05-20T00:00:00"/>
    <x v="1"/>
    <x v="2"/>
    <x v="3"/>
    <x v="0"/>
    <x v="435"/>
    <x v="0"/>
    <s v="Binders"/>
    <x v="268"/>
    <n v="68.64"/>
    <n v="73"/>
    <n v="5010.72"/>
    <s v="S360"/>
    <x v="1"/>
    <s v="W13"/>
    <x v="2"/>
    <s v="FedEx"/>
    <s v="New York-Mumbai"/>
    <n v="216"/>
    <n v="242"/>
    <x v="1"/>
    <n v="15"/>
    <n v="464.35"/>
    <n v="121.07"/>
    <n v="585.42000000000007"/>
    <s v="On-time"/>
    <n v="0"/>
    <n v="80.599999999999994"/>
    <n v="353"/>
    <n v="348"/>
    <n v="2.7102777777777782"/>
  </r>
  <r>
    <x v="522"/>
    <s v="C3095"/>
    <x v="448"/>
    <d v="2020-03-15T00:00:00"/>
    <x v="1"/>
    <x v="2"/>
    <x v="1"/>
    <x v="4"/>
    <x v="436"/>
    <x v="0"/>
    <s v="Binders"/>
    <x v="428"/>
    <n v="410.55"/>
    <n v="87"/>
    <n v="35717.85"/>
    <s v="S146"/>
    <x v="3"/>
    <s v="W18"/>
    <x v="3"/>
    <s v="DHL"/>
    <s v="São Paulo-Cape Town"/>
    <n v="3231"/>
    <n v="267"/>
    <x v="0"/>
    <n v="29"/>
    <n v="673.93"/>
    <n v="321"/>
    <n v="994.93"/>
    <s v="On-time"/>
    <n v="0"/>
    <n v="89.43"/>
    <n v="244"/>
    <n v="264"/>
    <n v="0.30793252862890746"/>
  </r>
  <r>
    <x v="523"/>
    <s v="C3821"/>
    <x v="449"/>
    <d v="2021-09-02T00:00:00"/>
    <x v="1"/>
    <x v="4"/>
    <x v="5"/>
    <x v="4"/>
    <x v="437"/>
    <x v="0"/>
    <s v="Paper"/>
    <x v="429"/>
    <n v="248.01"/>
    <n v="93"/>
    <n v="23064.93"/>
    <s v="S119"/>
    <x v="4"/>
    <s v="W2"/>
    <x v="1"/>
    <s v="UPS"/>
    <s v="Berlin-Beijing"/>
    <n v="4709"/>
    <n v="402"/>
    <x v="0"/>
    <n v="2"/>
    <n v="1913.58"/>
    <n v="261.77"/>
    <n v="2175.35"/>
    <s v="On-time"/>
    <n v="0"/>
    <n v="79.900000000000006"/>
    <n v="490"/>
    <n v="482"/>
    <n v="0.46195582926311318"/>
  </r>
  <r>
    <x v="524"/>
    <s v="C1115"/>
    <x v="450"/>
    <d v="2020-05-22T00:00:00"/>
    <x v="2"/>
    <x v="2"/>
    <x v="2"/>
    <x v="0"/>
    <x v="438"/>
    <x v="0"/>
    <s v="Supplies"/>
    <x v="430"/>
    <n v="224.71"/>
    <n v="40"/>
    <n v="8988.4"/>
    <s v="S333"/>
    <x v="2"/>
    <s v="W8"/>
    <x v="2"/>
    <s v="FedEx"/>
    <s v="São Paulo-São Paulo"/>
    <n v="3512"/>
    <n v="448"/>
    <x v="0"/>
    <n v="8"/>
    <n v="628.76"/>
    <n v="381.04"/>
    <n v="1009.8"/>
    <s v="On-time"/>
    <n v="0"/>
    <n v="81.87"/>
    <n v="254"/>
    <n v="301"/>
    <n v="0.28752847380410024"/>
  </r>
  <r>
    <x v="525"/>
    <s v="C6335"/>
    <x v="451"/>
    <d v="2024-05-01T00:00:00"/>
    <x v="1"/>
    <x v="1"/>
    <x v="0"/>
    <x v="0"/>
    <x v="439"/>
    <x v="2"/>
    <s v="Phones"/>
    <x v="431"/>
    <n v="319.88"/>
    <n v="43"/>
    <n v="13754.84"/>
    <s v="S629"/>
    <x v="3"/>
    <s v="W15"/>
    <x v="1"/>
    <s v="Maersk"/>
    <s v="Mumbai-São Paulo"/>
    <n v="4374"/>
    <n v="70"/>
    <x v="0"/>
    <n v="10"/>
    <n v="1546.92"/>
    <n v="410.16"/>
    <n v="1957.08"/>
    <s v="On-time"/>
    <n v="0"/>
    <n v="70.62"/>
    <n v="77"/>
    <n v="61"/>
    <n v="0.44743484224965707"/>
  </r>
  <r>
    <x v="526"/>
    <s v="C9574"/>
    <x v="452"/>
    <d v="2021-05-21T00:00:00"/>
    <x v="2"/>
    <x v="3"/>
    <x v="0"/>
    <x v="1"/>
    <x v="440"/>
    <x v="0"/>
    <s v="Paper"/>
    <x v="432"/>
    <n v="386.09"/>
    <n v="92"/>
    <n v="35520.28"/>
    <s v="S129"/>
    <x v="0"/>
    <s v="W9"/>
    <x v="2"/>
    <s v="DHL"/>
    <s v="Berlin-London"/>
    <n v="3737"/>
    <n v="55"/>
    <x v="0"/>
    <n v="19"/>
    <n v="407.74"/>
    <n v="78.53"/>
    <n v="486.27"/>
    <s v="On-time"/>
    <n v="0"/>
    <n v="81.290000000000006"/>
    <n v="184"/>
    <n v="229"/>
    <n v="0.13012309339042011"/>
  </r>
  <r>
    <x v="527"/>
    <s v="C7710"/>
    <x v="453"/>
    <d v="2021-10-05T00:00:00"/>
    <x v="0"/>
    <x v="2"/>
    <x v="2"/>
    <x v="6"/>
    <x v="441"/>
    <x v="1"/>
    <s v="Furnishings"/>
    <x v="433"/>
    <n v="481.24"/>
    <n v="29"/>
    <n v="13955.960000000001"/>
    <s v="S579"/>
    <x v="4"/>
    <s v="W15"/>
    <x v="0"/>
    <s v="FedEx"/>
    <s v="New York-Mumbai"/>
    <n v="3630"/>
    <n v="243"/>
    <x v="0"/>
    <n v="7"/>
    <n v="1066.9100000000001"/>
    <n v="325.58"/>
    <n v="1392.49"/>
    <s v="On-time"/>
    <n v="0"/>
    <n v="98.37"/>
    <n v="198"/>
    <n v="159"/>
    <n v="0.38360606060606062"/>
  </r>
  <r>
    <x v="528"/>
    <s v="C3334"/>
    <x v="454"/>
    <d v="2021-12-20T00:00:00"/>
    <x v="2"/>
    <x v="1"/>
    <x v="6"/>
    <x v="7"/>
    <x v="442"/>
    <x v="0"/>
    <s v="Appliances"/>
    <x v="434"/>
    <n v="41.7"/>
    <n v="93"/>
    <n v="3878.1000000000004"/>
    <s v="S833"/>
    <x v="1"/>
    <s v="W3"/>
    <x v="1"/>
    <s v="Maersk"/>
    <s v="São Paulo-Mumbai"/>
    <n v="3258"/>
    <n v="64"/>
    <x v="0"/>
    <n v="14"/>
    <n v="1318.52"/>
    <n v="464.98"/>
    <n v="1783.5"/>
    <s v="On-time"/>
    <n v="0"/>
    <n v="81.150000000000006"/>
    <n v="213"/>
    <n v="180"/>
    <n v="0.54742173112338854"/>
  </r>
  <r>
    <x v="529"/>
    <s v="C9738"/>
    <x v="455"/>
    <d v="2024-06-17T00:00:00"/>
    <x v="1"/>
    <x v="3"/>
    <x v="6"/>
    <x v="7"/>
    <x v="443"/>
    <x v="0"/>
    <s v="Paper"/>
    <x v="435"/>
    <n v="178.03"/>
    <n v="57"/>
    <n v="10147.710000000001"/>
    <s v="S839"/>
    <x v="0"/>
    <s v="W31"/>
    <x v="0"/>
    <s v="FedEx"/>
    <s v="London-Mumbai"/>
    <n v="859"/>
    <n v="414"/>
    <x v="0"/>
    <n v="16"/>
    <n v="945.05"/>
    <n v="257.05"/>
    <n v="1202.0999999999999"/>
    <s v="On-time"/>
    <n v="0"/>
    <n v="98.5"/>
    <n v="391"/>
    <n v="439"/>
    <n v="1.3994179278230499"/>
  </r>
  <r>
    <x v="530"/>
    <s v="C2165"/>
    <x v="456"/>
    <d v="2020-10-24T00:00:00"/>
    <x v="0"/>
    <x v="4"/>
    <x v="4"/>
    <x v="7"/>
    <x v="444"/>
    <x v="1"/>
    <s v="Bookcases"/>
    <x v="436"/>
    <n v="249.47"/>
    <n v="90"/>
    <n v="22452.3"/>
    <s v="S144"/>
    <x v="4"/>
    <s v="W24"/>
    <x v="3"/>
    <s v="Maersk"/>
    <s v="São Paulo-São Paulo"/>
    <n v="1496"/>
    <n v="486"/>
    <x v="0"/>
    <n v="6"/>
    <n v="1092.22"/>
    <n v="289.64999999999998"/>
    <n v="1381.87"/>
    <s v="On-time"/>
    <n v="0"/>
    <n v="98.87"/>
    <n v="468"/>
    <n v="509"/>
    <n v="0.92370989304812823"/>
  </r>
  <r>
    <x v="531"/>
    <s v="C9697"/>
    <x v="457"/>
    <d v="2024-08-02T00:00:00"/>
    <x v="2"/>
    <x v="0"/>
    <x v="2"/>
    <x v="3"/>
    <x v="445"/>
    <x v="1"/>
    <s v="Chairs"/>
    <x v="437"/>
    <n v="277.82"/>
    <n v="79"/>
    <n v="21947.78"/>
    <s v="S595"/>
    <x v="0"/>
    <s v="W21"/>
    <x v="1"/>
    <s v="FedEx"/>
    <s v="Mumbai-Cape Town"/>
    <n v="4467"/>
    <n v="276"/>
    <x v="0"/>
    <n v="20"/>
    <n v="120.24"/>
    <n v="243.77"/>
    <n v="364.01"/>
    <s v="On-time"/>
    <n v="0"/>
    <n v="78.260000000000005"/>
    <n v="222"/>
    <n v="213"/>
    <n v="8.1488694873516898E-2"/>
  </r>
  <r>
    <x v="532"/>
    <s v="C8851"/>
    <x v="458"/>
    <d v="2024-10-28T00:00:00"/>
    <x v="2"/>
    <x v="2"/>
    <x v="2"/>
    <x v="1"/>
    <x v="446"/>
    <x v="1"/>
    <s v="Chairs"/>
    <x v="438"/>
    <n v="364.94"/>
    <n v="93"/>
    <n v="33939.42"/>
    <s v="S762"/>
    <x v="1"/>
    <s v="W14"/>
    <x v="2"/>
    <s v="FedEx"/>
    <s v="Berlin-Mumbai"/>
    <n v="4825"/>
    <n v="445"/>
    <x v="0"/>
    <n v="21"/>
    <n v="639.24"/>
    <n v="467.98"/>
    <n v="1107.22"/>
    <s v="On-time"/>
    <n v="0"/>
    <n v="96.7"/>
    <n v="495"/>
    <n v="506"/>
    <n v="0.22947564766839379"/>
  </r>
  <r>
    <x v="533"/>
    <s v="C6747"/>
    <x v="459"/>
    <d v="2024-09-03T00:00:00"/>
    <x v="2"/>
    <x v="2"/>
    <x v="1"/>
    <x v="1"/>
    <x v="394"/>
    <x v="0"/>
    <s v="Art"/>
    <x v="389"/>
    <n v="156.07"/>
    <n v="23"/>
    <n v="3589.6099999999997"/>
    <s v="S753"/>
    <x v="2"/>
    <s v="W41"/>
    <x v="1"/>
    <s v="BlueDart"/>
    <s v="Cape Town-Berlin"/>
    <n v="151"/>
    <n v="206"/>
    <x v="1"/>
    <n v="9"/>
    <n v="392.77"/>
    <n v="109.12"/>
    <n v="501.89"/>
    <s v="On-time"/>
    <n v="0"/>
    <n v="74.42"/>
    <n v="437"/>
    <n v="478"/>
    <n v="3.3237748344370859"/>
  </r>
  <r>
    <x v="534"/>
    <s v="C6044"/>
    <x v="460"/>
    <d v="2024-06-30T00:00:00"/>
    <x v="0"/>
    <x v="0"/>
    <x v="5"/>
    <x v="0"/>
    <x v="55"/>
    <x v="0"/>
    <s v="Paper"/>
    <x v="54"/>
    <n v="155.88"/>
    <n v="60"/>
    <n v="9352.7999999999993"/>
    <s v="S261"/>
    <x v="1"/>
    <s v="W9"/>
    <x v="0"/>
    <s v="FedEx"/>
    <s v="Toronto-London"/>
    <n v="422"/>
    <n v="401"/>
    <x v="0"/>
    <n v="26"/>
    <n v="573.34"/>
    <n v="147.33000000000001"/>
    <n v="720.67000000000007"/>
    <s v="On-time"/>
    <n v="0"/>
    <n v="89.32"/>
    <n v="452"/>
    <n v="433"/>
    <n v="1.7077488151658768"/>
  </r>
  <r>
    <x v="535"/>
    <s v="C5033"/>
    <x v="281"/>
    <d v="2022-08-24T00:00:00"/>
    <x v="2"/>
    <x v="2"/>
    <x v="1"/>
    <x v="7"/>
    <x v="447"/>
    <x v="0"/>
    <s v="Storage"/>
    <x v="439"/>
    <n v="129.77000000000001"/>
    <n v="56"/>
    <n v="7267.1200000000008"/>
    <s v="S829"/>
    <x v="3"/>
    <s v="W13"/>
    <x v="1"/>
    <s v="UPS"/>
    <s v="Berlin-Berlin"/>
    <n v="58"/>
    <n v="110"/>
    <x v="1"/>
    <n v="16"/>
    <n v="229.33"/>
    <n v="205.34"/>
    <n v="434.67"/>
    <s v="On-time"/>
    <n v="0"/>
    <n v="76.48"/>
    <n v="301"/>
    <n v="315"/>
    <n v="7.4943103448275865"/>
  </r>
  <r>
    <x v="536"/>
    <s v="C9931"/>
    <x v="461"/>
    <d v="2024-12-14T00:00:00"/>
    <x v="2"/>
    <x v="4"/>
    <x v="5"/>
    <x v="7"/>
    <x v="448"/>
    <x v="2"/>
    <s v="Phones"/>
    <x v="440"/>
    <n v="187.55"/>
    <n v="80"/>
    <n v="15004"/>
    <s v="S872"/>
    <x v="4"/>
    <s v="W4"/>
    <x v="3"/>
    <s v="UPS"/>
    <s v="London-Cape Town"/>
    <n v="339"/>
    <n v="80"/>
    <x v="0"/>
    <n v="6"/>
    <n v="1498.36"/>
    <n v="30.38"/>
    <n v="1528.74"/>
    <s v="On-time"/>
    <n v="0"/>
    <n v="71.95"/>
    <n v="366"/>
    <n v="375"/>
    <n v="4.5095575221238935"/>
  </r>
  <r>
    <x v="537"/>
    <s v="C7547"/>
    <x v="462"/>
    <d v="2024-10-28T00:00:00"/>
    <x v="2"/>
    <x v="4"/>
    <x v="3"/>
    <x v="3"/>
    <x v="449"/>
    <x v="2"/>
    <s v="Phones"/>
    <x v="441"/>
    <n v="191.76"/>
    <n v="91"/>
    <n v="17450.16"/>
    <s v="S180"/>
    <x v="4"/>
    <s v="W17"/>
    <x v="1"/>
    <s v="FedEx"/>
    <s v="Toronto-Berlin"/>
    <n v="1014"/>
    <n v="91"/>
    <x v="0"/>
    <n v="7"/>
    <n v="762.61"/>
    <n v="354.78"/>
    <n v="1117.3900000000001"/>
    <s v="On-time"/>
    <n v="0"/>
    <n v="95.74"/>
    <n v="90"/>
    <n v="119"/>
    <n v="1.1019625246548324"/>
  </r>
  <r>
    <x v="538"/>
    <s v="C8466"/>
    <x v="387"/>
    <d v="2020-06-30T00:00:00"/>
    <x v="2"/>
    <x v="1"/>
    <x v="3"/>
    <x v="2"/>
    <x v="450"/>
    <x v="1"/>
    <s v="Tables"/>
    <x v="442"/>
    <n v="214.07"/>
    <n v="58"/>
    <n v="12416.06"/>
    <s v="S667"/>
    <x v="0"/>
    <s v="W26"/>
    <x v="0"/>
    <s v="UPS"/>
    <s v="Berlin-Mumbai"/>
    <n v="850"/>
    <n v="189"/>
    <x v="0"/>
    <n v="5"/>
    <n v="1949.72"/>
    <n v="248.79"/>
    <n v="2198.5100000000002"/>
    <s v="On-time"/>
    <n v="0"/>
    <n v="90.25"/>
    <n v="67"/>
    <n v="31"/>
    <n v="2.5864823529411769"/>
  </r>
  <r>
    <x v="539"/>
    <s v="C6907"/>
    <x v="178"/>
    <d v="2020-07-05T00:00:00"/>
    <x v="1"/>
    <x v="4"/>
    <x v="3"/>
    <x v="6"/>
    <x v="451"/>
    <x v="0"/>
    <s v="Binders"/>
    <x v="443"/>
    <n v="258.83999999999997"/>
    <n v="42"/>
    <n v="10871.279999999999"/>
    <s v="S437"/>
    <x v="3"/>
    <s v="W7"/>
    <x v="0"/>
    <s v="BlueDart"/>
    <s v="Berlin-Beijing"/>
    <n v="2769"/>
    <n v="329"/>
    <x v="0"/>
    <n v="24"/>
    <n v="1207.3900000000001"/>
    <n v="146.71"/>
    <n v="1354.1"/>
    <s v="On-time"/>
    <n v="0"/>
    <n v="84.24"/>
    <n v="154"/>
    <n v="167"/>
    <n v="0.48902130733116644"/>
  </r>
  <r>
    <x v="540"/>
    <s v="C4388"/>
    <x v="463"/>
    <d v="2023-04-12T00:00:00"/>
    <x v="0"/>
    <x v="3"/>
    <x v="1"/>
    <x v="4"/>
    <x v="452"/>
    <x v="0"/>
    <s v="Storage"/>
    <x v="444"/>
    <n v="326.8"/>
    <n v="34"/>
    <n v="11111.2"/>
    <s v="S778"/>
    <x v="2"/>
    <s v="W27"/>
    <x v="0"/>
    <s v="BlueDart"/>
    <s v="Berlin-Beijing"/>
    <n v="429"/>
    <n v="93"/>
    <x v="0"/>
    <n v="22"/>
    <n v="220.34"/>
    <n v="188.26"/>
    <n v="408.6"/>
    <s v="On-time"/>
    <n v="0"/>
    <n v="82.24"/>
    <n v="198"/>
    <n v="193"/>
    <n v="0.95244755244755253"/>
  </r>
  <r>
    <x v="541"/>
    <s v="C1162"/>
    <x v="464"/>
    <d v="2024-01-30T00:00:00"/>
    <x v="2"/>
    <x v="0"/>
    <x v="0"/>
    <x v="0"/>
    <x v="453"/>
    <x v="2"/>
    <s v="Accessories"/>
    <x v="445"/>
    <n v="198.29"/>
    <n v="26"/>
    <n v="5155.54"/>
    <s v="S820"/>
    <x v="2"/>
    <s v="W27"/>
    <x v="0"/>
    <s v="Maersk"/>
    <s v="New York-Toronto"/>
    <n v="1628"/>
    <n v="111"/>
    <x v="0"/>
    <n v="1"/>
    <n v="699.5"/>
    <n v="280.06"/>
    <n v="979.56"/>
    <s v="On-time"/>
    <n v="0"/>
    <n v="78.61"/>
    <n v="142"/>
    <n v="110"/>
    <n v="0.60169533169533163"/>
  </r>
  <r>
    <x v="542"/>
    <s v="C1067"/>
    <x v="465"/>
    <d v="2023-10-26T00:00:00"/>
    <x v="1"/>
    <x v="4"/>
    <x v="7"/>
    <x v="6"/>
    <x v="454"/>
    <x v="2"/>
    <s v="Phones"/>
    <x v="446"/>
    <n v="482.38"/>
    <n v="65"/>
    <n v="31354.7"/>
    <s v="S119"/>
    <x v="2"/>
    <s v="W7"/>
    <x v="3"/>
    <s v="DHL"/>
    <s v="New York-Berlin"/>
    <n v="379"/>
    <n v="166"/>
    <x v="0"/>
    <n v="22"/>
    <n v="1713.32"/>
    <n v="269.02999999999997"/>
    <n v="1982.35"/>
    <s v="On-time"/>
    <n v="0"/>
    <n v="78.75"/>
    <n v="314"/>
    <n v="300"/>
    <n v="5.2304749340369394"/>
  </r>
  <r>
    <x v="543"/>
    <s v="C4351"/>
    <x v="466"/>
    <d v="2022-12-09T00:00:00"/>
    <x v="2"/>
    <x v="0"/>
    <x v="2"/>
    <x v="7"/>
    <x v="455"/>
    <x v="0"/>
    <s v="Binders"/>
    <x v="447"/>
    <n v="446.43"/>
    <n v="50"/>
    <n v="22321.5"/>
    <s v="S874"/>
    <x v="2"/>
    <s v="W47"/>
    <x v="2"/>
    <s v="BlueDart"/>
    <s v="Beijing-Cape Town"/>
    <n v="3110"/>
    <n v="68"/>
    <x v="0"/>
    <n v="19"/>
    <n v="1951.95"/>
    <n v="197.56"/>
    <n v="2149.5100000000002"/>
    <s v="On-time"/>
    <n v="0"/>
    <n v="80.91"/>
    <n v="413"/>
    <n v="381"/>
    <n v="0.69116077170418011"/>
  </r>
  <r>
    <x v="544"/>
    <s v="C5229"/>
    <x v="467"/>
    <d v="2023-09-24T00:00:00"/>
    <x v="2"/>
    <x v="1"/>
    <x v="6"/>
    <x v="5"/>
    <x v="173"/>
    <x v="2"/>
    <s v="Accessories"/>
    <x v="172"/>
    <n v="452.17"/>
    <n v="73"/>
    <n v="33008.410000000003"/>
    <s v="S357"/>
    <x v="1"/>
    <s v="W10"/>
    <x v="1"/>
    <s v="DHL"/>
    <s v="Berlin-Toronto"/>
    <n v="711"/>
    <n v="331"/>
    <x v="0"/>
    <n v="22"/>
    <n v="1740.85"/>
    <n v="495.8"/>
    <n v="2236.65"/>
    <s v="On-time"/>
    <n v="0"/>
    <n v="86.27"/>
    <n v="406"/>
    <n v="394"/>
    <n v="3.1457805907172998"/>
  </r>
  <r>
    <x v="545"/>
    <s v="C8460"/>
    <x v="468"/>
    <d v="2022-03-04T00:00:00"/>
    <x v="2"/>
    <x v="2"/>
    <x v="4"/>
    <x v="1"/>
    <x v="456"/>
    <x v="2"/>
    <s v="Phones"/>
    <x v="448"/>
    <n v="179.06"/>
    <n v="30"/>
    <n v="5371.8"/>
    <s v="S791"/>
    <x v="3"/>
    <s v="W15"/>
    <x v="0"/>
    <s v="FedEx"/>
    <s v="Mumbai-New York"/>
    <n v="1093"/>
    <n v="276"/>
    <x v="0"/>
    <n v="22"/>
    <n v="224.17"/>
    <n v="405.88"/>
    <n v="630.04999999999995"/>
    <s v="On-time"/>
    <n v="0"/>
    <n v="74.260000000000005"/>
    <n v="289"/>
    <n v="301"/>
    <n v="0.57644098810612987"/>
  </r>
  <r>
    <x v="546"/>
    <s v="C3655"/>
    <x v="137"/>
    <d v="2020-02-20T00:00:00"/>
    <x v="2"/>
    <x v="2"/>
    <x v="7"/>
    <x v="2"/>
    <x v="457"/>
    <x v="1"/>
    <s v="Tables"/>
    <x v="449"/>
    <n v="338.99"/>
    <n v="20"/>
    <n v="6779.8"/>
    <s v="S806"/>
    <x v="4"/>
    <s v="W34"/>
    <x v="3"/>
    <s v="BlueDart"/>
    <s v="London-São Paulo"/>
    <n v="3056"/>
    <n v="398"/>
    <x v="0"/>
    <n v="16"/>
    <n v="859.76"/>
    <n v="301.24"/>
    <n v="1161"/>
    <s v="On-time"/>
    <n v="0"/>
    <n v="90.61"/>
    <n v="460"/>
    <n v="418"/>
    <n v="0.37990837696335078"/>
  </r>
  <r>
    <x v="547"/>
    <s v="C5816"/>
    <x v="430"/>
    <d v="2020-07-20T00:00:00"/>
    <x v="2"/>
    <x v="1"/>
    <x v="4"/>
    <x v="6"/>
    <x v="458"/>
    <x v="0"/>
    <s v="Appliances"/>
    <x v="450"/>
    <n v="230.06"/>
    <n v="11"/>
    <n v="2530.66"/>
    <s v="S342"/>
    <x v="0"/>
    <s v="W42"/>
    <x v="2"/>
    <s v="BlueDart"/>
    <s v="New York-Mumbai"/>
    <n v="967"/>
    <n v="226"/>
    <x v="0"/>
    <n v="24"/>
    <n v="1764"/>
    <n v="326.26"/>
    <n v="2090.2600000000002"/>
    <s v="Delayed"/>
    <n v="5"/>
    <n v="80.55"/>
    <n v="103"/>
    <n v="108"/>
    <n v="2.1615925542916239"/>
  </r>
  <r>
    <x v="548"/>
    <s v="C9032"/>
    <x v="469"/>
    <d v="2020-07-31T00:00:00"/>
    <x v="0"/>
    <x v="1"/>
    <x v="7"/>
    <x v="2"/>
    <x v="384"/>
    <x v="0"/>
    <s v="Binders"/>
    <x v="379"/>
    <n v="165.04"/>
    <n v="42"/>
    <n v="6931.6799999999994"/>
    <s v="S917"/>
    <x v="2"/>
    <s v="W12"/>
    <x v="3"/>
    <s v="DHL"/>
    <s v="London-Toronto"/>
    <n v="1226"/>
    <n v="195"/>
    <x v="0"/>
    <n v="25"/>
    <n v="841.13"/>
    <n v="159.83000000000001"/>
    <n v="1000.96"/>
    <s v="Delayed"/>
    <n v="4"/>
    <n v="86.23"/>
    <n v="452"/>
    <n v="411"/>
    <n v="0.81644371941272431"/>
  </r>
  <r>
    <x v="549"/>
    <s v="C7271"/>
    <x v="414"/>
    <d v="2023-11-18T00:00:00"/>
    <x v="2"/>
    <x v="0"/>
    <x v="5"/>
    <x v="6"/>
    <x v="459"/>
    <x v="0"/>
    <s v="Binders"/>
    <x v="451"/>
    <n v="106"/>
    <n v="82"/>
    <n v="8692"/>
    <s v="S544"/>
    <x v="1"/>
    <s v="W44"/>
    <x v="1"/>
    <s v="UPS"/>
    <s v="Cape Town-São Paulo"/>
    <n v="1287"/>
    <n v="91"/>
    <x v="0"/>
    <n v="21"/>
    <n v="1624.3"/>
    <n v="88.88"/>
    <n v="1713.18"/>
    <s v="On-time"/>
    <n v="0"/>
    <n v="80.92"/>
    <n v="198"/>
    <n v="195"/>
    <n v="1.3311421911421912"/>
  </r>
  <r>
    <x v="550"/>
    <s v="C9215"/>
    <x v="470"/>
    <d v="2024-04-25T00:00:00"/>
    <x v="2"/>
    <x v="0"/>
    <x v="5"/>
    <x v="5"/>
    <x v="460"/>
    <x v="0"/>
    <s v="Paper"/>
    <x v="452"/>
    <n v="258.43"/>
    <n v="52"/>
    <n v="13438.36"/>
    <s v="S281"/>
    <x v="3"/>
    <s v="W40"/>
    <x v="2"/>
    <s v="BlueDart"/>
    <s v="Toronto-New York"/>
    <n v="4855"/>
    <n v="394"/>
    <x v="0"/>
    <n v="24"/>
    <n v="1675.21"/>
    <n v="201.77"/>
    <n v="1876.98"/>
    <s v="On-time"/>
    <n v="0"/>
    <n v="84.2"/>
    <n v="474"/>
    <n v="464"/>
    <n v="0.38660762100926882"/>
  </r>
  <r>
    <x v="551"/>
    <s v="C3461"/>
    <x v="471"/>
    <d v="2023-05-26T00:00:00"/>
    <x v="1"/>
    <x v="0"/>
    <x v="5"/>
    <x v="0"/>
    <x v="461"/>
    <x v="0"/>
    <s v="Paper"/>
    <x v="453"/>
    <n v="413.17"/>
    <n v="4"/>
    <n v="1652.68"/>
    <s v="S535"/>
    <x v="0"/>
    <s v="W39"/>
    <x v="1"/>
    <s v="BlueDart"/>
    <s v="Toronto-São Paulo"/>
    <n v="2113"/>
    <n v="282"/>
    <x v="0"/>
    <n v="19"/>
    <n v="1506.75"/>
    <n v="15.99"/>
    <n v="1522.74"/>
    <s v="On-time"/>
    <n v="0"/>
    <n v="77.23"/>
    <n v="128"/>
    <n v="166"/>
    <n v="0.72065309985802173"/>
  </r>
  <r>
    <x v="552"/>
    <s v="C9250"/>
    <x v="472"/>
    <d v="2020-10-15T00:00:00"/>
    <x v="2"/>
    <x v="3"/>
    <x v="3"/>
    <x v="7"/>
    <x v="370"/>
    <x v="2"/>
    <s v="Copiers"/>
    <x v="365"/>
    <n v="361.91"/>
    <n v="91"/>
    <n v="32933.810000000005"/>
    <s v="S157"/>
    <x v="1"/>
    <s v="W5"/>
    <x v="0"/>
    <s v="Maersk"/>
    <s v="Mumbai-Cape Town"/>
    <n v="1530"/>
    <n v="228"/>
    <x v="0"/>
    <n v="24"/>
    <n v="1043.96"/>
    <n v="490.92"/>
    <n v="1534.88"/>
    <s v="On-time"/>
    <n v="0"/>
    <n v="86.63"/>
    <n v="166"/>
    <n v="170"/>
    <n v="1.0031895424836601"/>
  </r>
  <r>
    <x v="553"/>
    <s v="C8471"/>
    <x v="363"/>
    <d v="2021-08-18T00:00:00"/>
    <x v="2"/>
    <x v="0"/>
    <x v="1"/>
    <x v="5"/>
    <x v="462"/>
    <x v="2"/>
    <s v="Phones"/>
    <x v="454"/>
    <n v="403.8"/>
    <n v="57"/>
    <n v="23016.600000000002"/>
    <s v="S963"/>
    <x v="0"/>
    <s v="W21"/>
    <x v="3"/>
    <s v="Maersk"/>
    <s v="Toronto-Beijing"/>
    <n v="353"/>
    <n v="475"/>
    <x v="1"/>
    <n v="12"/>
    <n v="1359.5"/>
    <n v="87.62"/>
    <n v="1447.12"/>
    <s v="On-time"/>
    <n v="0"/>
    <n v="76.08"/>
    <n v="432"/>
    <n v="397"/>
    <n v="4.0994900849858356"/>
  </r>
  <r>
    <x v="554"/>
    <s v="C4521"/>
    <x v="325"/>
    <d v="2020-07-15T00:00:00"/>
    <x v="2"/>
    <x v="1"/>
    <x v="0"/>
    <x v="4"/>
    <x v="463"/>
    <x v="2"/>
    <s v="Phones"/>
    <x v="455"/>
    <n v="383.92"/>
    <n v="13"/>
    <n v="4990.96"/>
    <s v="S960"/>
    <x v="4"/>
    <s v="W30"/>
    <x v="2"/>
    <s v="Maersk"/>
    <s v="London-New York"/>
    <n v="244"/>
    <n v="432"/>
    <x v="1"/>
    <n v="25"/>
    <n v="1902.09"/>
    <n v="289.12"/>
    <n v="2191.21"/>
    <s v="On-time"/>
    <n v="0"/>
    <n v="99.83"/>
    <n v="169"/>
    <n v="166"/>
    <n v="8.9803688524590157"/>
  </r>
  <r>
    <x v="555"/>
    <s v="C1741"/>
    <x v="470"/>
    <d v="2021-07-03T00:00:00"/>
    <x v="2"/>
    <x v="0"/>
    <x v="1"/>
    <x v="7"/>
    <x v="464"/>
    <x v="2"/>
    <s v="Phones"/>
    <x v="456"/>
    <n v="457.53"/>
    <n v="94"/>
    <n v="43007.82"/>
    <s v="S694"/>
    <x v="2"/>
    <s v="W36"/>
    <x v="3"/>
    <s v="FedEx"/>
    <s v="Cape Town-London"/>
    <n v="1578"/>
    <n v="399"/>
    <x v="0"/>
    <n v="1"/>
    <n v="1439.19"/>
    <n v="473.67"/>
    <n v="1912.86"/>
    <s v="Delayed"/>
    <n v="13"/>
    <n v="99.46"/>
    <n v="123"/>
    <n v="73"/>
    <n v="1.2122053231939163"/>
  </r>
  <r>
    <x v="556"/>
    <s v="C9175"/>
    <x v="473"/>
    <d v="2021-07-28T00:00:00"/>
    <x v="1"/>
    <x v="0"/>
    <x v="2"/>
    <x v="6"/>
    <x v="5"/>
    <x v="1"/>
    <s v="Chairs"/>
    <x v="5"/>
    <n v="150.77000000000001"/>
    <n v="58"/>
    <n v="8744.66"/>
    <s v="S746"/>
    <x v="1"/>
    <s v="W10"/>
    <x v="2"/>
    <s v="UPS"/>
    <s v="Toronto-Mumbai"/>
    <n v="3416"/>
    <n v="447"/>
    <x v="0"/>
    <n v="16"/>
    <n v="147.58000000000001"/>
    <n v="229.81"/>
    <n v="377.39"/>
    <s v="On-time"/>
    <n v="0"/>
    <n v="89.05"/>
    <n v="476"/>
    <n v="430"/>
    <n v="0.1104771662763466"/>
  </r>
  <r>
    <x v="557"/>
    <s v="C9826"/>
    <x v="474"/>
    <d v="2023-04-02T00:00:00"/>
    <x v="1"/>
    <x v="2"/>
    <x v="2"/>
    <x v="4"/>
    <x v="465"/>
    <x v="1"/>
    <s v="Furnishings"/>
    <x v="457"/>
    <n v="285.98"/>
    <n v="39"/>
    <n v="11153.220000000001"/>
    <s v="S563"/>
    <x v="0"/>
    <s v="W41"/>
    <x v="0"/>
    <s v="DHL"/>
    <s v="New York-Beijing"/>
    <n v="1730"/>
    <n v="469"/>
    <x v="0"/>
    <n v="10"/>
    <n v="1217.29"/>
    <n v="265.64999999999998"/>
    <n v="1482.94"/>
    <s v="On-time"/>
    <n v="0"/>
    <n v="79.63"/>
    <n v="472"/>
    <n v="512"/>
    <n v="0.85719075144508672"/>
  </r>
  <r>
    <x v="558"/>
    <s v="C5052"/>
    <x v="475"/>
    <d v="2022-04-11T00:00:00"/>
    <x v="2"/>
    <x v="2"/>
    <x v="6"/>
    <x v="1"/>
    <x v="466"/>
    <x v="0"/>
    <s v="Appliances"/>
    <x v="458"/>
    <n v="229.18"/>
    <n v="40"/>
    <n v="9167.2000000000007"/>
    <s v="S949"/>
    <x v="4"/>
    <s v="W10"/>
    <x v="1"/>
    <s v="BlueDart"/>
    <s v="Toronto-New York"/>
    <n v="1472"/>
    <n v="331"/>
    <x v="0"/>
    <n v="24"/>
    <n v="535.30999999999995"/>
    <n v="42.4"/>
    <n v="577.70999999999992"/>
    <s v="On-time"/>
    <n v="0"/>
    <n v="83.43"/>
    <n v="101"/>
    <n v="78"/>
    <n v="0.39246603260869561"/>
  </r>
  <r>
    <x v="559"/>
    <s v="C6332"/>
    <x v="476"/>
    <d v="2022-09-15T00:00:00"/>
    <x v="1"/>
    <x v="4"/>
    <x v="2"/>
    <x v="0"/>
    <x v="467"/>
    <x v="0"/>
    <s v="Appliances"/>
    <x v="459"/>
    <n v="327.89"/>
    <n v="28"/>
    <n v="9180.92"/>
    <s v="S129"/>
    <x v="4"/>
    <s v="W31"/>
    <x v="0"/>
    <s v="Maersk"/>
    <s v="Berlin-Toronto"/>
    <n v="2172"/>
    <n v="142"/>
    <x v="0"/>
    <n v="21"/>
    <n v="90.31"/>
    <n v="378.49"/>
    <n v="468.8"/>
    <s v="On-time"/>
    <n v="0"/>
    <n v="70.760000000000005"/>
    <n v="447"/>
    <n v="430"/>
    <n v="0.2158379373848987"/>
  </r>
  <r>
    <x v="560"/>
    <s v="C1264"/>
    <x v="477"/>
    <d v="2022-10-28T00:00:00"/>
    <x v="2"/>
    <x v="2"/>
    <x v="4"/>
    <x v="1"/>
    <x v="468"/>
    <x v="0"/>
    <s v="Art"/>
    <x v="460"/>
    <n v="369.66"/>
    <n v="27"/>
    <n v="9980.8200000000015"/>
    <s v="S951"/>
    <x v="1"/>
    <s v="W8"/>
    <x v="3"/>
    <s v="DHL"/>
    <s v="Toronto-New York"/>
    <n v="1125"/>
    <n v="274"/>
    <x v="0"/>
    <n v="23"/>
    <n v="636.70000000000005"/>
    <n v="296.86"/>
    <n v="933.56000000000006"/>
    <s v="On-time"/>
    <n v="0"/>
    <n v="73.25"/>
    <n v="474"/>
    <n v="482"/>
    <n v="0.82983111111111119"/>
  </r>
  <r>
    <x v="561"/>
    <s v="C1716"/>
    <x v="478"/>
    <d v="2020-01-06T00:00:00"/>
    <x v="2"/>
    <x v="0"/>
    <x v="5"/>
    <x v="4"/>
    <x v="469"/>
    <x v="0"/>
    <s v="Binders"/>
    <x v="461"/>
    <n v="265.69"/>
    <n v="98"/>
    <n v="26037.62"/>
    <s v="S213"/>
    <x v="2"/>
    <s v="W15"/>
    <x v="0"/>
    <s v="BlueDart"/>
    <s v="São Paulo-Cape Town"/>
    <n v="146"/>
    <n v="295"/>
    <x v="1"/>
    <n v="23"/>
    <n v="1527.05"/>
    <n v="487.96"/>
    <n v="2015.01"/>
    <s v="On-time"/>
    <n v="0"/>
    <n v="94.11"/>
    <n v="104"/>
    <n v="105"/>
    <n v="13.801438356164384"/>
  </r>
  <r>
    <x v="562"/>
    <s v="C4881"/>
    <x v="479"/>
    <d v="2024-08-23T00:00:00"/>
    <x v="2"/>
    <x v="3"/>
    <x v="1"/>
    <x v="2"/>
    <x v="470"/>
    <x v="0"/>
    <s v="Binders"/>
    <x v="462"/>
    <n v="483.21"/>
    <n v="67"/>
    <n v="32375.07"/>
    <s v="S518"/>
    <x v="0"/>
    <s v="W39"/>
    <x v="2"/>
    <s v="Maersk"/>
    <s v="New York-Berlin"/>
    <n v="2658"/>
    <n v="462"/>
    <x v="0"/>
    <n v="15"/>
    <n v="877.85"/>
    <n v="251.29"/>
    <n v="1129.1400000000001"/>
    <s v="On-time"/>
    <n v="0"/>
    <n v="97.21"/>
    <n v="194"/>
    <n v="172"/>
    <n v="0.42480812641083526"/>
  </r>
  <r>
    <x v="563"/>
    <s v="C3148"/>
    <x v="480"/>
    <d v="2022-05-17T00:00:00"/>
    <x v="2"/>
    <x v="0"/>
    <x v="2"/>
    <x v="6"/>
    <x v="471"/>
    <x v="0"/>
    <s v="Paper"/>
    <x v="463"/>
    <n v="379.19"/>
    <n v="60"/>
    <n v="22751.4"/>
    <s v="S370"/>
    <x v="2"/>
    <s v="W29"/>
    <x v="0"/>
    <s v="Maersk"/>
    <s v="London-Mumbai"/>
    <n v="2047"/>
    <n v="123"/>
    <x v="0"/>
    <n v="9"/>
    <n v="992.01"/>
    <n v="54.46"/>
    <n v="1046.47"/>
    <s v="On-time"/>
    <n v="0"/>
    <n v="95.41"/>
    <n v="163"/>
    <n v="160"/>
    <n v="0.51122129946262829"/>
  </r>
  <r>
    <x v="564"/>
    <s v="C1226"/>
    <x v="481"/>
    <d v="2023-08-14T00:00:00"/>
    <x v="0"/>
    <x v="4"/>
    <x v="1"/>
    <x v="0"/>
    <x v="472"/>
    <x v="0"/>
    <s v="Paper"/>
    <x v="464"/>
    <n v="126.76"/>
    <n v="33"/>
    <n v="4183.08"/>
    <s v="S881"/>
    <x v="0"/>
    <s v="W47"/>
    <x v="0"/>
    <s v="UPS"/>
    <s v="New York-Toronto"/>
    <n v="2699"/>
    <n v="271"/>
    <x v="0"/>
    <n v="12"/>
    <n v="69.27"/>
    <n v="408.57"/>
    <n v="477.84"/>
    <s v="On-time"/>
    <n v="0"/>
    <n v="95.2"/>
    <n v="274"/>
    <n v="233"/>
    <n v="0.17704334938866245"/>
  </r>
  <r>
    <x v="565"/>
    <s v="C4951"/>
    <x v="482"/>
    <d v="2024-04-05T00:00:00"/>
    <x v="2"/>
    <x v="3"/>
    <x v="6"/>
    <x v="0"/>
    <x v="473"/>
    <x v="0"/>
    <s v="Storage"/>
    <x v="465"/>
    <n v="229.36"/>
    <n v="25"/>
    <n v="5734"/>
    <s v="S194"/>
    <x v="0"/>
    <s v="W42"/>
    <x v="2"/>
    <s v="BlueDart"/>
    <s v="London-New York"/>
    <n v="3909"/>
    <n v="165"/>
    <x v="0"/>
    <n v="6"/>
    <n v="1608.67"/>
    <n v="35.82"/>
    <n v="1644.49"/>
    <s v="On-time"/>
    <n v="0"/>
    <n v="76.040000000000006"/>
    <n v="463"/>
    <n v="507"/>
    <n v="0.42069327193655665"/>
  </r>
  <r>
    <x v="566"/>
    <s v="C2511"/>
    <x v="483"/>
    <d v="2020-03-14T00:00:00"/>
    <x v="2"/>
    <x v="2"/>
    <x v="2"/>
    <x v="6"/>
    <x v="474"/>
    <x v="2"/>
    <s v="Phones"/>
    <x v="466"/>
    <n v="385.2"/>
    <n v="88"/>
    <n v="33897.599999999999"/>
    <s v="S397"/>
    <x v="1"/>
    <s v="W48"/>
    <x v="3"/>
    <s v="BlueDart"/>
    <s v="Toronto-Mumbai"/>
    <n v="1626"/>
    <n v="355"/>
    <x v="0"/>
    <n v="21"/>
    <n v="1312.13"/>
    <n v="352.33"/>
    <n v="1664.46"/>
    <s v="On-time"/>
    <n v="0"/>
    <n v="90.66"/>
    <n v="382"/>
    <n v="422"/>
    <n v="1.0236531365313652"/>
  </r>
  <r>
    <x v="567"/>
    <s v="C8947"/>
    <x v="199"/>
    <d v="2022-06-06T00:00:00"/>
    <x v="0"/>
    <x v="4"/>
    <x v="5"/>
    <x v="3"/>
    <x v="475"/>
    <x v="1"/>
    <s v="Furnishings"/>
    <x v="467"/>
    <n v="464.04"/>
    <n v="69"/>
    <n v="32018.760000000002"/>
    <s v="S867"/>
    <x v="4"/>
    <s v="W18"/>
    <x v="0"/>
    <s v="FedEx"/>
    <s v="Toronto-São Paulo"/>
    <n v="3476"/>
    <n v="59"/>
    <x v="0"/>
    <n v="12"/>
    <n v="68.84"/>
    <n v="182.15"/>
    <n v="250.99"/>
    <s v="Delayed"/>
    <n v="13"/>
    <n v="82.61"/>
    <n v="330"/>
    <n v="372"/>
    <n v="7.2206559263521292E-2"/>
  </r>
  <r>
    <x v="568"/>
    <s v="C3007"/>
    <x v="484"/>
    <d v="2021-03-07T00:00:00"/>
    <x v="1"/>
    <x v="4"/>
    <x v="1"/>
    <x v="2"/>
    <x v="420"/>
    <x v="0"/>
    <s v="Art"/>
    <x v="414"/>
    <n v="136.81"/>
    <n v="22"/>
    <n v="3009.82"/>
    <s v="S961"/>
    <x v="1"/>
    <s v="W18"/>
    <x v="3"/>
    <s v="UPS"/>
    <s v="New York-Cape Town"/>
    <n v="2618"/>
    <n v="283"/>
    <x v="0"/>
    <n v="5"/>
    <n v="829.83"/>
    <n v="197.34"/>
    <n v="1027.17"/>
    <s v="On-time"/>
    <n v="0"/>
    <n v="98.09"/>
    <n v="284"/>
    <n v="312"/>
    <n v="0.39234912146676854"/>
  </r>
  <r>
    <x v="569"/>
    <s v="C7141"/>
    <x v="485"/>
    <d v="2024-07-18T00:00:00"/>
    <x v="2"/>
    <x v="4"/>
    <x v="5"/>
    <x v="7"/>
    <x v="476"/>
    <x v="0"/>
    <s v="Binders"/>
    <x v="468"/>
    <n v="95.36"/>
    <n v="30"/>
    <n v="2860.8"/>
    <s v="S417"/>
    <x v="3"/>
    <s v="W31"/>
    <x v="1"/>
    <s v="DHL"/>
    <s v="São Paulo-London"/>
    <n v="2157"/>
    <n v="353"/>
    <x v="0"/>
    <n v="2"/>
    <n v="654.92999999999995"/>
    <n v="373.52"/>
    <n v="1028.45"/>
    <s v="On-time"/>
    <n v="0"/>
    <n v="96.7"/>
    <n v="173"/>
    <n v="181"/>
    <n v="0.47679647658785351"/>
  </r>
  <r>
    <x v="570"/>
    <s v="C4402"/>
    <x v="334"/>
    <d v="2022-01-31T00:00:00"/>
    <x v="2"/>
    <x v="1"/>
    <x v="0"/>
    <x v="7"/>
    <x v="179"/>
    <x v="0"/>
    <s v="Storage"/>
    <x v="178"/>
    <n v="149.6"/>
    <n v="59"/>
    <n v="8826.4"/>
    <s v="S729"/>
    <x v="3"/>
    <s v="W33"/>
    <x v="3"/>
    <s v="BlueDart"/>
    <s v="Mumbai-New York"/>
    <n v="2472"/>
    <n v="464"/>
    <x v="0"/>
    <n v="18"/>
    <n v="1570.12"/>
    <n v="279.12"/>
    <n v="1849.24"/>
    <s v="On-time"/>
    <n v="0"/>
    <n v="90.34"/>
    <n v="429"/>
    <n v="438"/>
    <n v="0.74807443365695792"/>
  </r>
  <r>
    <x v="571"/>
    <s v="C1977"/>
    <x v="486"/>
    <d v="2022-04-29T00:00:00"/>
    <x v="2"/>
    <x v="2"/>
    <x v="5"/>
    <x v="3"/>
    <x v="477"/>
    <x v="2"/>
    <s v="Phones"/>
    <x v="469"/>
    <n v="110.43"/>
    <n v="61"/>
    <n v="6736.2300000000005"/>
    <s v="S109"/>
    <x v="3"/>
    <s v="W30"/>
    <x v="1"/>
    <s v="Maersk"/>
    <s v="Berlin-London"/>
    <n v="1181"/>
    <n v="169"/>
    <x v="0"/>
    <n v="2"/>
    <n v="823.97"/>
    <n v="288.99"/>
    <n v="1112.96"/>
    <s v="On-time"/>
    <n v="0"/>
    <n v="81.53"/>
    <n v="415"/>
    <n v="385"/>
    <n v="0.9423878069432684"/>
  </r>
  <r>
    <x v="572"/>
    <s v="C2547"/>
    <x v="70"/>
    <d v="2020-11-11T00:00:00"/>
    <x v="1"/>
    <x v="2"/>
    <x v="4"/>
    <x v="2"/>
    <x v="478"/>
    <x v="1"/>
    <s v="Furnishings"/>
    <x v="470"/>
    <n v="372"/>
    <n v="19"/>
    <n v="7068"/>
    <s v="S896"/>
    <x v="0"/>
    <s v="W16"/>
    <x v="0"/>
    <s v="FedEx"/>
    <s v="New York-São Paulo"/>
    <n v="423"/>
    <n v="74"/>
    <x v="0"/>
    <n v="20"/>
    <n v="742.61"/>
    <n v="432.23"/>
    <n v="1174.8399999999999"/>
    <s v="On-time"/>
    <n v="0"/>
    <n v="70.180000000000007"/>
    <n v="437"/>
    <n v="484"/>
    <n v="2.7773995271867609"/>
  </r>
  <r>
    <x v="573"/>
    <s v="C2978"/>
    <x v="67"/>
    <d v="2024-08-25T00:00:00"/>
    <x v="2"/>
    <x v="2"/>
    <x v="7"/>
    <x v="6"/>
    <x v="479"/>
    <x v="1"/>
    <s v="Tables"/>
    <x v="285"/>
    <n v="347.06"/>
    <n v="56"/>
    <n v="19435.36"/>
    <s v="S647"/>
    <x v="0"/>
    <s v="W37"/>
    <x v="0"/>
    <s v="Maersk"/>
    <s v="New York-Cape Town"/>
    <n v="2022"/>
    <n v="159"/>
    <x v="0"/>
    <n v="4"/>
    <n v="678.29"/>
    <n v="148.77000000000001"/>
    <n v="827.06"/>
    <s v="On-time"/>
    <n v="0"/>
    <n v="79.92"/>
    <n v="489"/>
    <n v="487"/>
    <n v="0.4090306627101879"/>
  </r>
  <r>
    <x v="574"/>
    <s v="C9687"/>
    <x v="487"/>
    <d v="2021-07-15T00:00:00"/>
    <x v="2"/>
    <x v="0"/>
    <x v="7"/>
    <x v="4"/>
    <x v="480"/>
    <x v="0"/>
    <s v="Envelopes"/>
    <x v="471"/>
    <n v="91.45"/>
    <n v="66"/>
    <n v="6035.7"/>
    <s v="S939"/>
    <x v="2"/>
    <s v="W31"/>
    <x v="1"/>
    <s v="UPS"/>
    <s v="Mumbai-Mumbai"/>
    <n v="2882"/>
    <n v="267"/>
    <x v="0"/>
    <n v="22"/>
    <n v="1734.49"/>
    <n v="473.92"/>
    <n v="2208.41"/>
    <s v="On-time"/>
    <n v="0"/>
    <n v="95.69"/>
    <n v="166"/>
    <n v="126"/>
    <n v="0.76627689104788332"/>
  </r>
  <r>
    <x v="575"/>
    <s v="C2184"/>
    <x v="488"/>
    <d v="2024-08-11T00:00:00"/>
    <x v="2"/>
    <x v="0"/>
    <x v="6"/>
    <x v="1"/>
    <x v="481"/>
    <x v="0"/>
    <s v="Labels"/>
    <x v="472"/>
    <n v="144.16999999999999"/>
    <n v="58"/>
    <n v="8361.8599999999988"/>
    <s v="S512"/>
    <x v="0"/>
    <s v="W9"/>
    <x v="1"/>
    <s v="DHL"/>
    <s v="Berlin-London"/>
    <n v="1999"/>
    <n v="192"/>
    <x v="0"/>
    <n v="19"/>
    <n v="328.44"/>
    <n v="111.04"/>
    <n v="439.48"/>
    <s v="On-time"/>
    <n v="0"/>
    <n v="80.12"/>
    <n v="499"/>
    <n v="452"/>
    <n v="0.21984992496248126"/>
  </r>
  <r>
    <x v="576"/>
    <s v="C9826"/>
    <x v="489"/>
    <d v="2023-09-01T00:00:00"/>
    <x v="2"/>
    <x v="1"/>
    <x v="6"/>
    <x v="3"/>
    <x v="360"/>
    <x v="0"/>
    <s v="Storage"/>
    <x v="355"/>
    <n v="207.34"/>
    <n v="44"/>
    <n v="9122.9600000000009"/>
    <s v="S444"/>
    <x v="2"/>
    <s v="W40"/>
    <x v="2"/>
    <s v="DHL"/>
    <s v="London-Berlin"/>
    <n v="952"/>
    <n v="467"/>
    <x v="0"/>
    <n v="14"/>
    <n v="1230.51"/>
    <n v="62.64"/>
    <n v="1293.1500000000001"/>
    <s v="On-time"/>
    <n v="0"/>
    <n v="79.59"/>
    <n v="236"/>
    <n v="239"/>
    <n v="1.3583508403361346"/>
  </r>
  <r>
    <x v="577"/>
    <s v="C2982"/>
    <x v="490"/>
    <d v="2022-03-24T00:00:00"/>
    <x v="2"/>
    <x v="3"/>
    <x v="6"/>
    <x v="2"/>
    <x v="482"/>
    <x v="1"/>
    <s v="Bookcases"/>
    <x v="473"/>
    <n v="115.29"/>
    <n v="80"/>
    <n v="9223.2000000000007"/>
    <s v="S798"/>
    <x v="2"/>
    <s v="W26"/>
    <x v="1"/>
    <s v="DHL"/>
    <s v="Cape Town-Cape Town"/>
    <n v="1289"/>
    <n v="279"/>
    <x v="0"/>
    <n v="12"/>
    <n v="118.22"/>
    <n v="200.93"/>
    <n v="319.14999999999998"/>
    <s v="On-time"/>
    <n v="0"/>
    <n v="82.04"/>
    <n v="291"/>
    <n v="247"/>
    <n v="0.24759503491078352"/>
  </r>
  <r>
    <x v="578"/>
    <s v="C2961"/>
    <x v="491"/>
    <d v="2021-07-17T00:00:00"/>
    <x v="2"/>
    <x v="4"/>
    <x v="5"/>
    <x v="4"/>
    <x v="345"/>
    <x v="1"/>
    <s v="Furnishings"/>
    <x v="340"/>
    <n v="219.84"/>
    <n v="41"/>
    <n v="9013.44"/>
    <s v="S569"/>
    <x v="3"/>
    <s v="W39"/>
    <x v="0"/>
    <s v="DHL"/>
    <s v="New York-Berlin"/>
    <n v="434"/>
    <n v="269"/>
    <x v="0"/>
    <n v="4"/>
    <n v="876.64"/>
    <n v="353.86"/>
    <n v="1230.5"/>
    <s v="On-time"/>
    <n v="0"/>
    <n v="70.5"/>
    <n v="484"/>
    <n v="471"/>
    <n v="2.835253456221198"/>
  </r>
  <r>
    <x v="579"/>
    <s v="C5453"/>
    <x v="492"/>
    <d v="2022-05-06T00:00:00"/>
    <x v="0"/>
    <x v="4"/>
    <x v="2"/>
    <x v="0"/>
    <x v="483"/>
    <x v="1"/>
    <s v="Furnishings"/>
    <x v="474"/>
    <n v="330.12"/>
    <n v="55"/>
    <n v="18156.599999999999"/>
    <s v="S395"/>
    <x v="4"/>
    <s v="W12"/>
    <x v="1"/>
    <s v="BlueDart"/>
    <s v="Mumbai-London"/>
    <n v="1313"/>
    <n v="380"/>
    <x v="0"/>
    <n v="6"/>
    <n v="1390.4"/>
    <n v="99.35"/>
    <n v="1489.75"/>
    <s v="On-time"/>
    <n v="0"/>
    <n v="89.31"/>
    <n v="319"/>
    <n v="297"/>
    <n v="1.1346153846153846"/>
  </r>
  <r>
    <x v="580"/>
    <s v="C1539"/>
    <x v="332"/>
    <d v="2020-11-17T00:00:00"/>
    <x v="2"/>
    <x v="3"/>
    <x v="3"/>
    <x v="1"/>
    <x v="484"/>
    <x v="0"/>
    <s v="Appliances"/>
    <x v="475"/>
    <n v="297.08"/>
    <n v="90"/>
    <n v="26737.199999999997"/>
    <s v="S303"/>
    <x v="1"/>
    <s v="W45"/>
    <x v="2"/>
    <s v="BlueDart"/>
    <s v="London-Toronto"/>
    <n v="1237"/>
    <n v="450"/>
    <x v="0"/>
    <n v="20"/>
    <n v="230.38"/>
    <n v="352.55"/>
    <n v="582.93000000000006"/>
    <s v="On-time"/>
    <n v="0"/>
    <n v="80"/>
    <n v="457"/>
    <n v="412"/>
    <n v="0.47124494745351664"/>
  </r>
  <r>
    <x v="581"/>
    <s v="C8467"/>
    <x v="493"/>
    <d v="2025-01-01T00:00:00"/>
    <x v="2"/>
    <x v="3"/>
    <x v="7"/>
    <x v="6"/>
    <x v="485"/>
    <x v="0"/>
    <s v="Paper"/>
    <x v="374"/>
    <n v="349.41"/>
    <n v="42"/>
    <n v="14675.220000000001"/>
    <s v="S695"/>
    <x v="3"/>
    <s v="W39"/>
    <x v="2"/>
    <s v="Maersk"/>
    <s v="New York-Beijing"/>
    <n v="4458"/>
    <n v="393"/>
    <x v="0"/>
    <n v="20"/>
    <n v="96.34"/>
    <n v="300.07"/>
    <n v="396.41"/>
    <s v="On-time"/>
    <n v="0"/>
    <n v="83.42"/>
    <n v="230"/>
    <n v="214"/>
    <n v="8.8921040825482286E-2"/>
  </r>
  <r>
    <x v="582"/>
    <s v="C7505"/>
    <x v="494"/>
    <d v="2020-01-16T00:00:00"/>
    <x v="2"/>
    <x v="3"/>
    <x v="5"/>
    <x v="6"/>
    <x v="486"/>
    <x v="1"/>
    <s v="Tables"/>
    <x v="476"/>
    <n v="24.53"/>
    <n v="43"/>
    <n v="1054.79"/>
    <s v="S521"/>
    <x v="0"/>
    <s v="W21"/>
    <x v="3"/>
    <s v="UPS"/>
    <s v="London-Cape Town"/>
    <n v="1184"/>
    <n v="140"/>
    <x v="0"/>
    <n v="10"/>
    <n v="925.54"/>
    <n v="305.97000000000003"/>
    <n v="1231.51"/>
    <s v="On-time"/>
    <n v="0"/>
    <n v="82.69"/>
    <n v="498"/>
    <n v="499"/>
    <n v="1.0401266891891892"/>
  </r>
  <r>
    <x v="583"/>
    <s v="C7601"/>
    <x v="440"/>
    <d v="2023-12-28T00:00:00"/>
    <x v="2"/>
    <x v="4"/>
    <x v="3"/>
    <x v="0"/>
    <x v="487"/>
    <x v="0"/>
    <s v="Art"/>
    <x v="477"/>
    <n v="464.56"/>
    <n v="91"/>
    <n v="42274.96"/>
    <s v="S944"/>
    <x v="2"/>
    <s v="W3"/>
    <x v="1"/>
    <s v="BlueDart"/>
    <s v="Toronto-Mumbai"/>
    <n v="278"/>
    <n v="378"/>
    <x v="1"/>
    <n v="27"/>
    <n v="1081.01"/>
    <n v="148.91"/>
    <n v="1229.92"/>
    <s v="On-time"/>
    <n v="0"/>
    <n v="72.489999999999995"/>
    <n v="189"/>
    <n v="200"/>
    <n v="4.4241726618705037"/>
  </r>
  <r>
    <x v="584"/>
    <s v="C1866"/>
    <x v="495"/>
    <d v="2022-07-03T00:00:00"/>
    <x v="2"/>
    <x v="0"/>
    <x v="1"/>
    <x v="6"/>
    <x v="488"/>
    <x v="0"/>
    <s v="Binders"/>
    <x v="478"/>
    <n v="260.89"/>
    <n v="84"/>
    <n v="21914.76"/>
    <s v="S863"/>
    <x v="4"/>
    <s v="W42"/>
    <x v="1"/>
    <s v="Maersk"/>
    <s v="London-New York"/>
    <n v="4167"/>
    <n v="446"/>
    <x v="0"/>
    <n v="29"/>
    <n v="188.23"/>
    <n v="408.31"/>
    <n v="596.54"/>
    <s v="On-time"/>
    <n v="0"/>
    <n v="89.54"/>
    <n v="377"/>
    <n v="413"/>
    <n v="0.14315814734821214"/>
  </r>
  <r>
    <x v="585"/>
    <s v="C5423"/>
    <x v="21"/>
    <d v="2024-09-11T00:00:00"/>
    <x v="2"/>
    <x v="2"/>
    <x v="2"/>
    <x v="6"/>
    <x v="290"/>
    <x v="0"/>
    <s v="Binders"/>
    <x v="287"/>
    <n v="180.83"/>
    <n v="87"/>
    <n v="15732.210000000001"/>
    <s v="S600"/>
    <x v="2"/>
    <s v="W21"/>
    <x v="0"/>
    <s v="Maersk"/>
    <s v="Beijing-Mumbai"/>
    <n v="2560"/>
    <n v="369"/>
    <x v="0"/>
    <n v="15"/>
    <n v="174.17"/>
    <n v="387.95"/>
    <n v="562.12"/>
    <s v="Delayed"/>
    <n v="5"/>
    <n v="86.33"/>
    <n v="498"/>
    <n v="471"/>
    <n v="0.21957812500000001"/>
  </r>
  <r>
    <x v="586"/>
    <s v="C8654"/>
    <x v="496"/>
    <d v="2020-07-06T00:00:00"/>
    <x v="2"/>
    <x v="0"/>
    <x v="4"/>
    <x v="0"/>
    <x v="489"/>
    <x v="0"/>
    <s v="Binders"/>
    <x v="479"/>
    <n v="82.84"/>
    <n v="67"/>
    <n v="5550.2800000000007"/>
    <s v="S568"/>
    <x v="1"/>
    <s v="W21"/>
    <x v="0"/>
    <s v="Maersk"/>
    <s v="Toronto-New York"/>
    <n v="3449"/>
    <n v="268"/>
    <x v="0"/>
    <n v="11"/>
    <n v="1736.2"/>
    <n v="73.84"/>
    <n v="1810.04"/>
    <s v="On-time"/>
    <n v="0"/>
    <n v="78.489999999999995"/>
    <n v="147"/>
    <n v="128"/>
    <n v="0.52480139170774132"/>
  </r>
  <r>
    <x v="587"/>
    <s v="C2928"/>
    <x v="497"/>
    <d v="2021-04-06T00:00:00"/>
    <x v="2"/>
    <x v="4"/>
    <x v="0"/>
    <x v="0"/>
    <x v="490"/>
    <x v="0"/>
    <s v="Envelopes"/>
    <x v="480"/>
    <n v="320.68"/>
    <n v="38"/>
    <n v="12185.84"/>
    <s v="S549"/>
    <x v="3"/>
    <s v="W1"/>
    <x v="2"/>
    <s v="FedEx"/>
    <s v="Mumbai-Cape Town"/>
    <n v="4061"/>
    <n v="100"/>
    <x v="0"/>
    <n v="13"/>
    <n v="1380.71"/>
    <n v="326.22000000000003"/>
    <n v="1706.93"/>
    <s v="On-time"/>
    <n v="0"/>
    <n v="78.180000000000007"/>
    <n v="50"/>
    <n v="36"/>
    <n v="0.42032258064516131"/>
  </r>
  <r>
    <x v="588"/>
    <s v="C4310"/>
    <x v="498"/>
    <d v="2022-02-15T00:00:00"/>
    <x v="2"/>
    <x v="0"/>
    <x v="4"/>
    <x v="6"/>
    <x v="36"/>
    <x v="0"/>
    <s v="Labels"/>
    <x v="36"/>
    <n v="201.09"/>
    <n v="84"/>
    <n v="16891.560000000001"/>
    <s v="S582"/>
    <x v="3"/>
    <s v="W24"/>
    <x v="1"/>
    <s v="FedEx"/>
    <s v="Toronto-Mumbai"/>
    <n v="588"/>
    <n v="65"/>
    <x v="0"/>
    <n v="20"/>
    <n v="259.27"/>
    <n v="484.95"/>
    <n v="744.22"/>
    <s v="On-time"/>
    <n v="0"/>
    <n v="83.73"/>
    <n v="307"/>
    <n v="293"/>
    <n v="1.2656802721088436"/>
  </r>
  <r>
    <x v="589"/>
    <s v="C8137"/>
    <x v="499"/>
    <d v="2022-01-20T00:00:00"/>
    <x v="2"/>
    <x v="1"/>
    <x v="1"/>
    <x v="0"/>
    <x v="440"/>
    <x v="0"/>
    <s v="Paper"/>
    <x v="432"/>
    <n v="53.44"/>
    <n v="13"/>
    <n v="694.72"/>
    <s v="S119"/>
    <x v="2"/>
    <s v="W31"/>
    <x v="0"/>
    <s v="DHL"/>
    <s v="Berlin-London"/>
    <n v="3616"/>
    <n v="178"/>
    <x v="0"/>
    <n v="24"/>
    <n v="1955.65"/>
    <n v="473.11"/>
    <n v="2428.7600000000002"/>
    <s v="On-time"/>
    <n v="0"/>
    <n v="86.98"/>
    <n v="297"/>
    <n v="252"/>
    <n v="0.67167035398230091"/>
  </r>
  <r>
    <x v="590"/>
    <s v="C4125"/>
    <x v="500"/>
    <d v="2020-10-29T00:00:00"/>
    <x v="2"/>
    <x v="2"/>
    <x v="3"/>
    <x v="4"/>
    <x v="491"/>
    <x v="0"/>
    <s v="Supplies"/>
    <x v="481"/>
    <n v="213.04"/>
    <n v="9"/>
    <n v="1917.36"/>
    <s v="S680"/>
    <x v="3"/>
    <s v="W22"/>
    <x v="1"/>
    <s v="Maersk"/>
    <s v="London-New York"/>
    <n v="998"/>
    <n v="200"/>
    <x v="0"/>
    <n v="18"/>
    <n v="1126.2"/>
    <n v="140.66999999999999"/>
    <n v="1266.8699999999999"/>
    <s v="On-time"/>
    <n v="0"/>
    <n v="78.42"/>
    <n v="492"/>
    <n v="460"/>
    <n v="1.2694088176352705"/>
  </r>
  <r>
    <x v="591"/>
    <s v="C1926"/>
    <x v="287"/>
    <d v="2020-10-09T00:00:00"/>
    <x v="2"/>
    <x v="4"/>
    <x v="0"/>
    <x v="6"/>
    <x v="492"/>
    <x v="1"/>
    <s v="Tables"/>
    <x v="482"/>
    <n v="233.67"/>
    <n v="92"/>
    <n v="21497.64"/>
    <s v="S907"/>
    <x v="4"/>
    <s v="W6"/>
    <x v="2"/>
    <s v="FedEx"/>
    <s v="São Paulo-Cape Town"/>
    <n v="2991"/>
    <n v="138"/>
    <x v="0"/>
    <n v="6"/>
    <n v="1550.64"/>
    <n v="437.51"/>
    <n v="1988.15"/>
    <s v="On-time"/>
    <n v="0"/>
    <n v="93.61"/>
    <n v="379"/>
    <n v="357"/>
    <n v="0.66471079906385833"/>
  </r>
  <r>
    <x v="592"/>
    <s v="C4427"/>
    <x v="501"/>
    <d v="2023-10-09T00:00:00"/>
    <x v="2"/>
    <x v="1"/>
    <x v="0"/>
    <x v="6"/>
    <x v="489"/>
    <x v="0"/>
    <s v="Binders"/>
    <x v="479"/>
    <n v="351.08"/>
    <n v="48"/>
    <n v="16851.84"/>
    <s v="S678"/>
    <x v="2"/>
    <s v="W9"/>
    <x v="1"/>
    <s v="FedEx"/>
    <s v="Berlin-London"/>
    <n v="3235"/>
    <n v="307"/>
    <x v="0"/>
    <n v="29"/>
    <n v="522.82000000000005"/>
    <n v="460.9"/>
    <n v="983.72"/>
    <s v="On-time"/>
    <n v="0"/>
    <n v="88.43"/>
    <n v="411"/>
    <n v="373"/>
    <n v="0.30408655332302936"/>
  </r>
  <r>
    <x v="593"/>
    <s v="C4103"/>
    <x v="502"/>
    <d v="2021-12-17T00:00:00"/>
    <x v="2"/>
    <x v="0"/>
    <x v="5"/>
    <x v="3"/>
    <x v="493"/>
    <x v="1"/>
    <s v="Chairs"/>
    <x v="483"/>
    <n v="444.21"/>
    <n v="21"/>
    <n v="9328.41"/>
    <s v="S170"/>
    <x v="1"/>
    <s v="W30"/>
    <x v="1"/>
    <s v="UPS"/>
    <s v="Mumbai-Cape Town"/>
    <n v="2720"/>
    <n v="428"/>
    <x v="0"/>
    <n v="29"/>
    <n v="1193.24"/>
    <n v="210.97"/>
    <n v="1404.21"/>
    <s v="On-time"/>
    <n v="0"/>
    <n v="81.010000000000005"/>
    <n v="369"/>
    <n v="407"/>
    <n v="0.51625367647058829"/>
  </r>
  <r>
    <x v="594"/>
    <s v="C7233"/>
    <x v="503"/>
    <d v="2022-04-26T00:00:00"/>
    <x v="2"/>
    <x v="3"/>
    <x v="4"/>
    <x v="3"/>
    <x v="494"/>
    <x v="1"/>
    <s v="Chairs"/>
    <x v="484"/>
    <n v="443.31"/>
    <n v="72"/>
    <n v="31918.32"/>
    <s v="S709"/>
    <x v="1"/>
    <s v="W26"/>
    <x v="1"/>
    <s v="BlueDart"/>
    <s v="London-Cape Town"/>
    <n v="3288"/>
    <n v="248"/>
    <x v="0"/>
    <n v="20"/>
    <n v="1812.14"/>
    <n v="81.28"/>
    <n v="1893.42"/>
    <s v="On-time"/>
    <n v="0"/>
    <n v="92.04"/>
    <n v="377"/>
    <n v="351"/>
    <n v="0.57585766423357665"/>
  </r>
  <r>
    <x v="595"/>
    <s v="C1636"/>
    <x v="504"/>
    <d v="2024-02-28T00:00:00"/>
    <x v="1"/>
    <x v="2"/>
    <x v="7"/>
    <x v="7"/>
    <x v="455"/>
    <x v="0"/>
    <s v="Binders"/>
    <x v="447"/>
    <n v="355.75"/>
    <n v="75"/>
    <n v="26681.25"/>
    <s v="S732"/>
    <x v="3"/>
    <s v="W21"/>
    <x v="0"/>
    <s v="UPS"/>
    <s v="London-London"/>
    <n v="1110"/>
    <n v="466"/>
    <x v="0"/>
    <n v="16"/>
    <n v="1713.69"/>
    <n v="177.14"/>
    <n v="1890.83"/>
    <s v="On-time"/>
    <n v="0"/>
    <n v="80.69"/>
    <n v="308"/>
    <n v="332"/>
    <n v="1.7034504504504504"/>
  </r>
  <r>
    <x v="596"/>
    <s v="C5607"/>
    <x v="505"/>
    <d v="2022-06-19T00:00:00"/>
    <x v="2"/>
    <x v="2"/>
    <x v="4"/>
    <x v="2"/>
    <x v="495"/>
    <x v="0"/>
    <s v="Storage"/>
    <x v="485"/>
    <n v="22.14"/>
    <n v="49"/>
    <n v="1084.8600000000001"/>
    <s v="S841"/>
    <x v="1"/>
    <s v="W8"/>
    <x v="2"/>
    <s v="BlueDart"/>
    <s v="Beijing-São Paulo"/>
    <n v="1296"/>
    <n v="491"/>
    <x v="0"/>
    <n v="20"/>
    <n v="805.51"/>
    <n v="318.81"/>
    <n v="1124.32"/>
    <s v="On-time"/>
    <n v="0"/>
    <n v="72.66"/>
    <n v="140"/>
    <n v="151"/>
    <n v="0.86753086419753078"/>
  </r>
  <r>
    <x v="597"/>
    <s v="C6272"/>
    <x v="410"/>
    <d v="2020-03-03T00:00:00"/>
    <x v="2"/>
    <x v="3"/>
    <x v="0"/>
    <x v="0"/>
    <x v="496"/>
    <x v="1"/>
    <s v="Furnishings"/>
    <x v="486"/>
    <n v="428.35"/>
    <n v="14"/>
    <n v="5996.9000000000005"/>
    <s v="S591"/>
    <x v="0"/>
    <s v="W20"/>
    <x v="0"/>
    <s v="FedEx"/>
    <s v="São Paulo-Toronto"/>
    <n v="3003"/>
    <n v="391"/>
    <x v="0"/>
    <n v="14"/>
    <n v="936.68"/>
    <n v="96.66"/>
    <n v="1033.3399999999999"/>
    <s v="On-time"/>
    <n v="0"/>
    <n v="75.48"/>
    <n v="93"/>
    <n v="130"/>
    <n v="0.34410256410256407"/>
  </r>
  <r>
    <x v="598"/>
    <s v="C1555"/>
    <x v="506"/>
    <d v="2024-01-18T00:00:00"/>
    <x v="1"/>
    <x v="1"/>
    <x v="0"/>
    <x v="3"/>
    <x v="497"/>
    <x v="1"/>
    <s v="Furnishings"/>
    <x v="487"/>
    <n v="229"/>
    <n v="48"/>
    <n v="10992"/>
    <s v="S161"/>
    <x v="4"/>
    <s v="W49"/>
    <x v="2"/>
    <s v="FedEx"/>
    <s v="New York-Mumbai"/>
    <n v="3989"/>
    <n v="137"/>
    <x v="0"/>
    <n v="8"/>
    <n v="1937.1"/>
    <n v="407.39"/>
    <n v="2344.4899999999998"/>
    <s v="On-time"/>
    <n v="0"/>
    <n v="70.78"/>
    <n v="489"/>
    <n v="494"/>
    <n v="0.58773878164953619"/>
  </r>
  <r>
    <x v="599"/>
    <s v="C3836"/>
    <x v="507"/>
    <d v="2022-05-24T00:00:00"/>
    <x v="2"/>
    <x v="3"/>
    <x v="1"/>
    <x v="3"/>
    <x v="457"/>
    <x v="1"/>
    <s v="Tables"/>
    <x v="449"/>
    <n v="97.46"/>
    <n v="43"/>
    <n v="4190.78"/>
    <s v="S188"/>
    <x v="4"/>
    <s v="W28"/>
    <x v="0"/>
    <s v="FedEx"/>
    <s v="Cape Town-Berlin"/>
    <n v="4631"/>
    <n v="66"/>
    <x v="0"/>
    <n v="4"/>
    <n v="515.74"/>
    <n v="117.92"/>
    <n v="633.66"/>
    <s v="On-time"/>
    <n v="0"/>
    <n v="95.07"/>
    <n v="258"/>
    <n v="260"/>
    <n v="0.13683005830274239"/>
  </r>
  <r>
    <x v="600"/>
    <s v="C1091"/>
    <x v="404"/>
    <d v="2021-02-06T00:00:00"/>
    <x v="2"/>
    <x v="4"/>
    <x v="4"/>
    <x v="3"/>
    <x v="498"/>
    <x v="1"/>
    <s v="Tables"/>
    <x v="488"/>
    <n v="149.5"/>
    <n v="57"/>
    <n v="8521.5"/>
    <s v="S545"/>
    <x v="3"/>
    <s v="W43"/>
    <x v="3"/>
    <s v="DHL"/>
    <s v="New York-New York"/>
    <n v="620"/>
    <n v="260"/>
    <x v="0"/>
    <n v="22"/>
    <n v="1490.06"/>
    <n v="281.45999999999998"/>
    <n v="1771.52"/>
    <s v="On-time"/>
    <n v="0"/>
    <n v="99.32"/>
    <n v="215"/>
    <n v="235"/>
    <n v="2.8572903225806452"/>
  </r>
  <r>
    <x v="601"/>
    <s v="C5387"/>
    <x v="508"/>
    <d v="2022-08-02T00:00:00"/>
    <x v="1"/>
    <x v="2"/>
    <x v="5"/>
    <x v="1"/>
    <x v="499"/>
    <x v="0"/>
    <s v="Appliances"/>
    <x v="489"/>
    <n v="209.49"/>
    <n v="90"/>
    <n v="18854.100000000002"/>
    <s v="S655"/>
    <x v="3"/>
    <s v="W41"/>
    <x v="3"/>
    <s v="FedEx"/>
    <s v="Beijing-Mumbai"/>
    <n v="419"/>
    <n v="191"/>
    <x v="0"/>
    <n v="28"/>
    <n v="1375.56"/>
    <n v="316.98"/>
    <n v="1692.54"/>
    <s v="On-time"/>
    <n v="0"/>
    <n v="97.94"/>
    <n v="177"/>
    <n v="201"/>
    <n v="4.039474940334129"/>
  </r>
  <r>
    <x v="602"/>
    <s v="C5925"/>
    <x v="254"/>
    <d v="2023-05-20T00:00:00"/>
    <x v="2"/>
    <x v="1"/>
    <x v="4"/>
    <x v="6"/>
    <x v="500"/>
    <x v="0"/>
    <s v="Art"/>
    <x v="490"/>
    <n v="229.42"/>
    <n v="27"/>
    <n v="6194.3399999999992"/>
    <s v="S177"/>
    <x v="4"/>
    <s v="W6"/>
    <x v="0"/>
    <s v="BlueDart"/>
    <s v="New York-Beijing"/>
    <n v="4634"/>
    <n v="293"/>
    <x v="0"/>
    <n v="7"/>
    <n v="243.92"/>
    <n v="377.27"/>
    <n v="621.18999999999994"/>
    <s v="On-time"/>
    <n v="0"/>
    <n v="94.05"/>
    <n v="190"/>
    <n v="145"/>
    <n v="0.1340504963314631"/>
  </r>
  <r>
    <x v="603"/>
    <s v="C7305"/>
    <x v="509"/>
    <d v="2021-02-09T00:00:00"/>
    <x v="1"/>
    <x v="1"/>
    <x v="4"/>
    <x v="5"/>
    <x v="501"/>
    <x v="0"/>
    <s v="Art"/>
    <x v="491"/>
    <n v="497.85"/>
    <n v="68"/>
    <n v="33853.800000000003"/>
    <s v="S373"/>
    <x v="0"/>
    <s v="W37"/>
    <x v="0"/>
    <s v="BlueDart"/>
    <s v="New York-Beijing"/>
    <n v="2094"/>
    <n v="227"/>
    <x v="0"/>
    <n v="10"/>
    <n v="133.31"/>
    <n v="242.46"/>
    <n v="375.77"/>
    <s v="Delayed"/>
    <n v="9"/>
    <n v="94.28"/>
    <n v="433"/>
    <n v="397"/>
    <n v="0.17945081184336198"/>
  </r>
  <r>
    <x v="604"/>
    <s v="C8072"/>
    <x v="510"/>
    <d v="2024-05-06T00:00:00"/>
    <x v="2"/>
    <x v="0"/>
    <x v="1"/>
    <x v="5"/>
    <x v="502"/>
    <x v="0"/>
    <s v="Art"/>
    <x v="492"/>
    <n v="305.91000000000003"/>
    <n v="12"/>
    <n v="3670.92"/>
    <s v="S413"/>
    <x v="3"/>
    <s v="W47"/>
    <x v="0"/>
    <s v="DHL"/>
    <s v="Berlin-São Paulo"/>
    <n v="4524"/>
    <n v="75"/>
    <x v="0"/>
    <n v="22"/>
    <n v="813.48"/>
    <n v="273.63"/>
    <n v="1087.1099999999999"/>
    <s v="On-time"/>
    <n v="0"/>
    <n v="79.099999999999994"/>
    <n v="406"/>
    <n v="380"/>
    <n v="0.24029840848806364"/>
  </r>
  <r>
    <x v="605"/>
    <s v="C5054"/>
    <x v="15"/>
    <d v="2022-10-24T00:00:00"/>
    <x v="2"/>
    <x v="1"/>
    <x v="3"/>
    <x v="1"/>
    <x v="503"/>
    <x v="0"/>
    <s v="Art"/>
    <x v="493"/>
    <n v="43.87"/>
    <n v="62"/>
    <n v="2719.94"/>
    <s v="S721"/>
    <x v="4"/>
    <s v="W27"/>
    <x v="0"/>
    <s v="Maersk"/>
    <s v="São Paulo-São Paulo"/>
    <n v="3857"/>
    <n v="80"/>
    <x v="0"/>
    <n v="14"/>
    <n v="669.28"/>
    <n v="251.11"/>
    <n v="920.39"/>
    <s v="On-time"/>
    <n v="0"/>
    <n v="96.16"/>
    <n v="174"/>
    <n v="218"/>
    <n v="0.23862846772102669"/>
  </r>
  <r>
    <x v="606"/>
    <s v="C1860"/>
    <x v="511"/>
    <d v="2022-05-06T00:00:00"/>
    <x v="1"/>
    <x v="0"/>
    <x v="3"/>
    <x v="2"/>
    <x v="504"/>
    <x v="0"/>
    <s v="Binders"/>
    <x v="494"/>
    <n v="414.23"/>
    <n v="57"/>
    <n v="23611.11"/>
    <s v="S745"/>
    <x v="4"/>
    <s v="W44"/>
    <x v="0"/>
    <s v="BlueDart"/>
    <s v="São Paulo-Toronto"/>
    <n v="3817"/>
    <n v="346"/>
    <x v="0"/>
    <n v="7"/>
    <n v="163.04"/>
    <n v="88.47"/>
    <n v="251.51"/>
    <s v="Delayed"/>
    <n v="14"/>
    <n v="81.53"/>
    <n v="207"/>
    <n v="220"/>
    <n v="6.5892061828661252E-2"/>
  </r>
  <r>
    <x v="607"/>
    <s v="C3906"/>
    <x v="47"/>
    <d v="2020-11-09T00:00:00"/>
    <x v="2"/>
    <x v="3"/>
    <x v="2"/>
    <x v="4"/>
    <x v="196"/>
    <x v="0"/>
    <s v="Paper"/>
    <x v="195"/>
    <n v="306.69"/>
    <n v="81"/>
    <n v="24841.89"/>
    <s v="S377"/>
    <x v="4"/>
    <s v="W19"/>
    <x v="2"/>
    <s v="Maersk"/>
    <s v="Cape Town-Berlin"/>
    <n v="3443"/>
    <n v="180"/>
    <x v="0"/>
    <n v="11"/>
    <n v="597.44000000000005"/>
    <n v="461.89"/>
    <n v="1059.33"/>
    <s v="Delayed"/>
    <n v="3"/>
    <n v="93.54"/>
    <n v="259"/>
    <n v="219"/>
    <n v="0.30767644496079"/>
  </r>
  <r>
    <x v="608"/>
    <s v="C7921"/>
    <x v="512"/>
    <d v="2021-11-18T00:00:00"/>
    <x v="2"/>
    <x v="0"/>
    <x v="4"/>
    <x v="7"/>
    <x v="505"/>
    <x v="0"/>
    <s v="Supplies"/>
    <x v="495"/>
    <n v="140.33000000000001"/>
    <n v="89"/>
    <n v="12489.37"/>
    <s v="S726"/>
    <x v="0"/>
    <s v="W33"/>
    <x v="0"/>
    <s v="Maersk"/>
    <s v="Toronto-New York"/>
    <n v="4427"/>
    <n v="81"/>
    <x v="0"/>
    <n v="27"/>
    <n v="991.65"/>
    <n v="99.12"/>
    <n v="1090.77"/>
    <s v="Delayed"/>
    <n v="1"/>
    <n v="93.64"/>
    <n v="56"/>
    <n v="75"/>
    <n v="0.24639033205330924"/>
  </r>
  <r>
    <x v="609"/>
    <s v="C7800"/>
    <x v="513"/>
    <d v="2024-02-21T00:00:00"/>
    <x v="1"/>
    <x v="2"/>
    <x v="4"/>
    <x v="1"/>
    <x v="506"/>
    <x v="2"/>
    <s v="Accessories"/>
    <x v="496"/>
    <n v="27.57"/>
    <n v="57"/>
    <n v="1571.49"/>
    <s v="S699"/>
    <x v="0"/>
    <s v="W5"/>
    <x v="0"/>
    <s v="DHL"/>
    <s v="Toronto-Cape Town"/>
    <n v="3271"/>
    <n v="220"/>
    <x v="0"/>
    <n v="9"/>
    <n v="114.79"/>
    <n v="188.11"/>
    <n v="302.89999999999998"/>
    <s v="Delayed"/>
    <n v="10"/>
    <n v="73.25"/>
    <n v="159"/>
    <n v="184"/>
    <n v="9.260165087129317E-2"/>
  </r>
  <r>
    <x v="610"/>
    <s v="C2710"/>
    <x v="514"/>
    <d v="2022-12-08T00:00:00"/>
    <x v="1"/>
    <x v="3"/>
    <x v="7"/>
    <x v="0"/>
    <x v="367"/>
    <x v="2"/>
    <s v="Phones"/>
    <x v="362"/>
    <n v="354.17"/>
    <n v="49"/>
    <n v="17354.330000000002"/>
    <s v="S471"/>
    <x v="2"/>
    <s v="W42"/>
    <x v="2"/>
    <s v="BlueDart"/>
    <s v="Mumbai-Cape Town"/>
    <n v="4332"/>
    <n v="324"/>
    <x v="0"/>
    <n v="8"/>
    <n v="706.6"/>
    <n v="407.2"/>
    <n v="1113.8"/>
    <s v="On-time"/>
    <n v="0"/>
    <n v="91.76"/>
    <n v="440"/>
    <n v="431"/>
    <n v="0.25710987996306556"/>
  </r>
  <r>
    <x v="611"/>
    <s v="C9551"/>
    <x v="49"/>
    <d v="2021-11-10T00:00:00"/>
    <x v="1"/>
    <x v="0"/>
    <x v="3"/>
    <x v="3"/>
    <x v="507"/>
    <x v="2"/>
    <s v="Phones"/>
    <x v="497"/>
    <n v="430.5"/>
    <n v="10"/>
    <n v="4305"/>
    <s v="S537"/>
    <x v="2"/>
    <s v="W13"/>
    <x v="2"/>
    <s v="UPS"/>
    <s v="Mumbai-Beijing"/>
    <n v="167"/>
    <n v="219"/>
    <x v="1"/>
    <n v="2"/>
    <n v="1203.4000000000001"/>
    <n v="264.05"/>
    <n v="1467.45"/>
    <s v="On-time"/>
    <n v="0"/>
    <n v="71.13"/>
    <n v="55"/>
    <n v="91"/>
    <n v="8.7871257485029943"/>
  </r>
  <r>
    <x v="612"/>
    <s v="C9346"/>
    <x v="235"/>
    <d v="2022-04-26T00:00:00"/>
    <x v="1"/>
    <x v="3"/>
    <x v="7"/>
    <x v="3"/>
    <x v="508"/>
    <x v="2"/>
    <s v="Phones"/>
    <x v="498"/>
    <n v="288.39"/>
    <n v="2"/>
    <n v="576.78"/>
    <s v="S978"/>
    <x v="2"/>
    <s v="W9"/>
    <x v="0"/>
    <s v="DHL"/>
    <s v="London-Beijing"/>
    <n v="1277"/>
    <n v="321"/>
    <x v="0"/>
    <n v="2"/>
    <n v="358.93"/>
    <n v="278.32"/>
    <n v="637.25"/>
    <s v="On-time"/>
    <n v="0"/>
    <n v="74"/>
    <n v="68"/>
    <n v="36"/>
    <n v="0.49902114330462022"/>
  </r>
  <r>
    <x v="613"/>
    <s v="C6075"/>
    <x v="515"/>
    <d v="2021-12-02T00:00:00"/>
    <x v="1"/>
    <x v="0"/>
    <x v="0"/>
    <x v="3"/>
    <x v="509"/>
    <x v="0"/>
    <s v="Labels"/>
    <x v="499"/>
    <n v="36.25"/>
    <n v="91"/>
    <n v="3298.75"/>
    <s v="S516"/>
    <x v="2"/>
    <s v="W11"/>
    <x v="3"/>
    <s v="Maersk"/>
    <s v="São Paulo-São Paulo"/>
    <n v="88"/>
    <n v="379"/>
    <x v="1"/>
    <n v="21"/>
    <n v="220.7"/>
    <n v="329.61"/>
    <n v="550.30999999999995"/>
    <s v="On-time"/>
    <n v="0"/>
    <n v="91.7"/>
    <n v="103"/>
    <n v="75"/>
    <n v="6.2535227272727267"/>
  </r>
  <r>
    <x v="614"/>
    <s v="C3117"/>
    <x v="516"/>
    <d v="2021-06-17T00:00:00"/>
    <x v="0"/>
    <x v="1"/>
    <x v="5"/>
    <x v="1"/>
    <x v="114"/>
    <x v="0"/>
    <s v="Art"/>
    <x v="113"/>
    <n v="314.7"/>
    <n v="52"/>
    <n v="16364.4"/>
    <s v="S518"/>
    <x v="2"/>
    <s v="W38"/>
    <x v="3"/>
    <s v="FedEx"/>
    <s v="Cape Town-Toronto"/>
    <n v="3008"/>
    <n v="389"/>
    <x v="0"/>
    <n v="4"/>
    <n v="593.33000000000004"/>
    <n v="483.39"/>
    <n v="1076.72"/>
    <s v="Delayed"/>
    <n v="14"/>
    <n v="92.9"/>
    <n v="78"/>
    <n v="56"/>
    <n v="0.35795212765957446"/>
  </r>
  <r>
    <x v="615"/>
    <s v="C5980"/>
    <x v="517"/>
    <d v="2024-03-31T00:00:00"/>
    <x v="2"/>
    <x v="3"/>
    <x v="0"/>
    <x v="7"/>
    <x v="510"/>
    <x v="1"/>
    <s v="Bookcases"/>
    <x v="500"/>
    <n v="399.57"/>
    <n v="92"/>
    <n v="36760.44"/>
    <s v="S541"/>
    <x v="3"/>
    <s v="W1"/>
    <x v="0"/>
    <s v="BlueDart"/>
    <s v="London-São Paulo"/>
    <n v="675"/>
    <n v="492"/>
    <x v="0"/>
    <n v="21"/>
    <n v="1408"/>
    <n v="257.52999999999997"/>
    <n v="1665.53"/>
    <s v="Delayed"/>
    <n v="8"/>
    <n v="72.58"/>
    <n v="181"/>
    <n v="228"/>
    <n v="2.4674518518518518"/>
  </r>
  <r>
    <x v="616"/>
    <s v="C1500"/>
    <x v="518"/>
    <d v="2024-01-09T00:00:00"/>
    <x v="2"/>
    <x v="2"/>
    <x v="0"/>
    <x v="5"/>
    <x v="166"/>
    <x v="1"/>
    <s v="Chairs"/>
    <x v="165"/>
    <n v="330.73"/>
    <n v="10"/>
    <n v="3307.3"/>
    <s v="S950"/>
    <x v="2"/>
    <s v="W38"/>
    <x v="2"/>
    <s v="DHL"/>
    <s v="Cape Town-São Paulo"/>
    <n v="3698"/>
    <n v="233"/>
    <x v="0"/>
    <n v="18"/>
    <n v="323.38"/>
    <n v="401.74"/>
    <n v="725.12"/>
    <s v="On-time"/>
    <n v="0"/>
    <n v="85.95"/>
    <n v="192"/>
    <n v="177"/>
    <n v="0.19608436992969172"/>
  </r>
  <r>
    <x v="617"/>
    <s v="C8054"/>
    <x v="519"/>
    <d v="2021-03-10T00:00:00"/>
    <x v="2"/>
    <x v="2"/>
    <x v="7"/>
    <x v="1"/>
    <x v="511"/>
    <x v="1"/>
    <s v="Tables"/>
    <x v="501"/>
    <n v="498.76"/>
    <n v="4"/>
    <n v="1995.04"/>
    <s v="S574"/>
    <x v="1"/>
    <s v="W13"/>
    <x v="3"/>
    <s v="BlueDart"/>
    <s v="Berlin-New York"/>
    <n v="477"/>
    <n v="480"/>
    <x v="1"/>
    <n v="23"/>
    <n v="1439.43"/>
    <n v="245.99"/>
    <n v="1685.42"/>
    <s v="On-time"/>
    <n v="0"/>
    <n v="94.31"/>
    <n v="169"/>
    <n v="170"/>
    <n v="3.5333752620545074"/>
  </r>
  <r>
    <x v="618"/>
    <s v="C2763"/>
    <x v="520"/>
    <d v="2023-05-21T00:00:00"/>
    <x v="2"/>
    <x v="1"/>
    <x v="7"/>
    <x v="3"/>
    <x v="512"/>
    <x v="0"/>
    <s v="Binders"/>
    <x v="502"/>
    <n v="362.55"/>
    <n v="28"/>
    <n v="10151.4"/>
    <s v="S201"/>
    <x v="1"/>
    <s v="W16"/>
    <x v="0"/>
    <s v="DHL"/>
    <s v="São Paulo-London"/>
    <n v="4088"/>
    <n v="128"/>
    <x v="0"/>
    <n v="11"/>
    <n v="1385.25"/>
    <n v="486.06"/>
    <n v="1871.31"/>
    <s v="Delayed"/>
    <n v="14"/>
    <n v="92.79"/>
    <n v="406"/>
    <n v="369"/>
    <n v="0.45775684931506849"/>
  </r>
  <r>
    <x v="619"/>
    <s v="C9932"/>
    <x v="521"/>
    <d v="2021-11-29T00:00:00"/>
    <x v="0"/>
    <x v="2"/>
    <x v="5"/>
    <x v="2"/>
    <x v="513"/>
    <x v="0"/>
    <s v="Paper"/>
    <x v="503"/>
    <n v="161.61000000000001"/>
    <n v="11"/>
    <n v="1777.71"/>
    <s v="S400"/>
    <x v="3"/>
    <s v="W37"/>
    <x v="3"/>
    <s v="Maersk"/>
    <s v="Berlin-Berlin"/>
    <n v="4758"/>
    <n v="129"/>
    <x v="0"/>
    <n v="22"/>
    <n v="1929.56"/>
    <n v="266.43"/>
    <n v="2195.9899999999998"/>
    <s v="On-time"/>
    <n v="0"/>
    <n v="88.77"/>
    <n v="452"/>
    <n v="463"/>
    <n v="0.46153635981504831"/>
  </r>
  <r>
    <x v="620"/>
    <s v="C6107"/>
    <x v="522"/>
    <d v="2022-03-10T00:00:00"/>
    <x v="2"/>
    <x v="3"/>
    <x v="1"/>
    <x v="6"/>
    <x v="106"/>
    <x v="1"/>
    <s v="Chairs"/>
    <x v="105"/>
    <n v="29.23"/>
    <n v="32"/>
    <n v="935.36"/>
    <s v="S500"/>
    <x v="1"/>
    <s v="W34"/>
    <x v="2"/>
    <s v="DHL"/>
    <s v="London-São Paulo"/>
    <n v="206"/>
    <n v="235"/>
    <x v="1"/>
    <n v="10"/>
    <n v="1074.4000000000001"/>
    <n v="158.57"/>
    <n v="1232.97"/>
    <s v="Delayed"/>
    <n v="13"/>
    <n v="99.48"/>
    <n v="100"/>
    <n v="145"/>
    <n v="5.9852912621359229"/>
  </r>
  <r>
    <x v="621"/>
    <s v="C6145"/>
    <x v="523"/>
    <d v="2024-07-06T00:00:00"/>
    <x v="0"/>
    <x v="1"/>
    <x v="1"/>
    <x v="7"/>
    <x v="514"/>
    <x v="0"/>
    <s v="Art"/>
    <x v="504"/>
    <n v="456.5"/>
    <n v="56"/>
    <n v="25564"/>
    <s v="S176"/>
    <x v="2"/>
    <s v="W20"/>
    <x v="0"/>
    <s v="Maersk"/>
    <s v="Berlin-Beijing"/>
    <n v="2772"/>
    <n v="52"/>
    <x v="0"/>
    <n v="28"/>
    <n v="1032.74"/>
    <n v="372.69"/>
    <n v="1405.43"/>
    <s v="On-time"/>
    <n v="0"/>
    <n v="72.59"/>
    <n v="307"/>
    <n v="267"/>
    <n v="0.50700937950937952"/>
  </r>
  <r>
    <x v="622"/>
    <s v="C3211"/>
    <x v="524"/>
    <d v="2021-01-16T00:00:00"/>
    <x v="2"/>
    <x v="0"/>
    <x v="6"/>
    <x v="2"/>
    <x v="279"/>
    <x v="0"/>
    <s v="Binders"/>
    <x v="276"/>
    <n v="136.74"/>
    <n v="89"/>
    <n v="12169.86"/>
    <s v="S800"/>
    <x v="3"/>
    <s v="W4"/>
    <x v="3"/>
    <s v="FedEx"/>
    <s v="New York-São Paulo"/>
    <n v="729"/>
    <n v="440"/>
    <x v="0"/>
    <n v="13"/>
    <n v="1054.8599999999999"/>
    <n v="388.22"/>
    <n v="1443.08"/>
    <s v="On-time"/>
    <n v="0"/>
    <n v="95.51"/>
    <n v="469"/>
    <n v="484"/>
    <n v="1.9795336076817558"/>
  </r>
  <r>
    <x v="623"/>
    <s v="C9396"/>
    <x v="525"/>
    <d v="2023-12-31T00:00:00"/>
    <x v="2"/>
    <x v="1"/>
    <x v="4"/>
    <x v="5"/>
    <x v="515"/>
    <x v="0"/>
    <s v="Envelopes"/>
    <x v="27"/>
    <n v="213.73"/>
    <n v="75"/>
    <n v="16029.75"/>
    <s v="S103"/>
    <x v="3"/>
    <s v="W2"/>
    <x v="0"/>
    <s v="UPS"/>
    <s v="Beijing-London"/>
    <n v="2155"/>
    <n v="397"/>
    <x v="0"/>
    <n v="7"/>
    <n v="378.03"/>
    <n v="411.83"/>
    <n v="789.8599999999999"/>
    <s v="On-time"/>
    <n v="0"/>
    <n v="71.05"/>
    <n v="479"/>
    <n v="490"/>
    <n v="0.36652436194895588"/>
  </r>
  <r>
    <x v="624"/>
    <s v="C2280"/>
    <x v="221"/>
    <d v="2022-05-19T00:00:00"/>
    <x v="2"/>
    <x v="1"/>
    <x v="3"/>
    <x v="4"/>
    <x v="158"/>
    <x v="1"/>
    <s v="Furnishings"/>
    <x v="157"/>
    <n v="34.35"/>
    <n v="46"/>
    <n v="1580.1000000000001"/>
    <s v="S631"/>
    <x v="0"/>
    <s v="W49"/>
    <x v="0"/>
    <s v="BlueDart"/>
    <s v="São Paulo-Toronto"/>
    <n v="215"/>
    <n v="456"/>
    <x v="1"/>
    <n v="29"/>
    <n v="385.04"/>
    <n v="285.83999999999997"/>
    <n v="670.88"/>
    <s v="On-time"/>
    <n v="0"/>
    <n v="70.91"/>
    <n v="82"/>
    <n v="126"/>
    <n v="3.1203720930232559"/>
  </r>
  <r>
    <x v="625"/>
    <s v="C4540"/>
    <x v="526"/>
    <d v="2024-08-12T00:00:00"/>
    <x v="2"/>
    <x v="1"/>
    <x v="4"/>
    <x v="7"/>
    <x v="516"/>
    <x v="0"/>
    <s v="Binders"/>
    <x v="505"/>
    <n v="66.680000000000007"/>
    <n v="26"/>
    <n v="1733.6800000000003"/>
    <s v="S167"/>
    <x v="0"/>
    <s v="W36"/>
    <x v="0"/>
    <s v="FedEx"/>
    <s v="Berlin-London"/>
    <n v="4080"/>
    <n v="147"/>
    <x v="0"/>
    <n v="6"/>
    <n v="98.66"/>
    <n v="492.83"/>
    <n v="591.49"/>
    <s v="On-time"/>
    <n v="0"/>
    <n v="98.42"/>
    <n v="100"/>
    <n v="67"/>
    <n v="0.14497303921568627"/>
  </r>
  <r>
    <x v="626"/>
    <s v="C7376"/>
    <x v="527"/>
    <d v="2023-12-24T00:00:00"/>
    <x v="1"/>
    <x v="1"/>
    <x v="6"/>
    <x v="2"/>
    <x v="517"/>
    <x v="0"/>
    <s v="Fasteners"/>
    <x v="506"/>
    <n v="27.69"/>
    <n v="55"/>
    <n v="1522.95"/>
    <s v="S884"/>
    <x v="2"/>
    <s v="W18"/>
    <x v="1"/>
    <s v="Maersk"/>
    <s v="Mumbai-Mumbai"/>
    <n v="2962"/>
    <n v="233"/>
    <x v="0"/>
    <n v="2"/>
    <n v="1220.95"/>
    <n v="354.45"/>
    <n v="1575.4"/>
    <s v="On-time"/>
    <n v="0"/>
    <n v="83.47"/>
    <n v="329"/>
    <n v="351"/>
    <n v="0.53187035786630654"/>
  </r>
  <r>
    <x v="627"/>
    <s v="C9994"/>
    <x v="528"/>
    <d v="2024-09-03T00:00:00"/>
    <x v="2"/>
    <x v="0"/>
    <x v="6"/>
    <x v="1"/>
    <x v="518"/>
    <x v="0"/>
    <s v="Paper"/>
    <x v="507"/>
    <n v="266.5"/>
    <n v="89"/>
    <n v="23718.5"/>
    <s v="S334"/>
    <x v="2"/>
    <s v="W10"/>
    <x v="2"/>
    <s v="DHL"/>
    <s v="Cape Town-New York"/>
    <n v="4591"/>
    <n v="221"/>
    <x v="0"/>
    <n v="13"/>
    <n v="630.46"/>
    <n v="336"/>
    <n v="966.46"/>
    <s v="On-time"/>
    <n v="0"/>
    <n v="73.88"/>
    <n v="391"/>
    <n v="378"/>
    <n v="0.21051187105205837"/>
  </r>
  <r>
    <x v="628"/>
    <s v="C7537"/>
    <x v="529"/>
    <d v="2022-01-05T00:00:00"/>
    <x v="2"/>
    <x v="4"/>
    <x v="7"/>
    <x v="3"/>
    <x v="519"/>
    <x v="2"/>
    <s v="Machines"/>
    <x v="508"/>
    <n v="430.34"/>
    <n v="88"/>
    <n v="37869.919999999998"/>
    <s v="S227"/>
    <x v="4"/>
    <s v="W4"/>
    <x v="1"/>
    <s v="BlueDart"/>
    <s v="Beijing-Beijing"/>
    <n v="4201"/>
    <n v="449"/>
    <x v="0"/>
    <n v="28"/>
    <n v="1860.87"/>
    <n v="438.96"/>
    <n v="2299.83"/>
    <s v="On-time"/>
    <n v="0"/>
    <n v="97.06"/>
    <n v="242"/>
    <n v="216"/>
    <n v="0.5474482266127112"/>
  </r>
  <r>
    <x v="629"/>
    <s v="C2328"/>
    <x v="530"/>
    <d v="2024-01-13T00:00:00"/>
    <x v="1"/>
    <x v="3"/>
    <x v="7"/>
    <x v="6"/>
    <x v="520"/>
    <x v="2"/>
    <s v="Phones"/>
    <x v="509"/>
    <n v="213.44"/>
    <n v="6"/>
    <n v="1280.6399999999999"/>
    <s v="S343"/>
    <x v="2"/>
    <s v="W30"/>
    <x v="1"/>
    <s v="Maersk"/>
    <s v="Berlin-New York"/>
    <n v="3590"/>
    <n v="216"/>
    <x v="0"/>
    <n v="10"/>
    <n v="277.41000000000003"/>
    <n v="42.56"/>
    <n v="319.97000000000003"/>
    <s v="On-time"/>
    <n v="0"/>
    <n v="86.74"/>
    <n v="82"/>
    <n v="81"/>
    <n v="8.9128133704735379E-2"/>
  </r>
  <r>
    <x v="630"/>
    <s v="C9021"/>
    <x v="499"/>
    <d v="2021-08-11T00:00:00"/>
    <x v="2"/>
    <x v="3"/>
    <x v="4"/>
    <x v="1"/>
    <x v="521"/>
    <x v="0"/>
    <s v="Paper"/>
    <x v="510"/>
    <n v="28.94"/>
    <n v="68"/>
    <n v="1967.92"/>
    <s v="S156"/>
    <x v="0"/>
    <s v="W34"/>
    <x v="2"/>
    <s v="DHL"/>
    <s v="Mumbai-London"/>
    <n v="300"/>
    <n v="369"/>
    <x v="1"/>
    <n v="20"/>
    <n v="85.79"/>
    <n v="132.22999999999999"/>
    <n v="218.02"/>
    <s v="On-time"/>
    <n v="0"/>
    <n v="73.12"/>
    <n v="382"/>
    <n v="371"/>
    <n v="0.72673333333333334"/>
  </r>
  <r>
    <x v="631"/>
    <s v="C7638"/>
    <x v="33"/>
    <d v="2022-07-05T00:00:00"/>
    <x v="2"/>
    <x v="3"/>
    <x v="1"/>
    <x v="7"/>
    <x v="522"/>
    <x v="1"/>
    <s v="Bookcases"/>
    <x v="511"/>
    <n v="33.56"/>
    <n v="6"/>
    <n v="201.36"/>
    <s v="S386"/>
    <x v="3"/>
    <s v="W19"/>
    <x v="0"/>
    <s v="BlueDart"/>
    <s v="Toronto-Toronto"/>
    <n v="1726"/>
    <n v="410"/>
    <x v="0"/>
    <n v="17"/>
    <n v="1830.13"/>
    <n v="419.98"/>
    <n v="2250.11"/>
    <s v="On-time"/>
    <n v="0"/>
    <n v="76.489999999999995"/>
    <n v="168"/>
    <n v="136"/>
    <n v="1.3036558516801855"/>
  </r>
  <r>
    <x v="632"/>
    <s v="C1516"/>
    <x v="531"/>
    <d v="2023-09-26T00:00:00"/>
    <x v="2"/>
    <x v="0"/>
    <x v="7"/>
    <x v="1"/>
    <x v="458"/>
    <x v="0"/>
    <s v="Appliances"/>
    <x v="450"/>
    <n v="37.409999999999997"/>
    <n v="77"/>
    <n v="2880.5699999999997"/>
    <s v="S104"/>
    <x v="4"/>
    <s v="W20"/>
    <x v="3"/>
    <s v="FedEx"/>
    <s v="Mumbai-London"/>
    <n v="1717"/>
    <n v="80"/>
    <x v="0"/>
    <n v="2"/>
    <n v="628.51"/>
    <n v="100.25"/>
    <n v="728.76"/>
    <s v="On-time"/>
    <n v="0"/>
    <n v="91.99"/>
    <n v="225"/>
    <n v="197"/>
    <n v="0.42443797320908561"/>
  </r>
  <r>
    <x v="633"/>
    <s v="C9197"/>
    <x v="532"/>
    <d v="2024-04-17T00:00:00"/>
    <x v="0"/>
    <x v="4"/>
    <x v="0"/>
    <x v="1"/>
    <x v="523"/>
    <x v="0"/>
    <s v="Art"/>
    <x v="512"/>
    <n v="321.05"/>
    <n v="80"/>
    <n v="25684"/>
    <s v="S843"/>
    <x v="2"/>
    <s v="W37"/>
    <x v="0"/>
    <s v="BlueDart"/>
    <s v="New York-Toronto"/>
    <n v="1568"/>
    <n v="447"/>
    <x v="0"/>
    <n v="3"/>
    <n v="509.65"/>
    <n v="218.12"/>
    <n v="727.77"/>
    <s v="On-time"/>
    <n v="0"/>
    <n v="90.88"/>
    <n v="485"/>
    <n v="512"/>
    <n v="0.46413903061224487"/>
  </r>
  <r>
    <x v="634"/>
    <s v="C6724"/>
    <x v="533"/>
    <d v="2020-11-23T00:00:00"/>
    <x v="2"/>
    <x v="3"/>
    <x v="0"/>
    <x v="1"/>
    <x v="524"/>
    <x v="0"/>
    <s v="Binders"/>
    <x v="513"/>
    <n v="396.34"/>
    <n v="31"/>
    <n v="12286.539999999999"/>
    <s v="S940"/>
    <x v="2"/>
    <s v="W21"/>
    <x v="3"/>
    <s v="UPS"/>
    <s v="Berlin-Toronto"/>
    <n v="4475"/>
    <n v="303"/>
    <x v="0"/>
    <n v="18"/>
    <n v="619.54999999999995"/>
    <n v="403.03"/>
    <n v="1022.58"/>
    <s v="On-time"/>
    <n v="0"/>
    <n v="92.62"/>
    <n v="416"/>
    <n v="445"/>
    <n v="0.22850949720670391"/>
  </r>
  <r>
    <x v="635"/>
    <s v="C1582"/>
    <x v="534"/>
    <d v="2020-08-07T00:00:00"/>
    <x v="2"/>
    <x v="1"/>
    <x v="0"/>
    <x v="2"/>
    <x v="133"/>
    <x v="0"/>
    <s v="Paper"/>
    <x v="132"/>
    <n v="378.94"/>
    <n v="82"/>
    <n v="31073.079999999998"/>
    <s v="S196"/>
    <x v="2"/>
    <s v="W13"/>
    <x v="0"/>
    <s v="DHL"/>
    <s v="Beijing-Toronto"/>
    <n v="2027"/>
    <n v="376"/>
    <x v="0"/>
    <n v="25"/>
    <n v="713.29"/>
    <n v="119.9"/>
    <n v="833.18999999999994"/>
    <s v="On-time"/>
    <n v="0"/>
    <n v="95.91"/>
    <n v="356"/>
    <n v="330"/>
    <n v="0.41104588061174147"/>
  </r>
  <r>
    <x v="636"/>
    <s v="C4432"/>
    <x v="535"/>
    <d v="2021-04-18T00:00:00"/>
    <x v="1"/>
    <x v="3"/>
    <x v="2"/>
    <x v="7"/>
    <x v="525"/>
    <x v="0"/>
    <s v="Paper"/>
    <x v="514"/>
    <n v="119.51"/>
    <n v="11"/>
    <n v="1314.6100000000001"/>
    <s v="S149"/>
    <x v="1"/>
    <s v="W20"/>
    <x v="1"/>
    <s v="FedEx"/>
    <s v="Cape Town-São Paulo"/>
    <n v="3425"/>
    <n v="340"/>
    <x v="0"/>
    <n v="19"/>
    <n v="1008.06"/>
    <n v="152.47"/>
    <n v="1160.53"/>
    <s v="On-time"/>
    <n v="0"/>
    <n v="84.44"/>
    <n v="176"/>
    <n v="172"/>
    <n v="0.33884087591240875"/>
  </r>
  <r>
    <x v="637"/>
    <s v="C3899"/>
    <x v="536"/>
    <d v="2022-11-02T00:00:00"/>
    <x v="1"/>
    <x v="2"/>
    <x v="3"/>
    <x v="2"/>
    <x v="526"/>
    <x v="0"/>
    <s v="Storage"/>
    <x v="515"/>
    <n v="405.96"/>
    <n v="56"/>
    <n v="22733.759999999998"/>
    <s v="S139"/>
    <x v="4"/>
    <s v="W12"/>
    <x v="3"/>
    <s v="UPS"/>
    <s v="Beijing-Cape Town"/>
    <n v="2396"/>
    <n v="375"/>
    <x v="0"/>
    <n v="19"/>
    <n v="1966.33"/>
    <n v="125.53"/>
    <n v="2091.86"/>
    <s v="On-time"/>
    <n v="0"/>
    <n v="90.54"/>
    <n v="358"/>
    <n v="356"/>
    <n v="0.87306343906510853"/>
  </r>
  <r>
    <x v="638"/>
    <s v="C8379"/>
    <x v="395"/>
    <d v="2024-09-27T00:00:00"/>
    <x v="1"/>
    <x v="0"/>
    <x v="2"/>
    <x v="1"/>
    <x v="527"/>
    <x v="2"/>
    <s v="Machines"/>
    <x v="516"/>
    <n v="29.84"/>
    <n v="49"/>
    <n v="1462.16"/>
    <s v="S582"/>
    <x v="2"/>
    <s v="W29"/>
    <x v="1"/>
    <s v="FedEx"/>
    <s v="New York-Cape Town"/>
    <n v="1520"/>
    <n v="246"/>
    <x v="0"/>
    <n v="17"/>
    <n v="1910.21"/>
    <n v="136.76"/>
    <n v="2046.97"/>
    <s v="Delayed"/>
    <n v="11"/>
    <n v="89.92"/>
    <n v="171"/>
    <n v="204"/>
    <n v="1.3466907894736841"/>
  </r>
  <r>
    <x v="639"/>
    <s v="C5612"/>
    <x v="537"/>
    <d v="2024-03-14T00:00:00"/>
    <x v="2"/>
    <x v="4"/>
    <x v="0"/>
    <x v="4"/>
    <x v="528"/>
    <x v="2"/>
    <s v="Phones"/>
    <x v="517"/>
    <n v="75.489999999999995"/>
    <n v="43"/>
    <n v="3246.0699999999997"/>
    <s v="S640"/>
    <x v="4"/>
    <s v="W31"/>
    <x v="2"/>
    <s v="DHL"/>
    <s v="London-Beijing"/>
    <n v="1155"/>
    <n v="360"/>
    <x v="0"/>
    <n v="15"/>
    <n v="1953.5"/>
    <n v="337.27"/>
    <n v="2290.77"/>
    <s v="On-time"/>
    <n v="0"/>
    <n v="88.37"/>
    <n v="151"/>
    <n v="129"/>
    <n v="1.9833506493506494"/>
  </r>
  <r>
    <x v="640"/>
    <s v="C2640"/>
    <x v="142"/>
    <d v="2021-02-08T00:00:00"/>
    <x v="2"/>
    <x v="4"/>
    <x v="6"/>
    <x v="6"/>
    <x v="529"/>
    <x v="1"/>
    <s v="Furnishings"/>
    <x v="518"/>
    <n v="275.60000000000002"/>
    <n v="67"/>
    <n v="18465.2"/>
    <s v="S649"/>
    <x v="3"/>
    <s v="W6"/>
    <x v="0"/>
    <s v="UPS"/>
    <s v="London-London"/>
    <n v="811"/>
    <n v="319"/>
    <x v="0"/>
    <n v="29"/>
    <n v="1751.11"/>
    <n v="301.08"/>
    <n v="2052.19"/>
    <s v="On-time"/>
    <n v="0"/>
    <n v="81.77"/>
    <n v="129"/>
    <n v="93"/>
    <n v="2.5304438964241678"/>
  </r>
  <r>
    <x v="641"/>
    <s v="C4160"/>
    <x v="538"/>
    <d v="2022-11-04T00:00:00"/>
    <x v="2"/>
    <x v="4"/>
    <x v="2"/>
    <x v="2"/>
    <x v="530"/>
    <x v="1"/>
    <s v="Furnishings"/>
    <x v="519"/>
    <n v="203.98"/>
    <n v="71"/>
    <n v="14482.58"/>
    <s v="S508"/>
    <x v="4"/>
    <s v="W18"/>
    <x v="3"/>
    <s v="FedEx"/>
    <s v="Mumbai-New York"/>
    <n v="742"/>
    <n v="416"/>
    <x v="0"/>
    <n v="21"/>
    <n v="1950.98"/>
    <n v="187.82"/>
    <n v="2138.8000000000002"/>
    <s v="On-time"/>
    <n v="0"/>
    <n v="98.06"/>
    <n v="458"/>
    <n v="453"/>
    <n v="2.882479784366577"/>
  </r>
  <r>
    <x v="642"/>
    <s v="C9612"/>
    <x v="539"/>
    <d v="2023-09-02T00:00:00"/>
    <x v="2"/>
    <x v="2"/>
    <x v="0"/>
    <x v="3"/>
    <x v="112"/>
    <x v="0"/>
    <s v="Appliances"/>
    <x v="111"/>
    <n v="45.22"/>
    <n v="27"/>
    <n v="1220.94"/>
    <s v="S871"/>
    <x v="4"/>
    <s v="W47"/>
    <x v="0"/>
    <s v="DHL"/>
    <s v="Beijing-Cape Town"/>
    <n v="2622"/>
    <n v="224"/>
    <x v="0"/>
    <n v="19"/>
    <n v="1078.24"/>
    <n v="70.180000000000007"/>
    <n v="1148.42"/>
    <s v="On-time"/>
    <n v="0"/>
    <n v="78.150000000000006"/>
    <n v="171"/>
    <n v="164"/>
    <n v="0.43799389778794817"/>
  </r>
  <r>
    <x v="643"/>
    <s v="C6947"/>
    <x v="540"/>
    <d v="2024-02-04T00:00:00"/>
    <x v="0"/>
    <x v="1"/>
    <x v="1"/>
    <x v="5"/>
    <x v="531"/>
    <x v="0"/>
    <s v="Appliances"/>
    <x v="520"/>
    <n v="57.33"/>
    <n v="54"/>
    <n v="3095.8199999999997"/>
    <s v="S972"/>
    <x v="2"/>
    <s v="W14"/>
    <x v="2"/>
    <s v="FedEx"/>
    <s v="New York-São Paulo"/>
    <n v="2261"/>
    <n v="262"/>
    <x v="0"/>
    <n v="1"/>
    <n v="628.4"/>
    <n v="26.92"/>
    <n v="655.31999999999994"/>
    <s v="On-time"/>
    <n v="0"/>
    <n v="84.54"/>
    <n v="307"/>
    <n v="269"/>
    <n v="0.28983635559486948"/>
  </r>
  <r>
    <x v="644"/>
    <s v="C6096"/>
    <x v="541"/>
    <d v="2021-06-19T00:00:00"/>
    <x v="2"/>
    <x v="3"/>
    <x v="5"/>
    <x v="4"/>
    <x v="532"/>
    <x v="0"/>
    <s v="Art"/>
    <x v="521"/>
    <n v="64.17"/>
    <n v="35"/>
    <n v="2245.9500000000003"/>
    <s v="S929"/>
    <x v="0"/>
    <s v="W5"/>
    <x v="0"/>
    <s v="BlueDart"/>
    <s v="São Paulo-New York"/>
    <n v="4749"/>
    <n v="62"/>
    <x v="0"/>
    <n v="21"/>
    <n v="852.42"/>
    <n v="38.75"/>
    <n v="891.17"/>
    <s v="On-time"/>
    <n v="0"/>
    <n v="80.47"/>
    <n v="356"/>
    <n v="337"/>
    <n v="0.18765424299852598"/>
  </r>
  <r>
    <x v="645"/>
    <s v="C1268"/>
    <x v="456"/>
    <d v="2021-11-27T00:00:00"/>
    <x v="2"/>
    <x v="1"/>
    <x v="2"/>
    <x v="2"/>
    <x v="533"/>
    <x v="0"/>
    <s v="Art"/>
    <x v="522"/>
    <n v="269.12"/>
    <n v="28"/>
    <n v="7535.3600000000006"/>
    <s v="S876"/>
    <x v="0"/>
    <s v="W28"/>
    <x v="1"/>
    <s v="BlueDart"/>
    <s v="Cape Town-Mumbai"/>
    <n v="4118"/>
    <n v="192"/>
    <x v="0"/>
    <n v="21"/>
    <n v="1128.6099999999999"/>
    <n v="30.65"/>
    <n v="1159.26"/>
    <s v="On-time"/>
    <n v="0"/>
    <n v="99.39"/>
    <n v="79"/>
    <n v="45"/>
    <n v="0.28151044196211755"/>
  </r>
  <r>
    <x v="646"/>
    <s v="C6427"/>
    <x v="542"/>
    <d v="2023-12-22T00:00:00"/>
    <x v="1"/>
    <x v="1"/>
    <x v="5"/>
    <x v="0"/>
    <x v="534"/>
    <x v="0"/>
    <s v="Binders"/>
    <x v="523"/>
    <n v="125.26"/>
    <n v="55"/>
    <n v="6889.3"/>
    <s v="S983"/>
    <x v="1"/>
    <s v="W6"/>
    <x v="0"/>
    <s v="BlueDart"/>
    <s v="Cape Town-London"/>
    <n v="2441"/>
    <n v="133"/>
    <x v="0"/>
    <n v="27"/>
    <n v="767.99"/>
    <n v="422.62"/>
    <n v="1190.6099999999999"/>
    <s v="On-time"/>
    <n v="0"/>
    <n v="92.57"/>
    <n v="314"/>
    <n v="279"/>
    <n v="0.48775501843506758"/>
  </r>
  <r>
    <x v="647"/>
    <s v="C2585"/>
    <x v="543"/>
    <d v="2021-05-26T00:00:00"/>
    <x v="2"/>
    <x v="2"/>
    <x v="2"/>
    <x v="0"/>
    <x v="535"/>
    <x v="0"/>
    <s v="Binders"/>
    <x v="524"/>
    <n v="399.09"/>
    <n v="70"/>
    <n v="27936.3"/>
    <s v="S238"/>
    <x v="3"/>
    <s v="W23"/>
    <x v="1"/>
    <s v="BlueDart"/>
    <s v="Beijing-London"/>
    <n v="1493"/>
    <n v="418"/>
    <x v="0"/>
    <n v="21"/>
    <n v="1592.27"/>
    <n v="320.58999999999997"/>
    <n v="1912.86"/>
    <s v="On-time"/>
    <n v="0"/>
    <n v="98.08"/>
    <n v="480"/>
    <n v="471"/>
    <n v="1.2812190221031479"/>
  </r>
  <r>
    <x v="648"/>
    <s v="C2261"/>
    <x v="184"/>
    <d v="2024-08-07T00:00:00"/>
    <x v="0"/>
    <x v="4"/>
    <x v="3"/>
    <x v="7"/>
    <x v="536"/>
    <x v="0"/>
    <s v="Binders"/>
    <x v="525"/>
    <n v="206.16"/>
    <n v="85"/>
    <n v="17523.599999999999"/>
    <s v="S781"/>
    <x v="1"/>
    <s v="W48"/>
    <x v="1"/>
    <s v="FedEx"/>
    <s v="New York-Mumbai"/>
    <n v="3018"/>
    <n v="441"/>
    <x v="0"/>
    <n v="18"/>
    <n v="1769.19"/>
    <n v="211.68"/>
    <n v="1980.87"/>
    <s v="On-time"/>
    <n v="0"/>
    <n v="77.2"/>
    <n v="85"/>
    <n v="76"/>
    <n v="0.65635188866799199"/>
  </r>
  <r>
    <x v="649"/>
    <s v="C9191"/>
    <x v="544"/>
    <d v="2023-12-21T00:00:00"/>
    <x v="1"/>
    <x v="3"/>
    <x v="1"/>
    <x v="2"/>
    <x v="54"/>
    <x v="0"/>
    <s v="Envelopes"/>
    <x v="27"/>
    <n v="25.38"/>
    <n v="51"/>
    <n v="1294.3799999999999"/>
    <s v="S712"/>
    <x v="3"/>
    <s v="W34"/>
    <x v="3"/>
    <s v="BlueDart"/>
    <s v="London-New York"/>
    <n v="2094"/>
    <n v="456"/>
    <x v="0"/>
    <n v="3"/>
    <n v="1514.06"/>
    <n v="168.17"/>
    <n v="1682.23"/>
    <s v="On-time"/>
    <n v="0"/>
    <n v="89.26"/>
    <n v="179"/>
    <n v="196"/>
    <n v="0.80335721107927416"/>
  </r>
  <r>
    <x v="650"/>
    <s v="C4307"/>
    <x v="545"/>
    <d v="2021-12-20T00:00:00"/>
    <x v="2"/>
    <x v="0"/>
    <x v="4"/>
    <x v="7"/>
    <x v="537"/>
    <x v="0"/>
    <s v="Paper"/>
    <x v="526"/>
    <n v="181.96"/>
    <n v="41"/>
    <n v="7460.3600000000006"/>
    <s v="S306"/>
    <x v="2"/>
    <s v="W24"/>
    <x v="2"/>
    <s v="UPS"/>
    <s v="New York-Toronto"/>
    <n v="2369"/>
    <n v="70"/>
    <x v="0"/>
    <n v="27"/>
    <n v="1223.1400000000001"/>
    <n v="97.63"/>
    <n v="1320.77"/>
    <s v="On-time"/>
    <n v="0"/>
    <n v="99.92"/>
    <n v="155"/>
    <n v="121"/>
    <n v="0.55752216124947229"/>
  </r>
  <r>
    <x v="651"/>
    <s v="C9614"/>
    <x v="546"/>
    <d v="2024-04-27T00:00:00"/>
    <x v="0"/>
    <x v="0"/>
    <x v="6"/>
    <x v="6"/>
    <x v="538"/>
    <x v="0"/>
    <s v="Storage"/>
    <x v="527"/>
    <n v="407.9"/>
    <n v="62"/>
    <n v="25289.8"/>
    <s v="S585"/>
    <x v="2"/>
    <s v="W15"/>
    <x v="1"/>
    <s v="Maersk"/>
    <s v="Mumbai-London"/>
    <n v="856"/>
    <n v="380"/>
    <x v="0"/>
    <n v="8"/>
    <n v="907"/>
    <n v="48.93"/>
    <n v="955.93"/>
    <s v="On-time"/>
    <n v="0"/>
    <n v="95.27"/>
    <n v="256"/>
    <n v="287"/>
    <n v="1.1167406542056073"/>
  </r>
  <r>
    <x v="652"/>
    <s v="C8692"/>
    <x v="318"/>
    <d v="2024-07-17T00:00:00"/>
    <x v="1"/>
    <x v="3"/>
    <x v="2"/>
    <x v="4"/>
    <x v="33"/>
    <x v="2"/>
    <s v="Accessories"/>
    <x v="33"/>
    <n v="75.73"/>
    <n v="12"/>
    <n v="908.76"/>
    <s v="S844"/>
    <x v="0"/>
    <s v="W42"/>
    <x v="3"/>
    <s v="DHL"/>
    <s v="Cape Town-Toronto"/>
    <n v="4821"/>
    <n v="350"/>
    <x v="0"/>
    <n v="12"/>
    <n v="1702.38"/>
    <n v="34.83"/>
    <n v="1737.21"/>
    <s v="On-time"/>
    <n v="0"/>
    <n v="81.16"/>
    <n v="442"/>
    <n v="441"/>
    <n v="0.36034225264467956"/>
  </r>
  <r>
    <x v="653"/>
    <s v="C8788"/>
    <x v="547"/>
    <d v="2020-12-22T00:00:00"/>
    <x v="2"/>
    <x v="2"/>
    <x v="7"/>
    <x v="1"/>
    <x v="539"/>
    <x v="2"/>
    <s v="Machines"/>
    <x v="528"/>
    <n v="486.61"/>
    <n v="58"/>
    <n v="28223.38"/>
    <s v="S791"/>
    <x v="1"/>
    <s v="W3"/>
    <x v="3"/>
    <s v="Maersk"/>
    <s v="Mumbai-Mumbai"/>
    <n v="1807"/>
    <n v="487"/>
    <x v="0"/>
    <n v="20"/>
    <n v="255.05"/>
    <n v="393.12"/>
    <n v="648.17000000000007"/>
    <s v="On-time"/>
    <n v="0"/>
    <n v="95.8"/>
    <n v="412"/>
    <n v="422"/>
    <n v="0.35869950193691202"/>
  </r>
  <r>
    <x v="654"/>
    <s v="C4442"/>
    <x v="449"/>
    <d v="2024-07-01T00:00:00"/>
    <x v="2"/>
    <x v="2"/>
    <x v="1"/>
    <x v="7"/>
    <x v="540"/>
    <x v="2"/>
    <s v="Phones"/>
    <x v="529"/>
    <n v="481.76"/>
    <n v="53"/>
    <n v="25533.279999999999"/>
    <s v="S495"/>
    <x v="0"/>
    <s v="W40"/>
    <x v="2"/>
    <s v="DHL"/>
    <s v="Toronto-Beijing"/>
    <n v="2864"/>
    <n v="482"/>
    <x v="0"/>
    <n v="12"/>
    <n v="1718.96"/>
    <n v="291.57"/>
    <n v="2010.53"/>
    <s v="On-time"/>
    <n v="0"/>
    <n v="71.290000000000006"/>
    <n v="146"/>
    <n v="186"/>
    <n v="0.70200069832402234"/>
  </r>
  <r>
    <x v="655"/>
    <s v="C4147"/>
    <x v="548"/>
    <d v="2024-01-02T00:00:00"/>
    <x v="2"/>
    <x v="1"/>
    <x v="6"/>
    <x v="5"/>
    <x v="507"/>
    <x v="2"/>
    <s v="Phones"/>
    <x v="497"/>
    <n v="97.52"/>
    <n v="26"/>
    <n v="2535.52"/>
    <s v="S504"/>
    <x v="1"/>
    <s v="W42"/>
    <x v="1"/>
    <s v="FedEx"/>
    <s v="Toronto-London"/>
    <n v="1160"/>
    <n v="332"/>
    <x v="0"/>
    <n v="9"/>
    <n v="893.68"/>
    <n v="241.95"/>
    <n v="1135.6300000000001"/>
    <s v="On-time"/>
    <n v="0"/>
    <n v="96.54"/>
    <n v="287"/>
    <n v="243"/>
    <n v="0.97899137931034497"/>
  </r>
  <r>
    <x v="656"/>
    <s v="C5636"/>
    <x v="549"/>
    <d v="2022-10-24T00:00:00"/>
    <x v="2"/>
    <x v="1"/>
    <x v="6"/>
    <x v="7"/>
    <x v="541"/>
    <x v="2"/>
    <s v="Phones"/>
    <x v="530"/>
    <n v="323.66000000000003"/>
    <n v="60"/>
    <n v="19419.600000000002"/>
    <s v="S752"/>
    <x v="3"/>
    <s v="W44"/>
    <x v="3"/>
    <s v="UPS"/>
    <s v="Toronto-New York"/>
    <n v="4472"/>
    <n v="96"/>
    <x v="0"/>
    <n v="25"/>
    <n v="1856.05"/>
    <n v="110.62"/>
    <n v="1966.67"/>
    <s v="On-time"/>
    <n v="0"/>
    <n v="86.12"/>
    <n v="427"/>
    <n v="461"/>
    <n v="0.43977415026833633"/>
  </r>
  <r>
    <x v="657"/>
    <s v="C6534"/>
    <x v="550"/>
    <d v="2022-07-09T00:00:00"/>
    <x v="1"/>
    <x v="2"/>
    <x v="1"/>
    <x v="3"/>
    <x v="12"/>
    <x v="2"/>
    <s v="Phones"/>
    <x v="12"/>
    <n v="124.41"/>
    <n v="69"/>
    <n v="8584.2899999999991"/>
    <s v="S332"/>
    <x v="3"/>
    <s v="W31"/>
    <x v="3"/>
    <s v="Maersk"/>
    <s v="London-Mumbai"/>
    <n v="3496"/>
    <n v="167"/>
    <x v="0"/>
    <n v="11"/>
    <n v="774.91"/>
    <n v="355.77"/>
    <n v="1130.68"/>
    <s v="Delayed"/>
    <n v="9"/>
    <n v="91.18"/>
    <n v="136"/>
    <n v="114"/>
    <n v="0.32342105263157894"/>
  </r>
  <r>
    <x v="658"/>
    <s v="C6542"/>
    <x v="551"/>
    <d v="2024-10-24T00:00:00"/>
    <x v="1"/>
    <x v="3"/>
    <x v="4"/>
    <x v="5"/>
    <x v="542"/>
    <x v="1"/>
    <s v="Chairs"/>
    <x v="531"/>
    <n v="155.05000000000001"/>
    <n v="39"/>
    <n v="6046.9500000000007"/>
    <s v="S835"/>
    <x v="3"/>
    <s v="W29"/>
    <x v="0"/>
    <s v="DHL"/>
    <s v="London-New York"/>
    <n v="3178"/>
    <n v="116"/>
    <x v="0"/>
    <n v="7"/>
    <n v="504.2"/>
    <n v="54.12"/>
    <n v="558.31999999999994"/>
    <s v="On-time"/>
    <n v="0"/>
    <n v="91.08"/>
    <n v="54"/>
    <n v="71"/>
    <n v="0.17568281938325989"/>
  </r>
  <r>
    <x v="659"/>
    <s v="C6376"/>
    <x v="552"/>
    <d v="2020-08-30T00:00:00"/>
    <x v="1"/>
    <x v="3"/>
    <x v="4"/>
    <x v="1"/>
    <x v="543"/>
    <x v="1"/>
    <s v="Chairs"/>
    <x v="532"/>
    <n v="291.41000000000003"/>
    <n v="76"/>
    <n v="22147.160000000003"/>
    <s v="S803"/>
    <x v="0"/>
    <s v="W18"/>
    <x v="3"/>
    <s v="DHL"/>
    <s v="Berlin-Cape Town"/>
    <n v="1623"/>
    <n v="71"/>
    <x v="0"/>
    <n v="27"/>
    <n v="870.17"/>
    <n v="274.69"/>
    <n v="1144.8599999999999"/>
    <s v="On-time"/>
    <n v="0"/>
    <n v="74.44"/>
    <n v="259"/>
    <n v="260"/>
    <n v="0.70539741219963026"/>
  </r>
  <r>
    <x v="660"/>
    <s v="C1615"/>
    <x v="553"/>
    <d v="2022-12-04T00:00:00"/>
    <x v="2"/>
    <x v="4"/>
    <x v="0"/>
    <x v="7"/>
    <x v="544"/>
    <x v="0"/>
    <s v="Binders"/>
    <x v="533"/>
    <n v="458.92"/>
    <n v="76"/>
    <n v="34877.919999999998"/>
    <s v="S341"/>
    <x v="1"/>
    <s v="W12"/>
    <x v="1"/>
    <s v="FedEx"/>
    <s v="Berlin-Berlin"/>
    <n v="3816"/>
    <n v="341"/>
    <x v="0"/>
    <n v="27"/>
    <n v="1651.32"/>
    <n v="251.56"/>
    <n v="1902.88"/>
    <s v="On-time"/>
    <n v="0"/>
    <n v="94.3"/>
    <n v="384"/>
    <n v="421"/>
    <n v="0.49865828092243192"/>
  </r>
  <r>
    <x v="661"/>
    <s v="C2289"/>
    <x v="554"/>
    <d v="2024-01-14T00:00:00"/>
    <x v="2"/>
    <x v="4"/>
    <x v="1"/>
    <x v="0"/>
    <x v="545"/>
    <x v="0"/>
    <s v="Storage"/>
    <x v="534"/>
    <n v="356.58"/>
    <n v="7"/>
    <n v="2496.06"/>
    <s v="S731"/>
    <x v="3"/>
    <s v="W5"/>
    <x v="1"/>
    <s v="DHL"/>
    <s v="Berlin-New York"/>
    <n v="637"/>
    <n v="244"/>
    <x v="0"/>
    <n v="25"/>
    <n v="581.17999999999995"/>
    <n v="452.91"/>
    <n v="1034.0899999999999"/>
    <s v="On-time"/>
    <n v="0"/>
    <n v="92.4"/>
    <n v="304"/>
    <n v="264"/>
    <n v="1.6233751962323391"/>
  </r>
  <r>
    <x v="662"/>
    <s v="C2876"/>
    <x v="555"/>
    <d v="2023-07-23T00:00:00"/>
    <x v="2"/>
    <x v="4"/>
    <x v="4"/>
    <x v="5"/>
    <x v="130"/>
    <x v="0"/>
    <s v="Storage"/>
    <x v="129"/>
    <n v="378.73"/>
    <n v="94"/>
    <n v="35600.620000000003"/>
    <s v="S193"/>
    <x v="1"/>
    <s v="W48"/>
    <x v="1"/>
    <s v="BlueDart"/>
    <s v="Beijing-Berlin"/>
    <n v="165"/>
    <n v="479"/>
    <x v="1"/>
    <n v="13"/>
    <n v="596.32000000000005"/>
    <n v="203.61"/>
    <n v="799.93000000000006"/>
    <s v="On-time"/>
    <n v="0"/>
    <n v="78.69"/>
    <n v="440"/>
    <n v="435"/>
    <n v="4.8480606060606064"/>
  </r>
  <r>
    <x v="663"/>
    <s v="C3739"/>
    <x v="366"/>
    <d v="2022-09-16T00:00:00"/>
    <x v="2"/>
    <x v="0"/>
    <x v="1"/>
    <x v="0"/>
    <x v="546"/>
    <x v="2"/>
    <s v="Accessories"/>
    <x v="535"/>
    <n v="209.16"/>
    <n v="20"/>
    <n v="4183.2"/>
    <s v="S115"/>
    <x v="3"/>
    <s v="W17"/>
    <x v="0"/>
    <s v="FedEx"/>
    <s v="London-Cape Town"/>
    <n v="2903"/>
    <n v="120"/>
    <x v="0"/>
    <n v="20"/>
    <n v="466.95"/>
    <n v="418.85"/>
    <n v="885.8"/>
    <s v="On-time"/>
    <n v="0"/>
    <n v="77.930000000000007"/>
    <n v="424"/>
    <n v="403"/>
    <n v="0.30513262142611092"/>
  </r>
  <r>
    <x v="664"/>
    <s v="C9967"/>
    <x v="556"/>
    <d v="2022-02-10T00:00:00"/>
    <x v="2"/>
    <x v="1"/>
    <x v="7"/>
    <x v="1"/>
    <x v="547"/>
    <x v="2"/>
    <s v="Phones"/>
    <x v="536"/>
    <n v="187.63"/>
    <n v="91"/>
    <n v="17074.329999999998"/>
    <s v="S439"/>
    <x v="0"/>
    <s v="W2"/>
    <x v="2"/>
    <s v="FedEx"/>
    <s v="Beijing-Beijing"/>
    <n v="3549"/>
    <n v="334"/>
    <x v="0"/>
    <n v="3"/>
    <n v="577.17999999999995"/>
    <n v="274.11"/>
    <n v="851.29"/>
    <s v="Delayed"/>
    <n v="3"/>
    <n v="77.08"/>
    <n v="196"/>
    <n v="189"/>
    <n v="0.23986756832910677"/>
  </r>
  <r>
    <x v="665"/>
    <s v="C9509"/>
    <x v="557"/>
    <d v="2023-11-12T00:00:00"/>
    <x v="1"/>
    <x v="0"/>
    <x v="4"/>
    <x v="5"/>
    <x v="548"/>
    <x v="0"/>
    <s v="Art"/>
    <x v="537"/>
    <n v="39.299999999999997"/>
    <n v="43"/>
    <n v="1689.8999999999999"/>
    <s v="S167"/>
    <x v="1"/>
    <s v="W42"/>
    <x v="2"/>
    <s v="UPS"/>
    <s v="New York-London"/>
    <n v="636"/>
    <n v="62"/>
    <x v="0"/>
    <n v="1"/>
    <n v="1087.5899999999999"/>
    <n v="208.36"/>
    <n v="1295.95"/>
    <s v="Delayed"/>
    <n v="9"/>
    <n v="81.02"/>
    <n v="383"/>
    <n v="338"/>
    <n v="2.0376572327044027"/>
  </r>
  <r>
    <x v="666"/>
    <s v="C7119"/>
    <x v="229"/>
    <d v="2022-01-02T00:00:00"/>
    <x v="2"/>
    <x v="2"/>
    <x v="2"/>
    <x v="4"/>
    <x v="549"/>
    <x v="0"/>
    <s v="Supplies"/>
    <x v="538"/>
    <n v="82.17"/>
    <n v="22"/>
    <n v="1807.74"/>
    <s v="S491"/>
    <x v="0"/>
    <s v="W45"/>
    <x v="3"/>
    <s v="DHL"/>
    <s v="Toronto-São Paulo"/>
    <n v="4309"/>
    <n v="422"/>
    <x v="0"/>
    <n v="2"/>
    <n v="1642.18"/>
    <n v="163.80000000000001"/>
    <n v="1805.98"/>
    <s v="Delayed"/>
    <n v="9"/>
    <n v="89.73"/>
    <n v="199"/>
    <n v="178"/>
    <n v="0.41911812485495475"/>
  </r>
  <r>
    <x v="667"/>
    <s v="C4478"/>
    <x v="558"/>
    <d v="2021-09-14T00:00:00"/>
    <x v="2"/>
    <x v="2"/>
    <x v="7"/>
    <x v="6"/>
    <x v="550"/>
    <x v="2"/>
    <s v="Accessories"/>
    <x v="539"/>
    <n v="319.85000000000002"/>
    <n v="48"/>
    <n v="15352.800000000001"/>
    <s v="S246"/>
    <x v="2"/>
    <s v="W23"/>
    <x v="3"/>
    <s v="BlueDart"/>
    <s v="São Paulo-São Paulo"/>
    <n v="1301"/>
    <n v="76"/>
    <x v="0"/>
    <n v="18"/>
    <n v="824.36"/>
    <n v="197.84"/>
    <n v="1022.2"/>
    <s v="On-time"/>
    <n v="0"/>
    <n v="73.709999999999994"/>
    <n v="180"/>
    <n v="202"/>
    <n v="0.78570330514988473"/>
  </r>
  <r>
    <x v="668"/>
    <s v="C8498"/>
    <x v="559"/>
    <d v="2023-09-23T00:00:00"/>
    <x v="2"/>
    <x v="3"/>
    <x v="3"/>
    <x v="7"/>
    <x v="551"/>
    <x v="1"/>
    <s v="Furnishings"/>
    <x v="540"/>
    <n v="133.22999999999999"/>
    <n v="62"/>
    <n v="8260.26"/>
    <s v="S653"/>
    <x v="2"/>
    <s v="W14"/>
    <x v="3"/>
    <s v="FedEx"/>
    <s v="São Paulo-Cape Town"/>
    <n v="4556"/>
    <n v="339"/>
    <x v="0"/>
    <n v="16"/>
    <n v="1659.81"/>
    <n v="120.29"/>
    <n v="1780.1"/>
    <s v="On-time"/>
    <n v="0"/>
    <n v="98.76"/>
    <n v="444"/>
    <n v="395"/>
    <n v="0.39071553994732217"/>
  </r>
  <r>
    <x v="669"/>
    <s v="C4371"/>
    <x v="560"/>
    <d v="2021-08-25T00:00:00"/>
    <x v="2"/>
    <x v="1"/>
    <x v="0"/>
    <x v="4"/>
    <x v="552"/>
    <x v="1"/>
    <s v="Tables"/>
    <x v="541"/>
    <n v="394.41"/>
    <n v="37"/>
    <n v="14593.17"/>
    <s v="S557"/>
    <x v="0"/>
    <s v="W44"/>
    <x v="1"/>
    <s v="BlueDart"/>
    <s v="Beijing-Berlin"/>
    <n v="807"/>
    <n v="192"/>
    <x v="0"/>
    <n v="10"/>
    <n v="1712.56"/>
    <n v="99.59"/>
    <n v="1812.15"/>
    <s v="On-time"/>
    <n v="0"/>
    <n v="88.49"/>
    <n v="267"/>
    <n v="236"/>
    <n v="2.2455390334572494"/>
  </r>
  <r>
    <x v="670"/>
    <s v="C1374"/>
    <x v="561"/>
    <d v="2022-02-21T00:00:00"/>
    <x v="0"/>
    <x v="1"/>
    <x v="4"/>
    <x v="5"/>
    <x v="553"/>
    <x v="0"/>
    <s v="Art"/>
    <x v="542"/>
    <n v="303.42"/>
    <n v="16"/>
    <n v="4854.72"/>
    <s v="S707"/>
    <x v="1"/>
    <s v="W9"/>
    <x v="1"/>
    <s v="DHL"/>
    <s v="Toronto-Mumbai"/>
    <n v="814"/>
    <n v="224"/>
    <x v="0"/>
    <n v="27"/>
    <n v="762.14"/>
    <n v="384.4"/>
    <n v="1146.54"/>
    <s v="On-time"/>
    <n v="0"/>
    <n v="93.93"/>
    <n v="336"/>
    <n v="377"/>
    <n v="1.4085257985257984"/>
  </r>
  <r>
    <x v="671"/>
    <s v="C1774"/>
    <x v="368"/>
    <d v="2023-04-27T00:00:00"/>
    <x v="2"/>
    <x v="2"/>
    <x v="3"/>
    <x v="0"/>
    <x v="4"/>
    <x v="0"/>
    <s v="Art"/>
    <x v="4"/>
    <n v="134.91999999999999"/>
    <n v="8"/>
    <n v="1079.3599999999999"/>
    <s v="S645"/>
    <x v="3"/>
    <s v="W3"/>
    <x v="0"/>
    <s v="FedEx"/>
    <s v="São Paulo-Beijing"/>
    <n v="3687"/>
    <n v="459"/>
    <x v="0"/>
    <n v="1"/>
    <n v="551.12"/>
    <n v="209.74"/>
    <n v="760.86"/>
    <s v="On-time"/>
    <n v="0"/>
    <n v="94.24"/>
    <n v="352"/>
    <n v="388"/>
    <n v="0.20636289666395444"/>
  </r>
  <r>
    <x v="672"/>
    <s v="C9526"/>
    <x v="562"/>
    <d v="2020-10-09T00:00:00"/>
    <x v="2"/>
    <x v="1"/>
    <x v="1"/>
    <x v="0"/>
    <x v="554"/>
    <x v="2"/>
    <s v="Phones"/>
    <x v="543"/>
    <n v="237.43"/>
    <n v="14"/>
    <n v="3324.02"/>
    <s v="S432"/>
    <x v="1"/>
    <s v="W13"/>
    <x v="2"/>
    <s v="BlueDart"/>
    <s v="São Paulo-Beijing"/>
    <n v="1960"/>
    <n v="181"/>
    <x v="0"/>
    <n v="9"/>
    <n v="1343.01"/>
    <n v="243.8"/>
    <n v="1586.81"/>
    <s v="On-time"/>
    <n v="0"/>
    <n v="72.150000000000006"/>
    <n v="222"/>
    <n v="212"/>
    <n v="0.8095969387755102"/>
  </r>
  <r>
    <x v="673"/>
    <s v="C9954"/>
    <x v="563"/>
    <d v="2023-11-25T00:00:00"/>
    <x v="0"/>
    <x v="4"/>
    <x v="7"/>
    <x v="0"/>
    <x v="288"/>
    <x v="1"/>
    <s v="Tables"/>
    <x v="285"/>
    <n v="240.85"/>
    <n v="91"/>
    <n v="21917.35"/>
    <s v="S964"/>
    <x v="4"/>
    <s v="W36"/>
    <x v="0"/>
    <s v="UPS"/>
    <s v="Mumbai-Mumbai"/>
    <n v="3454"/>
    <n v="226"/>
    <x v="0"/>
    <n v="25"/>
    <n v="1826.94"/>
    <n v="357.49"/>
    <n v="2184.4299999999998"/>
    <s v="On-time"/>
    <n v="0"/>
    <n v="74.239999999999995"/>
    <n v="150"/>
    <n v="195"/>
    <n v="0.63243485813549505"/>
  </r>
  <r>
    <x v="674"/>
    <s v="C9430"/>
    <x v="564"/>
    <d v="2024-07-26T00:00:00"/>
    <x v="2"/>
    <x v="0"/>
    <x v="3"/>
    <x v="6"/>
    <x v="73"/>
    <x v="0"/>
    <s v="Storage"/>
    <x v="72"/>
    <n v="282.7"/>
    <n v="41"/>
    <n v="11590.699999999999"/>
    <s v="S269"/>
    <x v="1"/>
    <s v="W5"/>
    <x v="1"/>
    <s v="Maersk"/>
    <s v="São Paulo-Berlin"/>
    <n v="930"/>
    <n v="76"/>
    <x v="0"/>
    <n v="6"/>
    <n v="1353.78"/>
    <n v="258.94"/>
    <n v="1612.72"/>
    <s v="On-time"/>
    <n v="0"/>
    <n v="79.28"/>
    <n v="235"/>
    <n v="219"/>
    <n v="1.7341075268817205"/>
  </r>
  <r>
    <x v="675"/>
    <s v="C4102"/>
    <x v="565"/>
    <d v="2022-05-08T00:00:00"/>
    <x v="1"/>
    <x v="3"/>
    <x v="7"/>
    <x v="2"/>
    <x v="391"/>
    <x v="2"/>
    <s v="Accessories"/>
    <x v="386"/>
    <n v="40.340000000000003"/>
    <n v="15"/>
    <n v="605.1"/>
    <s v="S959"/>
    <x v="3"/>
    <s v="W3"/>
    <x v="0"/>
    <s v="UPS"/>
    <s v="London-Cape Town"/>
    <n v="1330"/>
    <n v="198"/>
    <x v="0"/>
    <n v="15"/>
    <n v="1286.5899999999999"/>
    <n v="123.66"/>
    <n v="1410.25"/>
    <s v="On-time"/>
    <n v="0"/>
    <n v="77.61"/>
    <n v="195"/>
    <n v="159"/>
    <n v="1.0603383458646616"/>
  </r>
  <r>
    <x v="676"/>
    <s v="C9186"/>
    <x v="189"/>
    <d v="2023-11-04T00:00:00"/>
    <x v="0"/>
    <x v="3"/>
    <x v="1"/>
    <x v="1"/>
    <x v="364"/>
    <x v="1"/>
    <s v="Chairs"/>
    <x v="359"/>
    <n v="10.039999999999999"/>
    <n v="51"/>
    <n v="512.04"/>
    <s v="S508"/>
    <x v="1"/>
    <s v="W12"/>
    <x v="3"/>
    <s v="Maersk"/>
    <s v="São Paulo-Mumbai"/>
    <n v="1153"/>
    <n v="348"/>
    <x v="0"/>
    <n v="10"/>
    <n v="1298.67"/>
    <n v="280.16000000000003"/>
    <n v="1578.83"/>
    <s v="On-time"/>
    <n v="0"/>
    <n v="85.9"/>
    <n v="282"/>
    <n v="280"/>
    <n v="1.3693235039028619"/>
  </r>
  <r>
    <x v="677"/>
    <s v="C5918"/>
    <x v="566"/>
    <d v="2024-10-10T00:00:00"/>
    <x v="2"/>
    <x v="1"/>
    <x v="7"/>
    <x v="2"/>
    <x v="555"/>
    <x v="0"/>
    <s v="Binders"/>
    <x v="544"/>
    <n v="241.72"/>
    <n v="35"/>
    <n v="8460.2000000000007"/>
    <s v="S975"/>
    <x v="4"/>
    <s v="W43"/>
    <x v="2"/>
    <s v="DHL"/>
    <s v="São Paulo-Beijing"/>
    <n v="149"/>
    <n v="288"/>
    <x v="1"/>
    <n v="4"/>
    <n v="1241.0999999999999"/>
    <n v="147.41999999999999"/>
    <n v="1388.52"/>
    <s v="On-time"/>
    <n v="0"/>
    <n v="89.31"/>
    <n v="368"/>
    <n v="380"/>
    <n v="9.3189261744966441"/>
  </r>
  <r>
    <x v="678"/>
    <s v="C3673"/>
    <x v="567"/>
    <d v="2024-02-20T00:00:00"/>
    <x v="2"/>
    <x v="1"/>
    <x v="2"/>
    <x v="7"/>
    <x v="89"/>
    <x v="0"/>
    <s v="Binders"/>
    <x v="88"/>
    <n v="134.72"/>
    <n v="66"/>
    <n v="8891.52"/>
    <s v="S270"/>
    <x v="4"/>
    <s v="W5"/>
    <x v="3"/>
    <s v="BlueDart"/>
    <s v="London-New York"/>
    <n v="2111"/>
    <n v="241"/>
    <x v="0"/>
    <n v="17"/>
    <n v="518.37"/>
    <n v="327.12"/>
    <n v="845.49"/>
    <s v="On-time"/>
    <n v="0"/>
    <n v="84.41"/>
    <n v="364"/>
    <n v="363"/>
    <n v="0.40051634296541921"/>
  </r>
  <r>
    <x v="679"/>
    <s v="C2048"/>
    <x v="568"/>
    <d v="2020-09-23T00:00:00"/>
    <x v="2"/>
    <x v="3"/>
    <x v="1"/>
    <x v="1"/>
    <x v="556"/>
    <x v="0"/>
    <s v="Fasteners"/>
    <x v="84"/>
    <n v="289.66000000000003"/>
    <n v="85"/>
    <n v="24621.100000000002"/>
    <s v="S769"/>
    <x v="4"/>
    <s v="W37"/>
    <x v="1"/>
    <s v="FedEx"/>
    <s v="Berlin-New York"/>
    <n v="617"/>
    <n v="96"/>
    <x v="0"/>
    <n v="15"/>
    <n v="340.7"/>
    <n v="68.41"/>
    <n v="409.11"/>
    <s v="On-time"/>
    <n v="0"/>
    <n v="92.98"/>
    <n v="412"/>
    <n v="386"/>
    <n v="0.66306320907617511"/>
  </r>
  <r>
    <x v="680"/>
    <s v="C5154"/>
    <x v="569"/>
    <d v="2021-01-06T00:00:00"/>
    <x v="2"/>
    <x v="0"/>
    <x v="2"/>
    <x v="5"/>
    <x v="557"/>
    <x v="0"/>
    <s v="Paper"/>
    <x v="545"/>
    <n v="458.84"/>
    <n v="17"/>
    <n v="7800.28"/>
    <s v="S952"/>
    <x v="0"/>
    <s v="W5"/>
    <x v="1"/>
    <s v="DHL"/>
    <s v="London-New York"/>
    <n v="1149"/>
    <n v="161"/>
    <x v="0"/>
    <n v="22"/>
    <n v="824.68"/>
    <n v="475.25"/>
    <n v="1299.93"/>
    <s v="On-time"/>
    <n v="0"/>
    <n v="75"/>
    <n v="495"/>
    <n v="467"/>
    <n v="1.1313577023498695"/>
  </r>
  <r>
    <x v="681"/>
    <s v="C3564"/>
    <x v="570"/>
    <d v="2020-12-07T00:00:00"/>
    <x v="2"/>
    <x v="3"/>
    <x v="3"/>
    <x v="6"/>
    <x v="558"/>
    <x v="0"/>
    <s v="Paper"/>
    <x v="546"/>
    <n v="231.96"/>
    <n v="90"/>
    <n v="20876.400000000001"/>
    <s v="S988"/>
    <x v="1"/>
    <s v="W11"/>
    <x v="0"/>
    <s v="Maersk"/>
    <s v="Berlin-São Paulo"/>
    <n v="2695"/>
    <n v="240"/>
    <x v="0"/>
    <n v="25"/>
    <n v="1011.7"/>
    <n v="339.39"/>
    <n v="1351.09"/>
    <s v="On-time"/>
    <n v="0"/>
    <n v="83.94"/>
    <n v="243"/>
    <n v="222"/>
    <n v="0.50133209647495358"/>
  </r>
  <r>
    <x v="682"/>
    <s v="C4633"/>
    <x v="571"/>
    <d v="2024-01-10T00:00:00"/>
    <x v="2"/>
    <x v="4"/>
    <x v="6"/>
    <x v="7"/>
    <x v="559"/>
    <x v="0"/>
    <s v="Art"/>
    <x v="547"/>
    <n v="122.06"/>
    <n v="45"/>
    <n v="5492.7"/>
    <s v="S760"/>
    <x v="1"/>
    <s v="W11"/>
    <x v="2"/>
    <s v="FedEx"/>
    <s v="Cape Town-São Paulo"/>
    <n v="1933"/>
    <n v="457"/>
    <x v="0"/>
    <n v="18"/>
    <n v="1001.18"/>
    <n v="75.69"/>
    <n v="1076.8699999999999"/>
    <s v="On-time"/>
    <n v="0"/>
    <n v="79.180000000000007"/>
    <n v="240"/>
    <n v="205"/>
    <n v="0.55709777547853068"/>
  </r>
  <r>
    <x v="683"/>
    <s v="C9119"/>
    <x v="572"/>
    <d v="2024-08-19T00:00:00"/>
    <x v="2"/>
    <x v="2"/>
    <x v="5"/>
    <x v="7"/>
    <x v="560"/>
    <x v="0"/>
    <s v="Binders"/>
    <x v="548"/>
    <n v="357.66"/>
    <n v="88"/>
    <n v="31474.080000000002"/>
    <s v="S222"/>
    <x v="2"/>
    <s v="W36"/>
    <x v="1"/>
    <s v="Maersk"/>
    <s v="São Paulo-New York"/>
    <n v="4334"/>
    <n v="459"/>
    <x v="0"/>
    <n v="8"/>
    <n v="1230.2"/>
    <n v="145.69999999999999"/>
    <n v="1375.9"/>
    <s v="On-time"/>
    <n v="0"/>
    <n v="94.28"/>
    <n v="186"/>
    <n v="216"/>
    <n v="0.3174665436086756"/>
  </r>
  <r>
    <x v="684"/>
    <s v="C1087"/>
    <x v="52"/>
    <d v="2023-08-12T00:00:00"/>
    <x v="1"/>
    <x v="1"/>
    <x v="0"/>
    <x v="6"/>
    <x v="561"/>
    <x v="0"/>
    <s v="Art"/>
    <x v="549"/>
    <n v="355.08"/>
    <n v="6"/>
    <n v="2130.48"/>
    <s v="S434"/>
    <x v="0"/>
    <s v="W5"/>
    <x v="2"/>
    <s v="BlueDart"/>
    <s v="New York-London"/>
    <n v="4788"/>
    <n v="167"/>
    <x v="0"/>
    <n v="28"/>
    <n v="97.83"/>
    <n v="95.62"/>
    <n v="193.45"/>
    <s v="On-time"/>
    <n v="0"/>
    <n v="93.93"/>
    <n v="293"/>
    <n v="276"/>
    <n v="4.0403091060985795E-2"/>
  </r>
  <r>
    <x v="685"/>
    <s v="C3301"/>
    <x v="327"/>
    <d v="2023-03-04T00:00:00"/>
    <x v="0"/>
    <x v="4"/>
    <x v="0"/>
    <x v="2"/>
    <x v="141"/>
    <x v="0"/>
    <s v="Art"/>
    <x v="140"/>
    <n v="412.51"/>
    <n v="37"/>
    <n v="15262.869999999999"/>
    <s v="S866"/>
    <x v="0"/>
    <s v="W39"/>
    <x v="1"/>
    <s v="FedEx"/>
    <s v="Berlin-Toronto"/>
    <n v="1360"/>
    <n v="395"/>
    <x v="0"/>
    <n v="20"/>
    <n v="1179.82"/>
    <n v="122.48"/>
    <n v="1302.3"/>
    <s v="On-time"/>
    <n v="0"/>
    <n v="77.959999999999994"/>
    <n v="488"/>
    <n v="531"/>
    <n v="0.95757352941176466"/>
  </r>
  <r>
    <x v="686"/>
    <s v="C2936"/>
    <x v="573"/>
    <d v="2024-02-21T00:00:00"/>
    <x v="2"/>
    <x v="0"/>
    <x v="0"/>
    <x v="4"/>
    <x v="562"/>
    <x v="0"/>
    <s v="Art"/>
    <x v="550"/>
    <n v="319.37"/>
    <n v="96"/>
    <n v="30659.52"/>
    <s v="S464"/>
    <x v="4"/>
    <s v="W20"/>
    <x v="3"/>
    <s v="FedEx"/>
    <s v="Mumbai-Mumbai"/>
    <n v="3102"/>
    <n v="447"/>
    <x v="0"/>
    <n v="11"/>
    <n v="635.20000000000005"/>
    <n v="98.26"/>
    <n v="733.46"/>
    <s v="On-time"/>
    <n v="0"/>
    <n v="70.02"/>
    <n v="297"/>
    <n v="308"/>
    <n v="0.23644745325596392"/>
  </r>
  <r>
    <x v="687"/>
    <s v="C3066"/>
    <x v="574"/>
    <d v="2023-08-08T00:00:00"/>
    <x v="1"/>
    <x v="4"/>
    <x v="0"/>
    <x v="7"/>
    <x v="563"/>
    <x v="0"/>
    <s v="Binders"/>
    <x v="551"/>
    <n v="140.46"/>
    <n v="59"/>
    <n v="8287.1400000000012"/>
    <s v="S297"/>
    <x v="0"/>
    <s v="W29"/>
    <x v="2"/>
    <s v="FedEx"/>
    <s v="London-Berlin"/>
    <n v="2150"/>
    <n v="351"/>
    <x v="0"/>
    <n v="28"/>
    <n v="56.14"/>
    <n v="237.94"/>
    <n v="294.08"/>
    <s v="On-time"/>
    <n v="0"/>
    <n v="87.74"/>
    <n v="322"/>
    <n v="353"/>
    <n v="0.13678139534883721"/>
  </r>
  <r>
    <x v="688"/>
    <s v="C7763"/>
    <x v="427"/>
    <d v="2024-10-24T00:00:00"/>
    <x v="2"/>
    <x v="2"/>
    <x v="0"/>
    <x v="5"/>
    <x v="564"/>
    <x v="0"/>
    <s v="Binders"/>
    <x v="552"/>
    <n v="93.55"/>
    <n v="84"/>
    <n v="7858.2"/>
    <s v="S440"/>
    <x v="4"/>
    <s v="W29"/>
    <x v="1"/>
    <s v="UPS"/>
    <s v="London-Beijing"/>
    <n v="2138"/>
    <n v="343"/>
    <x v="0"/>
    <n v="12"/>
    <n v="717.52"/>
    <n v="341.98"/>
    <n v="1059.5"/>
    <s v="Delayed"/>
    <n v="5"/>
    <n v="98.1"/>
    <n v="379"/>
    <n v="397"/>
    <n v="0.49555659494855003"/>
  </r>
  <r>
    <x v="689"/>
    <s v="C6318"/>
    <x v="575"/>
    <d v="2021-01-16T00:00:00"/>
    <x v="1"/>
    <x v="1"/>
    <x v="6"/>
    <x v="7"/>
    <x v="409"/>
    <x v="0"/>
    <s v="Fasteners"/>
    <x v="84"/>
    <n v="285.3"/>
    <n v="68"/>
    <n v="19400.400000000001"/>
    <s v="S672"/>
    <x v="1"/>
    <s v="W38"/>
    <x v="1"/>
    <s v="BlueDart"/>
    <s v="São Paulo-London"/>
    <n v="1417"/>
    <n v="181"/>
    <x v="0"/>
    <n v="23"/>
    <n v="541.85"/>
    <n v="62.25"/>
    <n v="604.1"/>
    <s v="On-time"/>
    <n v="0"/>
    <n v="88.8"/>
    <n v="324"/>
    <n v="350"/>
    <n v="0.42632321806633733"/>
  </r>
  <r>
    <x v="690"/>
    <s v="C3562"/>
    <x v="232"/>
    <d v="2021-08-27T00:00:00"/>
    <x v="2"/>
    <x v="2"/>
    <x v="4"/>
    <x v="7"/>
    <x v="565"/>
    <x v="0"/>
    <s v="Paper"/>
    <x v="553"/>
    <n v="343.43"/>
    <n v="43"/>
    <n v="14767.49"/>
    <s v="S380"/>
    <x v="1"/>
    <s v="W15"/>
    <x v="3"/>
    <s v="BlueDart"/>
    <s v="São Paulo-Toronto"/>
    <n v="2803"/>
    <n v="89"/>
    <x v="0"/>
    <n v="29"/>
    <n v="785.64"/>
    <n v="332.78"/>
    <n v="1118.42"/>
    <s v="On-time"/>
    <n v="0"/>
    <n v="72.790000000000006"/>
    <n v="113"/>
    <n v="131"/>
    <n v="0.39900820549411348"/>
  </r>
  <r>
    <x v="691"/>
    <s v="C7083"/>
    <x v="418"/>
    <d v="2024-12-27T00:00:00"/>
    <x v="2"/>
    <x v="0"/>
    <x v="7"/>
    <x v="5"/>
    <x v="11"/>
    <x v="0"/>
    <s v="Paper"/>
    <x v="11"/>
    <n v="424.16"/>
    <n v="17"/>
    <n v="7210.72"/>
    <s v="S826"/>
    <x v="2"/>
    <s v="W28"/>
    <x v="1"/>
    <s v="Maersk"/>
    <s v="New York-Cape Town"/>
    <n v="3035"/>
    <n v="455"/>
    <x v="0"/>
    <n v="27"/>
    <n v="521.45000000000005"/>
    <n v="460.31"/>
    <n v="981.76"/>
    <s v="On-time"/>
    <n v="0"/>
    <n v="92.95"/>
    <n v="70"/>
    <n v="83"/>
    <n v="0.32347940691927513"/>
  </r>
  <r>
    <x v="692"/>
    <s v="C6352"/>
    <x v="576"/>
    <d v="2022-10-01T00:00:00"/>
    <x v="2"/>
    <x v="0"/>
    <x v="7"/>
    <x v="1"/>
    <x v="566"/>
    <x v="0"/>
    <s v="Binders"/>
    <x v="554"/>
    <n v="38.67"/>
    <n v="54"/>
    <n v="2088.1800000000003"/>
    <s v="S544"/>
    <x v="2"/>
    <s v="W9"/>
    <x v="0"/>
    <s v="BlueDart"/>
    <s v="São Paulo-Beijing"/>
    <n v="192"/>
    <n v="188"/>
    <x v="0"/>
    <n v="11"/>
    <n v="614.74"/>
    <n v="460.63"/>
    <n v="1075.3699999999999"/>
    <s v="On-time"/>
    <n v="0"/>
    <n v="98.82"/>
    <n v="333"/>
    <n v="382"/>
    <n v="5.6008854166666664"/>
  </r>
  <r>
    <x v="693"/>
    <s v="C7354"/>
    <x v="399"/>
    <d v="2021-04-10T00:00:00"/>
    <x v="2"/>
    <x v="2"/>
    <x v="6"/>
    <x v="5"/>
    <x v="567"/>
    <x v="0"/>
    <s v="Binders"/>
    <x v="555"/>
    <n v="278.05"/>
    <n v="29"/>
    <n v="8063.4500000000007"/>
    <s v="S811"/>
    <x v="4"/>
    <s v="W44"/>
    <x v="3"/>
    <s v="DHL"/>
    <s v="New York-Mumbai"/>
    <n v="3021"/>
    <n v="358"/>
    <x v="0"/>
    <n v="17"/>
    <n v="247.57"/>
    <n v="250.13"/>
    <n v="497.7"/>
    <s v="On-time"/>
    <n v="0"/>
    <n v="74.709999999999994"/>
    <n v="211"/>
    <n v="238"/>
    <n v="0.16474677259185699"/>
  </r>
  <r>
    <x v="694"/>
    <s v="C8006"/>
    <x v="577"/>
    <d v="2022-10-04T00:00:00"/>
    <x v="2"/>
    <x v="3"/>
    <x v="7"/>
    <x v="2"/>
    <x v="568"/>
    <x v="2"/>
    <s v="Phones"/>
    <x v="556"/>
    <n v="385.4"/>
    <n v="57"/>
    <n v="21967.8"/>
    <s v="S708"/>
    <x v="1"/>
    <s v="W8"/>
    <x v="3"/>
    <s v="UPS"/>
    <s v="New York-Mumbai"/>
    <n v="751"/>
    <n v="102"/>
    <x v="0"/>
    <n v="4"/>
    <n v="1987.37"/>
    <n v="384.01"/>
    <n v="2371.38"/>
    <s v="On-time"/>
    <n v="0"/>
    <n v="78.540000000000006"/>
    <n v="295"/>
    <n v="327"/>
    <n v="3.1576298268974701"/>
  </r>
  <r>
    <x v="695"/>
    <s v="C5001"/>
    <x v="578"/>
    <d v="2023-09-12T00:00:00"/>
    <x v="2"/>
    <x v="0"/>
    <x v="7"/>
    <x v="5"/>
    <x v="394"/>
    <x v="0"/>
    <s v="Art"/>
    <x v="389"/>
    <n v="223.43"/>
    <n v="71"/>
    <n v="15863.53"/>
    <s v="S691"/>
    <x v="0"/>
    <s v="W3"/>
    <x v="0"/>
    <s v="Maersk"/>
    <s v="Berlin-New York"/>
    <n v="1460"/>
    <n v="486"/>
    <x v="0"/>
    <n v="9"/>
    <n v="1891.96"/>
    <n v="494.16"/>
    <n v="2386.12"/>
    <s v="On-time"/>
    <n v="0"/>
    <n v="70.52"/>
    <n v="303"/>
    <n v="262"/>
    <n v="1.6343287671232876"/>
  </r>
  <r>
    <x v="696"/>
    <s v="C4842"/>
    <x v="492"/>
    <d v="2022-02-25T00:00:00"/>
    <x v="2"/>
    <x v="1"/>
    <x v="0"/>
    <x v="4"/>
    <x v="569"/>
    <x v="2"/>
    <s v="Phones"/>
    <x v="557"/>
    <n v="392.82"/>
    <n v="19"/>
    <n v="7463.58"/>
    <s v="S266"/>
    <x v="4"/>
    <s v="W46"/>
    <x v="0"/>
    <s v="Maersk"/>
    <s v="Mumbai-Berlin"/>
    <n v="1252"/>
    <n v="184"/>
    <x v="0"/>
    <n v="29"/>
    <n v="1819.46"/>
    <n v="383.08"/>
    <n v="2202.54"/>
    <s v="On-time"/>
    <n v="0"/>
    <n v="99.35"/>
    <n v="455"/>
    <n v="498"/>
    <n v="1.759217252396166"/>
  </r>
  <r>
    <x v="697"/>
    <s v="C3953"/>
    <x v="579"/>
    <d v="2022-12-04T00:00:00"/>
    <x v="0"/>
    <x v="0"/>
    <x v="1"/>
    <x v="6"/>
    <x v="38"/>
    <x v="0"/>
    <s v="Appliances"/>
    <x v="38"/>
    <n v="347.54"/>
    <n v="90"/>
    <n v="31278.600000000002"/>
    <s v="S252"/>
    <x v="1"/>
    <s v="W18"/>
    <x v="0"/>
    <s v="FedEx"/>
    <s v="Beijing-New York"/>
    <n v="745"/>
    <n v="132"/>
    <x v="0"/>
    <n v="25"/>
    <n v="1759.93"/>
    <n v="412.56"/>
    <n v="2172.4899999999998"/>
    <s v="Delayed"/>
    <n v="12"/>
    <n v="83.48"/>
    <n v="444"/>
    <n v="434"/>
    <n v="2.9160939597315432"/>
  </r>
  <r>
    <x v="698"/>
    <s v="C1879"/>
    <x v="580"/>
    <d v="2022-11-11T00:00:00"/>
    <x v="2"/>
    <x v="3"/>
    <x v="3"/>
    <x v="6"/>
    <x v="260"/>
    <x v="0"/>
    <s v="Binders"/>
    <x v="258"/>
    <n v="338.79"/>
    <n v="12"/>
    <n v="4065.4800000000005"/>
    <s v="S820"/>
    <x v="0"/>
    <s v="W15"/>
    <x v="3"/>
    <s v="FedEx"/>
    <s v="New York-Toronto"/>
    <n v="230"/>
    <n v="427"/>
    <x v="1"/>
    <n v="26"/>
    <n v="1020.87"/>
    <n v="49.4"/>
    <n v="1070.27"/>
    <s v="On-time"/>
    <n v="0"/>
    <n v="92.74"/>
    <n v="101"/>
    <n v="90"/>
    <n v="4.6533478260869563"/>
  </r>
  <r>
    <x v="699"/>
    <s v="C6987"/>
    <x v="581"/>
    <d v="2021-04-26T00:00:00"/>
    <x v="1"/>
    <x v="0"/>
    <x v="0"/>
    <x v="2"/>
    <x v="292"/>
    <x v="0"/>
    <s v="Paper"/>
    <x v="289"/>
    <n v="444.27"/>
    <n v="53"/>
    <n v="23546.309999999998"/>
    <s v="S488"/>
    <x v="1"/>
    <s v="W19"/>
    <x v="1"/>
    <s v="FedEx"/>
    <s v="São Paulo-Mumbai"/>
    <n v="3111"/>
    <n v="239"/>
    <x v="0"/>
    <n v="20"/>
    <n v="1509.59"/>
    <n v="385.18"/>
    <n v="1894.77"/>
    <s v="On-time"/>
    <n v="0"/>
    <n v="93.24"/>
    <n v="186"/>
    <n v="215"/>
    <n v="0.60905496624879463"/>
  </r>
  <r>
    <x v="700"/>
    <s v="C5868"/>
    <x v="21"/>
    <d v="2021-11-08T00:00:00"/>
    <x v="0"/>
    <x v="0"/>
    <x v="5"/>
    <x v="6"/>
    <x v="570"/>
    <x v="0"/>
    <s v="Paper"/>
    <x v="558"/>
    <n v="91.73"/>
    <n v="12"/>
    <n v="1100.76"/>
    <s v="S997"/>
    <x v="3"/>
    <s v="W4"/>
    <x v="1"/>
    <s v="FedEx"/>
    <s v="Beijing-Cape Town"/>
    <n v="1434"/>
    <n v="332"/>
    <x v="0"/>
    <n v="17"/>
    <n v="1157.67"/>
    <n v="469.65"/>
    <n v="1627.32"/>
    <s v="On-time"/>
    <n v="0"/>
    <n v="76.239999999999995"/>
    <n v="327"/>
    <n v="335"/>
    <n v="1.1348117154811714"/>
  </r>
  <r>
    <x v="701"/>
    <s v="C6914"/>
    <x v="582"/>
    <d v="2023-10-05T00:00:00"/>
    <x v="2"/>
    <x v="0"/>
    <x v="0"/>
    <x v="3"/>
    <x v="571"/>
    <x v="1"/>
    <s v="Furnishings"/>
    <x v="559"/>
    <n v="152.71"/>
    <n v="93"/>
    <n v="14202.03"/>
    <s v="S821"/>
    <x v="1"/>
    <s v="W26"/>
    <x v="1"/>
    <s v="DHL"/>
    <s v="São Paulo-London"/>
    <n v="4501"/>
    <n v="220"/>
    <x v="0"/>
    <n v="3"/>
    <n v="416.38"/>
    <n v="34.200000000000003"/>
    <n v="450.58"/>
    <s v="On-time"/>
    <n v="0"/>
    <n v="71.28"/>
    <n v="88"/>
    <n v="99"/>
    <n v="0.10010664296822928"/>
  </r>
  <r>
    <x v="702"/>
    <s v="C3562"/>
    <x v="583"/>
    <d v="2024-05-19T00:00:00"/>
    <x v="2"/>
    <x v="0"/>
    <x v="0"/>
    <x v="6"/>
    <x v="262"/>
    <x v="1"/>
    <s v="Furnishings"/>
    <x v="260"/>
    <n v="86.46"/>
    <n v="4"/>
    <n v="345.84"/>
    <s v="S680"/>
    <x v="0"/>
    <s v="W31"/>
    <x v="3"/>
    <s v="BlueDart"/>
    <s v="São Paulo-London"/>
    <n v="1684"/>
    <n v="481"/>
    <x v="0"/>
    <n v="4"/>
    <n v="1512.51"/>
    <n v="200.92"/>
    <n v="1713.43"/>
    <s v="On-time"/>
    <n v="0"/>
    <n v="89.71"/>
    <n v="249"/>
    <n v="242"/>
    <n v="1.0174762470308789"/>
  </r>
  <r>
    <x v="703"/>
    <s v="C4755"/>
    <x v="584"/>
    <d v="2020-05-14T00:00:00"/>
    <x v="2"/>
    <x v="3"/>
    <x v="7"/>
    <x v="5"/>
    <x v="502"/>
    <x v="0"/>
    <s v="Art"/>
    <x v="492"/>
    <n v="247.03"/>
    <n v="81"/>
    <n v="20009.43"/>
    <s v="S147"/>
    <x v="3"/>
    <s v="W34"/>
    <x v="0"/>
    <s v="Maersk"/>
    <s v="Berlin-Toronto"/>
    <n v="724"/>
    <n v="475"/>
    <x v="0"/>
    <n v="28"/>
    <n v="796.86"/>
    <n v="19.55"/>
    <n v="816.41"/>
    <s v="On-time"/>
    <n v="0"/>
    <n v="95.94"/>
    <n v="245"/>
    <n v="251"/>
    <n v="1.1276381215469613"/>
  </r>
  <r>
    <x v="704"/>
    <s v="C2590"/>
    <x v="585"/>
    <d v="2024-07-26T00:00:00"/>
    <x v="2"/>
    <x v="3"/>
    <x v="6"/>
    <x v="3"/>
    <x v="572"/>
    <x v="0"/>
    <s v="Binders"/>
    <x v="560"/>
    <n v="33.39"/>
    <n v="48"/>
    <n v="1602.72"/>
    <s v="S706"/>
    <x v="1"/>
    <s v="W46"/>
    <x v="0"/>
    <s v="FedEx"/>
    <s v="Toronto-São Paulo"/>
    <n v="1342"/>
    <n v="491"/>
    <x v="0"/>
    <n v="12"/>
    <n v="762.39"/>
    <n v="236.05"/>
    <n v="998.44"/>
    <s v="On-time"/>
    <n v="0"/>
    <n v="71.260000000000005"/>
    <n v="267"/>
    <n v="222"/>
    <n v="0.74399403874813719"/>
  </r>
  <r>
    <x v="705"/>
    <s v="C7085"/>
    <x v="210"/>
    <d v="2021-03-18T00:00:00"/>
    <x v="1"/>
    <x v="4"/>
    <x v="4"/>
    <x v="4"/>
    <x v="573"/>
    <x v="0"/>
    <s v="Binders"/>
    <x v="561"/>
    <n v="449.63"/>
    <n v="2"/>
    <n v="899.26"/>
    <s v="S630"/>
    <x v="1"/>
    <s v="W20"/>
    <x v="2"/>
    <s v="FedEx"/>
    <s v="São Paulo-Berlin"/>
    <n v="2043"/>
    <n v="281"/>
    <x v="0"/>
    <n v="4"/>
    <n v="610.55999999999995"/>
    <n v="269.86"/>
    <n v="880.42"/>
    <s v="On-time"/>
    <n v="0"/>
    <n v="75.39"/>
    <n v="204"/>
    <n v="163"/>
    <n v="0.43094468918257461"/>
  </r>
  <r>
    <x v="706"/>
    <s v="C9053"/>
    <x v="586"/>
    <d v="2021-06-06T00:00:00"/>
    <x v="1"/>
    <x v="1"/>
    <x v="1"/>
    <x v="4"/>
    <x v="574"/>
    <x v="0"/>
    <s v="Labels"/>
    <x v="562"/>
    <n v="39.17"/>
    <n v="41"/>
    <n v="1605.97"/>
    <s v="S494"/>
    <x v="1"/>
    <s v="W4"/>
    <x v="3"/>
    <s v="Maersk"/>
    <s v="Beijing-Beijing"/>
    <n v="1020"/>
    <n v="171"/>
    <x v="0"/>
    <n v="6"/>
    <n v="1836.31"/>
    <n v="263.61"/>
    <n v="2099.92"/>
    <s v="Delayed"/>
    <n v="9"/>
    <n v="76.56"/>
    <n v="203"/>
    <n v="221"/>
    <n v="2.0587450980392159"/>
  </r>
  <r>
    <x v="707"/>
    <s v="C1011"/>
    <x v="587"/>
    <d v="2020-01-19T00:00:00"/>
    <x v="2"/>
    <x v="2"/>
    <x v="1"/>
    <x v="3"/>
    <x v="557"/>
    <x v="0"/>
    <s v="Paper"/>
    <x v="545"/>
    <n v="51.25"/>
    <n v="2"/>
    <n v="102.5"/>
    <s v="S408"/>
    <x v="3"/>
    <s v="W38"/>
    <x v="1"/>
    <s v="UPS"/>
    <s v="Beijing-Toronto"/>
    <n v="3006"/>
    <n v="163"/>
    <x v="0"/>
    <n v="15"/>
    <n v="1863.42"/>
    <n v="173.7"/>
    <n v="2037.12"/>
    <s v="On-time"/>
    <n v="0"/>
    <n v="78.650000000000006"/>
    <n v="376"/>
    <n v="365"/>
    <n v="0.67768463073852292"/>
  </r>
  <r>
    <x v="708"/>
    <s v="C2429"/>
    <x v="588"/>
    <d v="2024-10-30T00:00:00"/>
    <x v="2"/>
    <x v="1"/>
    <x v="5"/>
    <x v="2"/>
    <x v="575"/>
    <x v="0"/>
    <s v="Storage"/>
    <x v="563"/>
    <n v="123.98"/>
    <n v="65"/>
    <n v="8058.7"/>
    <s v="S801"/>
    <x v="3"/>
    <s v="W3"/>
    <x v="1"/>
    <s v="BlueDart"/>
    <s v="São Paulo-Toronto"/>
    <n v="163"/>
    <n v="105"/>
    <x v="0"/>
    <n v="7"/>
    <n v="970.37"/>
    <n v="190.58"/>
    <n v="1160.95"/>
    <s v="On-time"/>
    <n v="0"/>
    <n v="79.739999999999995"/>
    <n v="444"/>
    <n v="472"/>
    <n v="7.1223926380368097"/>
  </r>
  <r>
    <x v="709"/>
    <s v="C9378"/>
    <x v="241"/>
    <d v="2020-04-10T00:00:00"/>
    <x v="2"/>
    <x v="3"/>
    <x v="7"/>
    <x v="5"/>
    <x v="576"/>
    <x v="0"/>
    <s v="Storage"/>
    <x v="564"/>
    <n v="444.21"/>
    <n v="3"/>
    <n v="1332.6299999999999"/>
    <s v="S570"/>
    <x v="1"/>
    <s v="W28"/>
    <x v="2"/>
    <s v="BlueDart"/>
    <s v="Beijing-Toronto"/>
    <n v="1903"/>
    <n v="477"/>
    <x v="0"/>
    <n v="19"/>
    <n v="906.1"/>
    <n v="432"/>
    <n v="1338.1"/>
    <s v="On-time"/>
    <n v="0"/>
    <n v="70.27"/>
    <n v="360"/>
    <n v="340"/>
    <n v="0.70315291644771405"/>
  </r>
  <r>
    <x v="710"/>
    <s v="C1647"/>
    <x v="73"/>
    <d v="2021-02-06T00:00:00"/>
    <x v="2"/>
    <x v="1"/>
    <x v="0"/>
    <x v="6"/>
    <x v="577"/>
    <x v="2"/>
    <s v="Accessories"/>
    <x v="565"/>
    <n v="407.33"/>
    <n v="29"/>
    <n v="11812.57"/>
    <s v="S346"/>
    <x v="0"/>
    <s v="W22"/>
    <x v="2"/>
    <s v="FedEx"/>
    <s v="Cape Town-Cape Town"/>
    <n v="119"/>
    <n v="306"/>
    <x v="1"/>
    <n v="3"/>
    <n v="1365.35"/>
    <n v="298.22000000000003"/>
    <n v="1663.57"/>
    <s v="On-time"/>
    <n v="0"/>
    <n v="76.52"/>
    <n v="143"/>
    <n v="187"/>
    <n v="13.979579831932773"/>
  </r>
  <r>
    <x v="711"/>
    <s v="C1856"/>
    <x v="419"/>
    <d v="2020-02-29T00:00:00"/>
    <x v="2"/>
    <x v="3"/>
    <x v="4"/>
    <x v="4"/>
    <x v="578"/>
    <x v="1"/>
    <s v="Chairs"/>
    <x v="566"/>
    <n v="206.34"/>
    <n v="40"/>
    <n v="8253.6"/>
    <s v="S683"/>
    <x v="0"/>
    <s v="W15"/>
    <x v="1"/>
    <s v="BlueDart"/>
    <s v="Mumbai-Berlin"/>
    <n v="1990"/>
    <n v="387"/>
    <x v="0"/>
    <n v="25"/>
    <n v="1423.77"/>
    <n v="310.62"/>
    <n v="1734.39"/>
    <s v="On-time"/>
    <n v="0"/>
    <n v="71.81"/>
    <n v="52"/>
    <n v="88"/>
    <n v="0.87155276381909552"/>
  </r>
  <r>
    <x v="712"/>
    <s v="C8162"/>
    <x v="589"/>
    <d v="2024-06-24T00:00:00"/>
    <x v="1"/>
    <x v="2"/>
    <x v="4"/>
    <x v="0"/>
    <x v="579"/>
    <x v="2"/>
    <s v="Copiers"/>
    <x v="567"/>
    <n v="105.05"/>
    <n v="44"/>
    <n v="4622.2"/>
    <s v="S383"/>
    <x v="4"/>
    <s v="W17"/>
    <x v="3"/>
    <s v="BlueDart"/>
    <s v="Cape Town-Beijing"/>
    <n v="4117"/>
    <n v="479"/>
    <x v="0"/>
    <n v="8"/>
    <n v="1201.5"/>
    <n v="243.26"/>
    <n v="1444.76"/>
    <s v="On-time"/>
    <n v="0"/>
    <n v="84.56"/>
    <n v="64"/>
    <n v="49"/>
    <n v="0.35092543113917901"/>
  </r>
  <r>
    <x v="713"/>
    <s v="C2895"/>
    <x v="590"/>
    <d v="2023-05-28T00:00:00"/>
    <x v="2"/>
    <x v="3"/>
    <x v="6"/>
    <x v="1"/>
    <x v="580"/>
    <x v="1"/>
    <s v="Chairs"/>
    <x v="568"/>
    <n v="448.06"/>
    <n v="63"/>
    <n v="28227.78"/>
    <s v="S439"/>
    <x v="0"/>
    <s v="W32"/>
    <x v="1"/>
    <s v="BlueDart"/>
    <s v="Cape Town-New York"/>
    <n v="168"/>
    <n v="417"/>
    <x v="1"/>
    <n v="13"/>
    <n v="149.76"/>
    <n v="356.28"/>
    <n v="506.04"/>
    <s v="On-time"/>
    <n v="0"/>
    <n v="79.7"/>
    <n v="195"/>
    <n v="194"/>
    <n v="3.0121428571428575"/>
  </r>
  <r>
    <x v="714"/>
    <s v="C3661"/>
    <x v="591"/>
    <d v="2024-09-13T00:00:00"/>
    <x v="2"/>
    <x v="0"/>
    <x v="7"/>
    <x v="7"/>
    <x v="581"/>
    <x v="1"/>
    <s v="Furnishings"/>
    <x v="569"/>
    <n v="282.31"/>
    <n v="88"/>
    <n v="24843.279999999999"/>
    <s v="S920"/>
    <x v="0"/>
    <s v="W32"/>
    <x v="3"/>
    <s v="Maersk"/>
    <s v="Cape Town-London"/>
    <n v="1373"/>
    <n v="483"/>
    <x v="0"/>
    <n v="1"/>
    <n v="687.32"/>
    <n v="176.73"/>
    <n v="864.05000000000007"/>
    <s v="On-time"/>
    <n v="0"/>
    <n v="77.849999999999994"/>
    <n v="336"/>
    <n v="338"/>
    <n v="0.62931536780772035"/>
  </r>
  <r>
    <x v="715"/>
    <s v="C8905"/>
    <x v="354"/>
    <d v="2021-09-29T00:00:00"/>
    <x v="0"/>
    <x v="0"/>
    <x v="1"/>
    <x v="7"/>
    <x v="493"/>
    <x v="1"/>
    <s v="Chairs"/>
    <x v="483"/>
    <n v="17.37"/>
    <n v="18"/>
    <n v="312.66000000000003"/>
    <s v="S596"/>
    <x v="3"/>
    <s v="W42"/>
    <x v="3"/>
    <s v="DHL"/>
    <s v="Beijing-Beijing"/>
    <n v="3696"/>
    <n v="221"/>
    <x v="0"/>
    <n v="12"/>
    <n v="769.9"/>
    <n v="391.29"/>
    <n v="1161.19"/>
    <s v="On-time"/>
    <n v="0"/>
    <n v="74.47"/>
    <n v="188"/>
    <n v="169"/>
    <n v="0.31417478354978357"/>
  </r>
  <r>
    <x v="716"/>
    <s v="C4212"/>
    <x v="592"/>
    <d v="2024-10-02T00:00:00"/>
    <x v="2"/>
    <x v="1"/>
    <x v="4"/>
    <x v="1"/>
    <x v="100"/>
    <x v="1"/>
    <s v="Tables"/>
    <x v="99"/>
    <n v="407.11"/>
    <n v="75"/>
    <n v="30533.25"/>
    <s v="S188"/>
    <x v="1"/>
    <s v="W35"/>
    <x v="0"/>
    <s v="BlueDart"/>
    <s v="Toronto-Mumbai"/>
    <n v="2120"/>
    <n v="94"/>
    <x v="0"/>
    <n v="2"/>
    <n v="1410.11"/>
    <n v="373.17"/>
    <n v="1783.28"/>
    <s v="Delayed"/>
    <n v="3"/>
    <n v="89.15"/>
    <n v="320"/>
    <n v="368"/>
    <n v="0.84116981132075475"/>
  </r>
  <r>
    <x v="717"/>
    <s v="C2181"/>
    <x v="593"/>
    <d v="2023-04-17T00:00:00"/>
    <x v="2"/>
    <x v="4"/>
    <x v="1"/>
    <x v="5"/>
    <x v="214"/>
    <x v="0"/>
    <s v="Binders"/>
    <x v="212"/>
    <n v="99.05"/>
    <n v="11"/>
    <n v="1089.55"/>
    <s v="S280"/>
    <x v="4"/>
    <s v="W9"/>
    <x v="1"/>
    <s v="UPS"/>
    <s v="Mumbai-Beijing"/>
    <n v="811"/>
    <n v="226"/>
    <x v="0"/>
    <n v="6"/>
    <n v="183.85"/>
    <n v="44.22"/>
    <n v="228.07"/>
    <s v="On-time"/>
    <n v="0"/>
    <n v="70.31"/>
    <n v="434"/>
    <n v="406"/>
    <n v="0.28122071516646113"/>
  </r>
  <r>
    <x v="718"/>
    <s v="C3897"/>
    <x v="562"/>
    <d v="2024-02-28T00:00:00"/>
    <x v="2"/>
    <x v="1"/>
    <x v="3"/>
    <x v="5"/>
    <x v="197"/>
    <x v="1"/>
    <s v="Bookcases"/>
    <x v="196"/>
    <n v="259.32"/>
    <n v="86"/>
    <n v="22301.52"/>
    <s v="S896"/>
    <x v="0"/>
    <s v="W29"/>
    <x v="1"/>
    <s v="BlueDart"/>
    <s v="London-New York"/>
    <n v="3606"/>
    <n v="482"/>
    <x v="0"/>
    <n v="15"/>
    <n v="1841.16"/>
    <n v="274.52"/>
    <n v="2115.6799999999998"/>
    <s v="On-time"/>
    <n v="0"/>
    <n v="84.97"/>
    <n v="484"/>
    <n v="502"/>
    <n v="0.58671103716028838"/>
  </r>
  <r>
    <x v="719"/>
    <s v="C7929"/>
    <x v="294"/>
    <d v="2021-08-22T00:00:00"/>
    <x v="2"/>
    <x v="1"/>
    <x v="6"/>
    <x v="7"/>
    <x v="582"/>
    <x v="0"/>
    <s v="Art"/>
    <x v="537"/>
    <n v="93.29"/>
    <n v="77"/>
    <n v="7183.3300000000008"/>
    <s v="S243"/>
    <x v="4"/>
    <s v="W6"/>
    <x v="0"/>
    <s v="BlueDart"/>
    <s v="New York-Mumbai"/>
    <n v="3231"/>
    <n v="64"/>
    <x v="0"/>
    <n v="26"/>
    <n v="1161.1199999999999"/>
    <n v="361.54"/>
    <n v="1522.66"/>
    <s v="On-time"/>
    <n v="0"/>
    <n v="87.19"/>
    <n v="156"/>
    <n v="178"/>
    <n v="0.4712658619622408"/>
  </r>
  <r>
    <x v="720"/>
    <s v="C7966"/>
    <x v="594"/>
    <d v="2024-10-10T00:00:00"/>
    <x v="2"/>
    <x v="0"/>
    <x v="3"/>
    <x v="6"/>
    <x v="583"/>
    <x v="0"/>
    <s v="Binders"/>
    <x v="570"/>
    <n v="467.8"/>
    <n v="15"/>
    <n v="7017"/>
    <s v="S231"/>
    <x v="1"/>
    <s v="W2"/>
    <x v="2"/>
    <s v="UPS"/>
    <s v="London-Beijing"/>
    <n v="3915"/>
    <n v="440"/>
    <x v="0"/>
    <n v="16"/>
    <n v="1259.19"/>
    <n v="124.5"/>
    <n v="1383.69"/>
    <s v="Delayed"/>
    <n v="13"/>
    <n v="71.36"/>
    <n v="461"/>
    <n v="489"/>
    <n v="0.35343295019157089"/>
  </r>
  <r>
    <x v="721"/>
    <s v="C9746"/>
    <x v="595"/>
    <d v="2020-08-22T00:00:00"/>
    <x v="1"/>
    <x v="0"/>
    <x v="7"/>
    <x v="2"/>
    <x v="101"/>
    <x v="0"/>
    <s v="Binders"/>
    <x v="100"/>
    <n v="393.51"/>
    <n v="66"/>
    <n v="25971.66"/>
    <s v="S224"/>
    <x v="2"/>
    <s v="W40"/>
    <x v="0"/>
    <s v="BlueDart"/>
    <s v="São Paulo-Mumbai"/>
    <n v="1738"/>
    <n v="247"/>
    <x v="0"/>
    <n v="17"/>
    <n v="1299.0999999999999"/>
    <n v="185.45"/>
    <n v="1484.55"/>
    <s v="On-time"/>
    <n v="0"/>
    <n v="77.650000000000006"/>
    <n v="379"/>
    <n v="386"/>
    <n v="0.85417146144994238"/>
  </r>
  <r>
    <x v="722"/>
    <s v="C5598"/>
    <x v="596"/>
    <d v="2022-07-13T00:00:00"/>
    <x v="0"/>
    <x v="2"/>
    <x v="1"/>
    <x v="5"/>
    <x v="584"/>
    <x v="0"/>
    <s v="Labels"/>
    <x v="571"/>
    <n v="377.76"/>
    <n v="31"/>
    <n v="11710.56"/>
    <s v="S168"/>
    <x v="0"/>
    <s v="W22"/>
    <x v="2"/>
    <s v="DHL"/>
    <s v="London-Mumbai"/>
    <n v="4547"/>
    <n v="292"/>
    <x v="0"/>
    <n v="29"/>
    <n v="1841.9"/>
    <n v="34.1"/>
    <n v="1876"/>
    <s v="On-time"/>
    <n v="0"/>
    <n v="71.03"/>
    <n v="251"/>
    <n v="278"/>
    <n v="0.41257972289421596"/>
  </r>
  <r>
    <x v="723"/>
    <s v="C1554"/>
    <x v="418"/>
    <d v="2020-08-27T00:00:00"/>
    <x v="2"/>
    <x v="3"/>
    <x v="5"/>
    <x v="4"/>
    <x v="585"/>
    <x v="0"/>
    <s v="Paper"/>
    <x v="572"/>
    <n v="340.31"/>
    <n v="47"/>
    <n v="15994.57"/>
    <s v="S471"/>
    <x v="1"/>
    <s v="W31"/>
    <x v="0"/>
    <s v="Maersk"/>
    <s v="Mumbai-São Paulo"/>
    <n v="225"/>
    <n v="220"/>
    <x v="0"/>
    <n v="6"/>
    <n v="324.87"/>
    <n v="426.26"/>
    <n v="751.13"/>
    <s v="On-time"/>
    <n v="0"/>
    <n v="89.76"/>
    <n v="434"/>
    <n v="446"/>
    <n v="3.3383555555555557"/>
  </r>
  <r>
    <x v="724"/>
    <s v="C8330"/>
    <x v="597"/>
    <d v="2020-08-12T00:00:00"/>
    <x v="2"/>
    <x v="1"/>
    <x v="0"/>
    <x v="2"/>
    <x v="192"/>
    <x v="0"/>
    <s v="Paper"/>
    <x v="191"/>
    <n v="473.42"/>
    <n v="9"/>
    <n v="4260.78"/>
    <s v="S515"/>
    <x v="0"/>
    <s v="W15"/>
    <x v="1"/>
    <s v="BlueDart"/>
    <s v="Beijing-Beijing"/>
    <n v="1052"/>
    <n v="268"/>
    <x v="0"/>
    <n v="24"/>
    <n v="439.48"/>
    <n v="304.36"/>
    <n v="743.84"/>
    <s v="On-time"/>
    <n v="0"/>
    <n v="90.91"/>
    <n v="169"/>
    <n v="216"/>
    <n v="0.7070722433460076"/>
  </r>
  <r>
    <x v="725"/>
    <s v="C8116"/>
    <x v="274"/>
    <d v="2022-01-06T00:00:00"/>
    <x v="2"/>
    <x v="0"/>
    <x v="3"/>
    <x v="6"/>
    <x v="72"/>
    <x v="0"/>
    <s v="Paper"/>
    <x v="71"/>
    <n v="148.03"/>
    <n v="45"/>
    <n v="6661.35"/>
    <s v="S156"/>
    <x v="4"/>
    <s v="W44"/>
    <x v="0"/>
    <s v="FedEx"/>
    <s v="Beijing-Berlin"/>
    <n v="1757"/>
    <n v="111"/>
    <x v="0"/>
    <n v="6"/>
    <n v="490.04"/>
    <n v="89.22"/>
    <n v="579.26"/>
    <s v="On-time"/>
    <n v="0"/>
    <n v="72.12"/>
    <n v="80"/>
    <n v="68"/>
    <n v="0.32968696642003414"/>
  </r>
  <r>
    <x v="726"/>
    <s v="C5207"/>
    <x v="37"/>
    <d v="2021-12-31T00:00:00"/>
    <x v="1"/>
    <x v="2"/>
    <x v="2"/>
    <x v="0"/>
    <x v="586"/>
    <x v="0"/>
    <s v="Storage"/>
    <x v="573"/>
    <n v="145.82"/>
    <n v="12"/>
    <n v="1749.84"/>
    <s v="S624"/>
    <x v="0"/>
    <s v="W46"/>
    <x v="3"/>
    <s v="FedEx"/>
    <s v="Toronto-New York"/>
    <n v="2888"/>
    <n v="424"/>
    <x v="0"/>
    <n v="9"/>
    <n v="1521.87"/>
    <n v="342.97"/>
    <n v="1864.84"/>
    <s v="On-time"/>
    <n v="0"/>
    <n v="89.52"/>
    <n v="493"/>
    <n v="502"/>
    <n v="0.64572022160664821"/>
  </r>
  <r>
    <x v="727"/>
    <s v="C8122"/>
    <x v="598"/>
    <d v="2021-06-28T00:00:00"/>
    <x v="2"/>
    <x v="4"/>
    <x v="4"/>
    <x v="6"/>
    <x v="166"/>
    <x v="1"/>
    <s v="Chairs"/>
    <x v="165"/>
    <n v="258.77"/>
    <n v="32"/>
    <n v="8280.64"/>
    <s v="S260"/>
    <x v="2"/>
    <s v="W9"/>
    <x v="1"/>
    <s v="Maersk"/>
    <s v="Mumbai-Beijing"/>
    <n v="4312"/>
    <n v="232"/>
    <x v="0"/>
    <n v="1"/>
    <n v="948.87"/>
    <n v="159.35"/>
    <n v="1108.22"/>
    <s v="On-time"/>
    <n v="0"/>
    <n v="92.41"/>
    <n v="416"/>
    <n v="431"/>
    <n v="0.25700834879406309"/>
  </r>
  <r>
    <x v="728"/>
    <s v="C2700"/>
    <x v="294"/>
    <d v="2021-09-03T00:00:00"/>
    <x v="2"/>
    <x v="1"/>
    <x v="3"/>
    <x v="1"/>
    <x v="587"/>
    <x v="1"/>
    <s v="Furnishings"/>
    <x v="574"/>
    <n v="189.54"/>
    <n v="12"/>
    <n v="2274.48"/>
    <s v="S539"/>
    <x v="2"/>
    <s v="W2"/>
    <x v="0"/>
    <s v="FedEx"/>
    <s v="New York-Berlin"/>
    <n v="32"/>
    <n v="427"/>
    <x v="1"/>
    <n v="7"/>
    <n v="309.01"/>
    <n v="171.3"/>
    <n v="480.31"/>
    <s v="On-time"/>
    <n v="0"/>
    <n v="76.88"/>
    <n v="437"/>
    <n v="412"/>
    <n v="15.0096875"/>
  </r>
  <r>
    <x v="729"/>
    <s v="C5440"/>
    <x v="333"/>
    <d v="2021-10-17T00:00:00"/>
    <x v="2"/>
    <x v="0"/>
    <x v="5"/>
    <x v="7"/>
    <x v="588"/>
    <x v="0"/>
    <s v="Binders"/>
    <x v="575"/>
    <n v="295.95"/>
    <n v="43"/>
    <n v="12725.85"/>
    <s v="S528"/>
    <x v="2"/>
    <s v="W42"/>
    <x v="1"/>
    <s v="Maersk"/>
    <s v="Mumbai-Toronto"/>
    <n v="1154"/>
    <n v="194"/>
    <x v="0"/>
    <n v="9"/>
    <n v="106.49"/>
    <n v="123.51"/>
    <n v="230"/>
    <s v="On-time"/>
    <n v="0"/>
    <n v="78.930000000000007"/>
    <n v="469"/>
    <n v="423"/>
    <n v="0.19930675909878684"/>
  </r>
  <r>
    <x v="730"/>
    <s v="C1675"/>
    <x v="599"/>
    <d v="2021-08-17T00:00:00"/>
    <x v="2"/>
    <x v="1"/>
    <x v="0"/>
    <x v="7"/>
    <x v="589"/>
    <x v="0"/>
    <s v="Labels"/>
    <x v="576"/>
    <n v="114.26"/>
    <n v="4"/>
    <n v="457.04"/>
    <s v="S424"/>
    <x v="3"/>
    <s v="W1"/>
    <x v="2"/>
    <s v="UPS"/>
    <s v="São Paulo-New York"/>
    <n v="4767"/>
    <n v="297"/>
    <x v="0"/>
    <n v="27"/>
    <n v="1095.25"/>
    <n v="120.39"/>
    <n v="1215.6400000000001"/>
    <s v="Delayed"/>
    <n v="11"/>
    <n v="83.49"/>
    <n v="101"/>
    <n v="59"/>
    <n v="0.25501153765470946"/>
  </r>
  <r>
    <x v="731"/>
    <s v="C2208"/>
    <x v="272"/>
    <d v="2021-12-21T00:00:00"/>
    <x v="1"/>
    <x v="2"/>
    <x v="0"/>
    <x v="3"/>
    <x v="379"/>
    <x v="0"/>
    <s v="Paper"/>
    <x v="374"/>
    <n v="276.55"/>
    <n v="92"/>
    <n v="25442.600000000002"/>
    <s v="S433"/>
    <x v="4"/>
    <s v="W44"/>
    <x v="0"/>
    <s v="BlueDart"/>
    <s v="Toronto-São Paulo"/>
    <n v="676"/>
    <n v="473"/>
    <x v="0"/>
    <n v="26"/>
    <n v="622.55999999999995"/>
    <n v="22.22"/>
    <n v="644.78"/>
    <s v="On-time"/>
    <n v="0"/>
    <n v="96.24"/>
    <n v="58"/>
    <n v="101"/>
    <n v="0.95381656804733728"/>
  </r>
  <r>
    <x v="732"/>
    <s v="C7424"/>
    <x v="600"/>
    <d v="2023-03-18T00:00:00"/>
    <x v="1"/>
    <x v="0"/>
    <x v="6"/>
    <x v="2"/>
    <x v="590"/>
    <x v="0"/>
    <s v="Paper"/>
    <x v="577"/>
    <n v="128.09"/>
    <n v="39"/>
    <n v="4995.51"/>
    <s v="S912"/>
    <x v="3"/>
    <s v="W6"/>
    <x v="3"/>
    <s v="UPS"/>
    <s v="Toronto-Beijing"/>
    <n v="2572"/>
    <n v="463"/>
    <x v="0"/>
    <n v="28"/>
    <n v="305.69"/>
    <n v="476.01"/>
    <n v="781.7"/>
    <s v="Delayed"/>
    <n v="5"/>
    <n v="85.57"/>
    <n v="371"/>
    <n v="387"/>
    <n v="0.30392690513219284"/>
  </r>
  <r>
    <x v="733"/>
    <s v="C7595"/>
    <x v="601"/>
    <d v="2021-05-14T00:00:00"/>
    <x v="2"/>
    <x v="2"/>
    <x v="5"/>
    <x v="6"/>
    <x v="591"/>
    <x v="0"/>
    <s v="Paper"/>
    <x v="578"/>
    <n v="264.52999999999997"/>
    <n v="19"/>
    <n v="5026.07"/>
    <s v="S600"/>
    <x v="2"/>
    <s v="W47"/>
    <x v="3"/>
    <s v="UPS"/>
    <s v="Toronto-New York"/>
    <n v="1522"/>
    <n v="299"/>
    <x v="0"/>
    <n v="6"/>
    <n v="88.1"/>
    <n v="288.42"/>
    <n v="376.52"/>
    <s v="On-time"/>
    <n v="0"/>
    <n v="82.37"/>
    <n v="81"/>
    <n v="52"/>
    <n v="0.24738501971090668"/>
  </r>
  <r>
    <x v="734"/>
    <s v="C1254"/>
    <x v="602"/>
    <d v="2023-06-14T00:00:00"/>
    <x v="2"/>
    <x v="2"/>
    <x v="7"/>
    <x v="0"/>
    <x v="592"/>
    <x v="2"/>
    <s v="Phones"/>
    <x v="579"/>
    <n v="251.22"/>
    <n v="23"/>
    <n v="5778.06"/>
    <s v="S312"/>
    <x v="3"/>
    <s v="W15"/>
    <x v="0"/>
    <s v="FedEx"/>
    <s v="Mumbai-São Paulo"/>
    <n v="548"/>
    <n v="98"/>
    <x v="0"/>
    <n v="29"/>
    <n v="1407.31"/>
    <n v="181.74"/>
    <n v="1589.05"/>
    <s v="On-time"/>
    <n v="0"/>
    <n v="95.94"/>
    <n v="218"/>
    <n v="245"/>
    <n v="2.8997262773722627"/>
  </r>
  <r>
    <x v="735"/>
    <s v="C7745"/>
    <x v="251"/>
    <d v="2024-06-12T00:00:00"/>
    <x v="2"/>
    <x v="2"/>
    <x v="5"/>
    <x v="6"/>
    <x v="593"/>
    <x v="2"/>
    <s v="Phones"/>
    <x v="580"/>
    <n v="109.84"/>
    <n v="58"/>
    <n v="6370.72"/>
    <s v="S955"/>
    <x v="4"/>
    <s v="W27"/>
    <x v="0"/>
    <s v="Maersk"/>
    <s v="Cape Town-Mumbai"/>
    <n v="3221"/>
    <n v="351"/>
    <x v="0"/>
    <n v="9"/>
    <n v="138.69999999999999"/>
    <n v="153.74"/>
    <n v="292.44"/>
    <s v="On-time"/>
    <n v="0"/>
    <n v="82.81"/>
    <n v="422"/>
    <n v="378"/>
    <n v="9.079167960260788E-2"/>
  </r>
  <r>
    <x v="736"/>
    <s v="C3829"/>
    <x v="603"/>
    <d v="2024-12-15T00:00:00"/>
    <x v="2"/>
    <x v="0"/>
    <x v="2"/>
    <x v="1"/>
    <x v="594"/>
    <x v="2"/>
    <s v="Phones"/>
    <x v="581"/>
    <n v="322.3"/>
    <n v="12"/>
    <n v="3867.6000000000004"/>
    <s v="S742"/>
    <x v="1"/>
    <s v="W48"/>
    <x v="3"/>
    <s v="FedEx"/>
    <s v="Cape Town-Berlin"/>
    <n v="426"/>
    <n v="153"/>
    <x v="0"/>
    <n v="5"/>
    <n v="671.13"/>
    <n v="219.86"/>
    <n v="890.99"/>
    <s v="On-time"/>
    <n v="0"/>
    <n v="75.790000000000006"/>
    <n v="497"/>
    <n v="492"/>
    <n v="2.0915258215962442"/>
  </r>
  <r>
    <x v="737"/>
    <s v="C9303"/>
    <x v="537"/>
    <d v="2021-06-16T00:00:00"/>
    <x v="2"/>
    <x v="1"/>
    <x v="3"/>
    <x v="1"/>
    <x v="595"/>
    <x v="1"/>
    <s v="Chairs"/>
    <x v="582"/>
    <n v="33.6"/>
    <n v="6"/>
    <n v="201.60000000000002"/>
    <s v="S382"/>
    <x v="0"/>
    <s v="W27"/>
    <x v="1"/>
    <s v="FedEx"/>
    <s v="Cape Town-São Paulo"/>
    <n v="3815"/>
    <n v="195"/>
    <x v="0"/>
    <n v="18"/>
    <n v="114.27"/>
    <n v="419.71"/>
    <n v="533.98"/>
    <s v="On-time"/>
    <n v="0"/>
    <n v="90.65"/>
    <n v="357"/>
    <n v="371"/>
    <n v="0.13996854521625166"/>
  </r>
  <r>
    <x v="738"/>
    <s v="C5214"/>
    <x v="604"/>
    <d v="2020-11-11T00:00:00"/>
    <x v="2"/>
    <x v="2"/>
    <x v="6"/>
    <x v="6"/>
    <x v="596"/>
    <x v="1"/>
    <s v="Chairs"/>
    <x v="583"/>
    <n v="361.76"/>
    <n v="1"/>
    <n v="361.76"/>
    <s v="S223"/>
    <x v="0"/>
    <s v="W44"/>
    <x v="0"/>
    <s v="BlueDart"/>
    <s v="Cape Town-Mumbai"/>
    <n v="1440"/>
    <n v="384"/>
    <x v="0"/>
    <n v="4"/>
    <n v="781.84"/>
    <n v="454.11"/>
    <n v="1235.95"/>
    <s v="On-time"/>
    <n v="0"/>
    <n v="82.89"/>
    <n v="428"/>
    <n v="477"/>
    <n v="0.85829861111111116"/>
  </r>
  <r>
    <x v="739"/>
    <s v="C6397"/>
    <x v="605"/>
    <d v="2022-10-26T00:00:00"/>
    <x v="1"/>
    <x v="0"/>
    <x v="0"/>
    <x v="2"/>
    <x v="597"/>
    <x v="1"/>
    <s v="Tables"/>
    <x v="584"/>
    <n v="424.26"/>
    <n v="27"/>
    <n v="11455.02"/>
    <s v="S710"/>
    <x v="3"/>
    <s v="W21"/>
    <x v="2"/>
    <s v="Maersk"/>
    <s v="New York-London"/>
    <n v="1293"/>
    <n v="456"/>
    <x v="0"/>
    <n v="16"/>
    <n v="1830.9"/>
    <n v="282.63"/>
    <n v="2113.5300000000002"/>
    <s v="On-time"/>
    <n v="0"/>
    <n v="83.49"/>
    <n v="206"/>
    <n v="159"/>
    <n v="1.6345939675174015"/>
  </r>
  <r>
    <x v="740"/>
    <s v="C9817"/>
    <x v="606"/>
    <d v="2024-04-16T00:00:00"/>
    <x v="1"/>
    <x v="0"/>
    <x v="7"/>
    <x v="5"/>
    <x v="598"/>
    <x v="0"/>
    <s v="Art"/>
    <x v="585"/>
    <n v="358.62"/>
    <n v="63"/>
    <n v="22593.06"/>
    <s v="S542"/>
    <x v="3"/>
    <s v="W27"/>
    <x v="1"/>
    <s v="BlueDart"/>
    <s v="Cape Town-Toronto"/>
    <n v="153"/>
    <n v="317"/>
    <x v="1"/>
    <n v="17"/>
    <n v="1258.8499999999999"/>
    <n v="490.03"/>
    <n v="1748.88"/>
    <s v="On-time"/>
    <n v="0"/>
    <n v="73.05"/>
    <n v="170"/>
    <n v="153"/>
    <n v="11.430588235294119"/>
  </r>
  <r>
    <x v="741"/>
    <s v="C4458"/>
    <x v="607"/>
    <d v="2023-02-07T00:00:00"/>
    <x v="1"/>
    <x v="4"/>
    <x v="7"/>
    <x v="1"/>
    <x v="555"/>
    <x v="0"/>
    <s v="Binders"/>
    <x v="544"/>
    <n v="458.08"/>
    <n v="55"/>
    <n v="25194.399999999998"/>
    <s v="S984"/>
    <x v="4"/>
    <s v="W10"/>
    <x v="3"/>
    <s v="DHL"/>
    <s v="London-São Paulo"/>
    <n v="4437"/>
    <n v="438"/>
    <x v="0"/>
    <n v="2"/>
    <n v="836.57"/>
    <n v="341.12"/>
    <n v="1177.69"/>
    <s v="On-time"/>
    <n v="0"/>
    <n v="72.27"/>
    <n v="116"/>
    <n v="133"/>
    <n v="0.26542483660130722"/>
  </r>
  <r>
    <x v="742"/>
    <s v="C6879"/>
    <x v="608"/>
    <d v="2021-11-19T00:00:00"/>
    <x v="2"/>
    <x v="4"/>
    <x v="5"/>
    <x v="7"/>
    <x v="599"/>
    <x v="0"/>
    <s v="Binders"/>
    <x v="586"/>
    <n v="53.36"/>
    <n v="84"/>
    <n v="4482.24"/>
    <s v="S352"/>
    <x v="2"/>
    <s v="W38"/>
    <x v="0"/>
    <s v="FedEx"/>
    <s v="São Paulo-Berlin"/>
    <n v="4959"/>
    <n v="63"/>
    <x v="0"/>
    <n v="7"/>
    <n v="1828.81"/>
    <n v="127.38"/>
    <n v="1956.19"/>
    <s v="On-time"/>
    <n v="0"/>
    <n v="86.36"/>
    <n v="425"/>
    <n v="443"/>
    <n v="0.39447267594273039"/>
  </r>
  <r>
    <x v="743"/>
    <s v="C5863"/>
    <x v="609"/>
    <d v="2023-10-20T00:00:00"/>
    <x v="2"/>
    <x v="0"/>
    <x v="3"/>
    <x v="0"/>
    <x v="161"/>
    <x v="0"/>
    <s v="Fasteners"/>
    <x v="160"/>
    <n v="487.95"/>
    <n v="93"/>
    <n v="45379.35"/>
    <s v="S667"/>
    <x v="1"/>
    <s v="W29"/>
    <x v="0"/>
    <s v="UPS"/>
    <s v="Berlin-Cape Town"/>
    <n v="398"/>
    <n v="374"/>
    <x v="0"/>
    <n v="3"/>
    <n v="1447.69"/>
    <n v="468.76"/>
    <n v="1916.45"/>
    <s v="On-time"/>
    <n v="0"/>
    <n v="74.150000000000006"/>
    <n v="460"/>
    <n v="501"/>
    <n v="4.8152010050251262"/>
  </r>
  <r>
    <x v="744"/>
    <s v="C3063"/>
    <x v="610"/>
    <d v="2021-10-20T00:00:00"/>
    <x v="1"/>
    <x v="0"/>
    <x v="0"/>
    <x v="3"/>
    <x v="414"/>
    <x v="0"/>
    <s v="Paper"/>
    <x v="408"/>
    <n v="461.8"/>
    <n v="79"/>
    <n v="36482.200000000004"/>
    <s v="S626"/>
    <x v="1"/>
    <s v="W48"/>
    <x v="2"/>
    <s v="BlueDart"/>
    <s v="New York-New York"/>
    <n v="3308"/>
    <n v="376"/>
    <x v="0"/>
    <n v="21"/>
    <n v="92.08"/>
    <n v="262.56"/>
    <n v="354.64"/>
    <s v="On-time"/>
    <n v="0"/>
    <n v="73.86"/>
    <n v="85"/>
    <n v="122"/>
    <n v="0.1072067714631197"/>
  </r>
  <r>
    <x v="745"/>
    <s v="C1921"/>
    <x v="611"/>
    <d v="2023-07-10T00:00:00"/>
    <x v="2"/>
    <x v="0"/>
    <x v="2"/>
    <x v="6"/>
    <x v="66"/>
    <x v="0"/>
    <s v="Paper"/>
    <x v="65"/>
    <n v="335.21"/>
    <n v="32"/>
    <n v="10726.72"/>
    <s v="S664"/>
    <x v="0"/>
    <s v="W27"/>
    <x v="2"/>
    <s v="BlueDart"/>
    <s v="Cape Town-Mumbai"/>
    <n v="2668"/>
    <n v="142"/>
    <x v="0"/>
    <n v="13"/>
    <n v="910.99"/>
    <n v="137.4"/>
    <n v="1048.3900000000001"/>
    <s v="On-time"/>
    <n v="0"/>
    <n v="75.069999999999993"/>
    <n v="407"/>
    <n v="378"/>
    <n v="0.39294977511244383"/>
  </r>
  <r>
    <x v="746"/>
    <s v="C8415"/>
    <x v="612"/>
    <d v="2021-08-31T00:00:00"/>
    <x v="1"/>
    <x v="2"/>
    <x v="7"/>
    <x v="2"/>
    <x v="390"/>
    <x v="0"/>
    <s v="Storage"/>
    <x v="385"/>
    <n v="431.66"/>
    <n v="91"/>
    <n v="39281.060000000005"/>
    <s v="S892"/>
    <x v="4"/>
    <s v="W16"/>
    <x v="2"/>
    <s v="Maersk"/>
    <s v="Cape Town-London"/>
    <n v="4277"/>
    <n v="461"/>
    <x v="0"/>
    <n v="15"/>
    <n v="1548.87"/>
    <n v="363.11"/>
    <n v="1911.98"/>
    <s v="On-time"/>
    <n v="0"/>
    <n v="84.44"/>
    <n v="442"/>
    <n v="426"/>
    <n v="0.44703764320785599"/>
  </r>
  <r>
    <x v="747"/>
    <s v="C3712"/>
    <x v="104"/>
    <d v="2021-09-15T00:00:00"/>
    <x v="2"/>
    <x v="1"/>
    <x v="7"/>
    <x v="7"/>
    <x v="600"/>
    <x v="2"/>
    <s v="Accessories"/>
    <x v="587"/>
    <n v="368.67"/>
    <n v="49"/>
    <n v="18064.830000000002"/>
    <s v="S377"/>
    <x v="3"/>
    <s v="W19"/>
    <x v="0"/>
    <s v="BlueDart"/>
    <s v="São Paulo-New York"/>
    <n v="2691"/>
    <n v="74"/>
    <x v="0"/>
    <n v="4"/>
    <n v="566.82000000000005"/>
    <n v="369.7"/>
    <n v="936.52"/>
    <s v="On-time"/>
    <n v="0"/>
    <n v="97.16"/>
    <n v="459"/>
    <n v="489"/>
    <n v="0.34801932367149757"/>
  </r>
  <r>
    <x v="748"/>
    <s v="C9254"/>
    <x v="447"/>
    <d v="2022-08-16T00:00:00"/>
    <x v="2"/>
    <x v="3"/>
    <x v="4"/>
    <x v="4"/>
    <x v="601"/>
    <x v="2"/>
    <s v="Phones"/>
    <x v="588"/>
    <n v="412.17"/>
    <n v="81"/>
    <n v="33385.770000000004"/>
    <s v="S838"/>
    <x v="4"/>
    <s v="W43"/>
    <x v="2"/>
    <s v="BlueDart"/>
    <s v="Beijing-Mumbai"/>
    <n v="2668"/>
    <n v="341"/>
    <x v="0"/>
    <n v="16"/>
    <n v="756.15"/>
    <n v="469.87"/>
    <n v="1226.02"/>
    <s v="On-time"/>
    <n v="0"/>
    <n v="77.489999999999995"/>
    <n v="308"/>
    <n v="283"/>
    <n v="0.45952773613193404"/>
  </r>
  <r>
    <x v="749"/>
    <s v="C9139"/>
    <x v="613"/>
    <d v="2021-05-05T00:00:00"/>
    <x v="2"/>
    <x v="2"/>
    <x v="6"/>
    <x v="2"/>
    <x v="602"/>
    <x v="1"/>
    <s v="Tables"/>
    <x v="589"/>
    <n v="26.47"/>
    <n v="56"/>
    <n v="1482.32"/>
    <s v="S979"/>
    <x v="1"/>
    <s v="W44"/>
    <x v="2"/>
    <s v="UPS"/>
    <s v="Beijing-Beijing"/>
    <n v="1915"/>
    <n v="466"/>
    <x v="0"/>
    <n v="2"/>
    <n v="272.56"/>
    <n v="309.7"/>
    <n v="582.26"/>
    <s v="On-time"/>
    <n v="0"/>
    <n v="79.75"/>
    <n v="453"/>
    <n v="443"/>
    <n v="0.30405221932114884"/>
  </r>
  <r>
    <x v="750"/>
    <s v="C5029"/>
    <x v="291"/>
    <d v="2023-05-01T00:00:00"/>
    <x v="1"/>
    <x v="0"/>
    <x v="6"/>
    <x v="2"/>
    <x v="603"/>
    <x v="1"/>
    <s v="Furnishings"/>
    <x v="590"/>
    <n v="368.36"/>
    <n v="70"/>
    <n v="25785.200000000001"/>
    <s v="S960"/>
    <x v="3"/>
    <s v="W34"/>
    <x v="3"/>
    <s v="UPS"/>
    <s v="London-New York"/>
    <n v="1577"/>
    <n v="61"/>
    <x v="0"/>
    <n v="12"/>
    <n v="797.96"/>
    <n v="35.03"/>
    <n v="832.99"/>
    <s v="On-time"/>
    <n v="0"/>
    <n v="77.069999999999993"/>
    <n v="97"/>
    <n v="120"/>
    <n v="0.52821179454660749"/>
  </r>
  <r>
    <x v="751"/>
    <s v="C1414"/>
    <x v="614"/>
    <d v="2024-01-01T00:00:00"/>
    <x v="1"/>
    <x v="0"/>
    <x v="4"/>
    <x v="3"/>
    <x v="604"/>
    <x v="0"/>
    <s v="Appliances"/>
    <x v="591"/>
    <n v="387.21"/>
    <n v="74"/>
    <n v="28653.539999999997"/>
    <s v="S528"/>
    <x v="2"/>
    <s v="W25"/>
    <x v="3"/>
    <s v="DHL"/>
    <s v="São Paulo-Mumbai"/>
    <n v="4182"/>
    <n v="166"/>
    <x v="0"/>
    <n v="24"/>
    <n v="361.64"/>
    <n v="140.94"/>
    <n v="502.58"/>
    <s v="On-time"/>
    <n v="0"/>
    <n v="70.56"/>
    <n v="232"/>
    <n v="188"/>
    <n v="0.12017694882831181"/>
  </r>
  <r>
    <x v="752"/>
    <s v="C7883"/>
    <x v="615"/>
    <d v="2021-03-10T00:00:00"/>
    <x v="2"/>
    <x v="1"/>
    <x v="4"/>
    <x v="6"/>
    <x v="156"/>
    <x v="0"/>
    <s v="Art"/>
    <x v="155"/>
    <n v="200.29"/>
    <n v="36"/>
    <n v="7210.44"/>
    <s v="S153"/>
    <x v="3"/>
    <s v="W40"/>
    <x v="3"/>
    <s v="BlueDart"/>
    <s v="Toronto-São Paulo"/>
    <n v="3758"/>
    <n v="335"/>
    <x v="0"/>
    <n v="29"/>
    <n v="810.91"/>
    <n v="269.94"/>
    <n v="1080.8499999999999"/>
    <s v="Delayed"/>
    <n v="1"/>
    <n v="98.38"/>
    <n v="321"/>
    <n v="292"/>
    <n v="0.2876130920702501"/>
  </r>
  <r>
    <x v="753"/>
    <s v="C9621"/>
    <x v="616"/>
    <d v="2021-01-29T00:00:00"/>
    <x v="2"/>
    <x v="4"/>
    <x v="1"/>
    <x v="5"/>
    <x v="605"/>
    <x v="0"/>
    <s v="Art"/>
    <x v="592"/>
    <n v="120.06"/>
    <n v="1"/>
    <n v="120.06"/>
    <s v="S876"/>
    <x v="0"/>
    <s v="W48"/>
    <x v="1"/>
    <s v="FedEx"/>
    <s v="Berlin-Beijing"/>
    <n v="231"/>
    <n v="238"/>
    <x v="1"/>
    <n v="4"/>
    <n v="1761.25"/>
    <n v="484.39"/>
    <n v="2245.64"/>
    <s v="On-time"/>
    <n v="0"/>
    <n v="84.67"/>
    <n v="244"/>
    <n v="198"/>
    <n v="9.721385281385281"/>
  </r>
  <r>
    <x v="754"/>
    <s v="C2076"/>
    <x v="6"/>
    <d v="2024-03-06T00:00:00"/>
    <x v="1"/>
    <x v="2"/>
    <x v="5"/>
    <x v="3"/>
    <x v="606"/>
    <x v="0"/>
    <s v="Binders"/>
    <x v="593"/>
    <n v="435.99"/>
    <n v="14"/>
    <n v="6103.8600000000006"/>
    <s v="S275"/>
    <x v="4"/>
    <s v="W13"/>
    <x v="0"/>
    <s v="UPS"/>
    <s v="Cape Town-Mumbai"/>
    <n v="2081"/>
    <n v="345"/>
    <x v="0"/>
    <n v="21"/>
    <n v="1361.09"/>
    <n v="484.04"/>
    <n v="1845.13"/>
    <s v="On-time"/>
    <n v="0"/>
    <n v="97.57"/>
    <n v="480"/>
    <n v="497"/>
    <n v="0.88665545410860169"/>
  </r>
  <r>
    <x v="755"/>
    <s v="C6667"/>
    <x v="617"/>
    <d v="2022-06-11T00:00:00"/>
    <x v="1"/>
    <x v="0"/>
    <x v="3"/>
    <x v="4"/>
    <x v="56"/>
    <x v="0"/>
    <s v="Storage"/>
    <x v="55"/>
    <n v="386.09"/>
    <n v="29"/>
    <n v="11196.609999999999"/>
    <s v="S841"/>
    <x v="3"/>
    <s v="W46"/>
    <x v="3"/>
    <s v="DHL"/>
    <s v="New York-Toronto"/>
    <n v="4389"/>
    <n v="451"/>
    <x v="0"/>
    <n v="29"/>
    <n v="1645.62"/>
    <n v="377.39"/>
    <n v="2023.01"/>
    <s v="Delayed"/>
    <n v="8"/>
    <n v="88.66"/>
    <n v="193"/>
    <n v="167"/>
    <n v="0.46092731829573935"/>
  </r>
  <r>
    <x v="756"/>
    <s v="C5062"/>
    <x v="618"/>
    <d v="2022-01-28T00:00:00"/>
    <x v="2"/>
    <x v="4"/>
    <x v="5"/>
    <x v="1"/>
    <x v="456"/>
    <x v="2"/>
    <s v="Phones"/>
    <x v="448"/>
    <n v="447.45"/>
    <n v="92"/>
    <n v="41165.4"/>
    <s v="S365"/>
    <x v="0"/>
    <s v="W26"/>
    <x v="0"/>
    <s v="FedEx"/>
    <s v="Beijing-London"/>
    <n v="2022"/>
    <n v="199"/>
    <x v="0"/>
    <n v="23"/>
    <n v="525.09"/>
    <n v="433.98"/>
    <n v="959.07"/>
    <s v="On-time"/>
    <n v="0"/>
    <n v="71.09"/>
    <n v="52"/>
    <n v="55"/>
    <n v="0.47431750741839768"/>
  </r>
  <r>
    <x v="757"/>
    <s v="C6032"/>
    <x v="619"/>
    <d v="2021-11-06T00:00:00"/>
    <x v="2"/>
    <x v="3"/>
    <x v="7"/>
    <x v="5"/>
    <x v="607"/>
    <x v="2"/>
    <s v="Phones"/>
    <x v="594"/>
    <n v="220.32"/>
    <n v="67"/>
    <n v="14761.439999999999"/>
    <s v="S869"/>
    <x v="0"/>
    <s v="W6"/>
    <x v="3"/>
    <s v="DHL"/>
    <s v="London-Toronto"/>
    <n v="457"/>
    <n v="296"/>
    <x v="0"/>
    <n v="2"/>
    <n v="434.43"/>
    <n v="14.08"/>
    <n v="448.51"/>
    <s v="On-time"/>
    <n v="0"/>
    <n v="99.5"/>
    <n v="213"/>
    <n v="211"/>
    <n v="0.98142231947483582"/>
  </r>
  <r>
    <x v="758"/>
    <s v="C8166"/>
    <x v="620"/>
    <d v="2023-03-08T00:00:00"/>
    <x v="2"/>
    <x v="1"/>
    <x v="3"/>
    <x v="3"/>
    <x v="608"/>
    <x v="2"/>
    <s v="Phones"/>
    <x v="595"/>
    <n v="35.69"/>
    <n v="45"/>
    <n v="1606.05"/>
    <s v="S954"/>
    <x v="4"/>
    <s v="W10"/>
    <x v="3"/>
    <s v="Maersk"/>
    <s v="Toronto-Beijing"/>
    <n v="271"/>
    <n v="343"/>
    <x v="1"/>
    <n v="23"/>
    <n v="876.65"/>
    <n v="186.29"/>
    <n v="1062.94"/>
    <s v="On-time"/>
    <n v="0"/>
    <n v="89.21"/>
    <n v="160"/>
    <n v="158"/>
    <n v="3.922287822878229"/>
  </r>
  <r>
    <x v="759"/>
    <s v="C5428"/>
    <x v="621"/>
    <d v="2023-03-01T00:00:00"/>
    <x v="1"/>
    <x v="1"/>
    <x v="2"/>
    <x v="6"/>
    <x v="609"/>
    <x v="0"/>
    <s v="Fasteners"/>
    <x v="596"/>
    <n v="38.5"/>
    <n v="28"/>
    <n v="1078"/>
    <s v="S436"/>
    <x v="3"/>
    <s v="W21"/>
    <x v="1"/>
    <s v="Maersk"/>
    <s v="London-New York"/>
    <n v="217"/>
    <n v="219"/>
    <x v="1"/>
    <n v="10"/>
    <n v="426.28"/>
    <n v="116.32"/>
    <n v="542.59999999999991"/>
    <s v="On-time"/>
    <n v="0"/>
    <n v="73.83"/>
    <n v="79"/>
    <n v="90"/>
    <n v="2.500460829493087"/>
  </r>
  <r>
    <x v="760"/>
    <s v="C2124"/>
    <x v="622"/>
    <d v="2023-02-22T00:00:00"/>
    <x v="2"/>
    <x v="1"/>
    <x v="0"/>
    <x v="0"/>
    <x v="610"/>
    <x v="2"/>
    <s v="Accessories"/>
    <x v="597"/>
    <n v="325.98"/>
    <n v="37"/>
    <n v="12061.26"/>
    <s v="S895"/>
    <x v="2"/>
    <s v="W26"/>
    <x v="1"/>
    <s v="FedEx"/>
    <s v="Cape Town-Toronto"/>
    <n v="2856"/>
    <n v="408"/>
    <x v="0"/>
    <n v="29"/>
    <n v="1998.97"/>
    <n v="135.30000000000001"/>
    <n v="2134.27"/>
    <s v="On-time"/>
    <n v="0"/>
    <n v="86.1"/>
    <n v="144"/>
    <n v="149"/>
    <n v="0.74729341736694677"/>
  </r>
  <r>
    <x v="761"/>
    <s v="C7940"/>
    <x v="623"/>
    <d v="2020-09-29T00:00:00"/>
    <x v="2"/>
    <x v="3"/>
    <x v="3"/>
    <x v="2"/>
    <x v="611"/>
    <x v="1"/>
    <s v="Chairs"/>
    <x v="598"/>
    <n v="35.46"/>
    <n v="70"/>
    <n v="2482.2000000000003"/>
    <s v="S775"/>
    <x v="2"/>
    <s v="W29"/>
    <x v="0"/>
    <s v="FedEx"/>
    <s v="Toronto-Berlin"/>
    <n v="3075"/>
    <n v="251"/>
    <x v="0"/>
    <n v="9"/>
    <n v="1401.76"/>
    <n v="149.66999999999999"/>
    <n v="1551.43"/>
    <s v="On-time"/>
    <n v="0"/>
    <n v="94.7"/>
    <n v="497"/>
    <n v="478"/>
    <n v="0.504530081300813"/>
  </r>
  <r>
    <x v="762"/>
    <s v="C2229"/>
    <x v="451"/>
    <d v="2024-07-03T00:00:00"/>
    <x v="2"/>
    <x v="4"/>
    <x v="6"/>
    <x v="1"/>
    <x v="612"/>
    <x v="0"/>
    <s v="Binders"/>
    <x v="599"/>
    <n v="179.02"/>
    <n v="79"/>
    <n v="14142.58"/>
    <s v="S534"/>
    <x v="0"/>
    <s v="W47"/>
    <x v="2"/>
    <s v="Maersk"/>
    <s v="Cape Town-Toronto"/>
    <n v="1114"/>
    <n v="483"/>
    <x v="0"/>
    <n v="18"/>
    <n v="1582.49"/>
    <n v="319.60000000000002"/>
    <n v="1902.09"/>
    <s v="On-time"/>
    <n v="0"/>
    <n v="87.52"/>
    <n v="421"/>
    <n v="438"/>
    <n v="1.7074416517055655"/>
  </r>
  <r>
    <x v="763"/>
    <s v="C2768"/>
    <x v="624"/>
    <d v="2021-10-02T00:00:00"/>
    <x v="2"/>
    <x v="0"/>
    <x v="2"/>
    <x v="1"/>
    <x v="613"/>
    <x v="1"/>
    <s v="Tables"/>
    <x v="600"/>
    <n v="374.12"/>
    <n v="7"/>
    <n v="2618.84"/>
    <s v="S242"/>
    <x v="0"/>
    <s v="W11"/>
    <x v="2"/>
    <s v="FedEx"/>
    <s v="Beijing-Cape Town"/>
    <n v="442"/>
    <n v="330"/>
    <x v="0"/>
    <n v="18"/>
    <n v="237.65"/>
    <n v="431.92"/>
    <n v="669.57"/>
    <s v="On-time"/>
    <n v="0"/>
    <n v="70.61"/>
    <n v="170"/>
    <n v="157"/>
    <n v="1.5148642533936654"/>
  </r>
  <r>
    <x v="764"/>
    <s v="C4895"/>
    <x v="508"/>
    <d v="2023-05-29T00:00:00"/>
    <x v="2"/>
    <x v="3"/>
    <x v="7"/>
    <x v="5"/>
    <x v="614"/>
    <x v="0"/>
    <s v="Binders"/>
    <x v="601"/>
    <n v="479.41"/>
    <n v="50"/>
    <n v="23970.5"/>
    <s v="S632"/>
    <x v="2"/>
    <s v="W9"/>
    <x v="1"/>
    <s v="DHL"/>
    <s v="Berlin-London"/>
    <n v="2164"/>
    <n v="140"/>
    <x v="0"/>
    <n v="7"/>
    <n v="1064.1600000000001"/>
    <n v="269.77"/>
    <n v="1333.93"/>
    <s v="On-time"/>
    <n v="0"/>
    <n v="81.569999999999993"/>
    <n v="363"/>
    <n v="363"/>
    <n v="0.61641866913123844"/>
  </r>
  <r>
    <x v="765"/>
    <s v="C9844"/>
    <x v="625"/>
    <d v="2020-10-23T00:00:00"/>
    <x v="2"/>
    <x v="0"/>
    <x v="2"/>
    <x v="5"/>
    <x v="615"/>
    <x v="0"/>
    <s v="Binders"/>
    <x v="602"/>
    <n v="414.13"/>
    <n v="6"/>
    <n v="2484.7799999999997"/>
    <s v="S765"/>
    <x v="2"/>
    <s v="W20"/>
    <x v="0"/>
    <s v="Maersk"/>
    <s v="Berlin-New York"/>
    <n v="1650"/>
    <n v="457"/>
    <x v="0"/>
    <n v="14"/>
    <n v="142.9"/>
    <n v="165.67"/>
    <n v="308.57"/>
    <s v="On-time"/>
    <n v="0"/>
    <n v="73.95"/>
    <n v="411"/>
    <n v="391"/>
    <n v="0.18701212121212121"/>
  </r>
  <r>
    <x v="766"/>
    <s v="C8983"/>
    <x v="93"/>
    <d v="2021-07-09T00:00:00"/>
    <x v="2"/>
    <x v="3"/>
    <x v="5"/>
    <x v="5"/>
    <x v="616"/>
    <x v="0"/>
    <s v="Binders"/>
    <x v="603"/>
    <n v="219.07"/>
    <n v="10"/>
    <n v="2190.6999999999998"/>
    <s v="S197"/>
    <x v="1"/>
    <s v="W11"/>
    <x v="3"/>
    <s v="FedEx"/>
    <s v="Cape Town-Toronto"/>
    <n v="698"/>
    <n v="355"/>
    <x v="0"/>
    <n v="16"/>
    <n v="1060.48"/>
    <n v="280.38"/>
    <n v="1340.86"/>
    <s v="Delayed"/>
    <n v="5"/>
    <n v="83.26"/>
    <n v="365"/>
    <n v="329"/>
    <n v="1.9210028653295128"/>
  </r>
  <r>
    <x v="767"/>
    <s v="C9587"/>
    <x v="626"/>
    <d v="2024-04-24T00:00:00"/>
    <x v="0"/>
    <x v="3"/>
    <x v="5"/>
    <x v="2"/>
    <x v="592"/>
    <x v="2"/>
    <s v="Phones"/>
    <x v="579"/>
    <n v="118.62"/>
    <n v="88"/>
    <n v="10438.560000000001"/>
    <s v="S374"/>
    <x v="4"/>
    <s v="W44"/>
    <x v="3"/>
    <s v="FedEx"/>
    <s v="Cape Town-Cape Town"/>
    <n v="2414"/>
    <n v="479"/>
    <x v="0"/>
    <n v="1"/>
    <n v="790.7"/>
    <n v="345.76"/>
    <n v="1136.46"/>
    <s v="On-time"/>
    <n v="0"/>
    <n v="86.81"/>
    <n v="238"/>
    <n v="217"/>
    <n v="0.47077879038939519"/>
  </r>
  <r>
    <x v="768"/>
    <s v="C2447"/>
    <x v="627"/>
    <d v="2023-02-20T00:00:00"/>
    <x v="2"/>
    <x v="4"/>
    <x v="1"/>
    <x v="3"/>
    <x v="617"/>
    <x v="1"/>
    <s v="Chairs"/>
    <x v="604"/>
    <n v="299.63"/>
    <n v="26"/>
    <n v="7790.38"/>
    <s v="S270"/>
    <x v="1"/>
    <s v="W37"/>
    <x v="1"/>
    <s v="FedEx"/>
    <s v="London-London"/>
    <n v="368"/>
    <n v="427"/>
    <x v="1"/>
    <n v="1"/>
    <n v="1714.32"/>
    <n v="355.99"/>
    <n v="2070.31"/>
    <s v="On-time"/>
    <n v="0"/>
    <n v="75.260000000000005"/>
    <n v="159"/>
    <n v="191"/>
    <n v="5.6258423913043476"/>
  </r>
  <r>
    <x v="769"/>
    <s v="C1690"/>
    <x v="628"/>
    <d v="2020-02-14T00:00:00"/>
    <x v="0"/>
    <x v="2"/>
    <x v="4"/>
    <x v="5"/>
    <x v="618"/>
    <x v="1"/>
    <s v="Furnishings"/>
    <x v="605"/>
    <n v="325.52999999999997"/>
    <n v="57"/>
    <n v="18555.21"/>
    <s v="S339"/>
    <x v="0"/>
    <s v="W1"/>
    <x v="3"/>
    <s v="FedEx"/>
    <s v="Toronto-Berlin"/>
    <n v="3091"/>
    <n v="171"/>
    <x v="0"/>
    <n v="25"/>
    <n v="1530.3"/>
    <n v="430.9"/>
    <n v="1961.2"/>
    <s v="Delayed"/>
    <n v="12"/>
    <n v="93.64"/>
    <n v="162"/>
    <n v="190"/>
    <n v="0.63448722096408927"/>
  </r>
  <r>
    <x v="770"/>
    <s v="C5797"/>
    <x v="629"/>
    <d v="2020-11-12T00:00:00"/>
    <x v="1"/>
    <x v="3"/>
    <x v="3"/>
    <x v="3"/>
    <x v="619"/>
    <x v="1"/>
    <s v="Furnishings"/>
    <x v="606"/>
    <n v="384"/>
    <n v="12"/>
    <n v="4608"/>
    <s v="S294"/>
    <x v="4"/>
    <s v="W42"/>
    <x v="2"/>
    <s v="Maersk"/>
    <s v="São Paulo-New York"/>
    <n v="4591"/>
    <n v="144"/>
    <x v="0"/>
    <n v="28"/>
    <n v="653.53"/>
    <n v="446.68"/>
    <n v="1100.21"/>
    <s v="Delayed"/>
    <n v="12"/>
    <n v="81.23"/>
    <n v="305"/>
    <n v="319"/>
    <n v="0.23964495752559356"/>
  </r>
  <r>
    <x v="771"/>
    <s v="C6416"/>
    <x v="630"/>
    <d v="2021-03-07T00:00:00"/>
    <x v="2"/>
    <x v="3"/>
    <x v="5"/>
    <x v="6"/>
    <x v="620"/>
    <x v="0"/>
    <s v="Art"/>
    <x v="607"/>
    <n v="497.26"/>
    <n v="9"/>
    <n v="4475.34"/>
    <s v="S682"/>
    <x v="3"/>
    <s v="W29"/>
    <x v="3"/>
    <s v="BlueDart"/>
    <s v="Mumbai-Berlin"/>
    <n v="3995"/>
    <n v="125"/>
    <x v="0"/>
    <n v="1"/>
    <n v="1920.91"/>
    <n v="143.01"/>
    <n v="2063.92"/>
    <s v="On-time"/>
    <n v="0"/>
    <n v="92.53"/>
    <n v="110"/>
    <n v="86"/>
    <n v="0.51662578222778477"/>
  </r>
  <r>
    <x v="772"/>
    <s v="C1313"/>
    <x v="574"/>
    <d v="2022-09-18T00:00:00"/>
    <x v="2"/>
    <x v="2"/>
    <x v="2"/>
    <x v="0"/>
    <x v="424"/>
    <x v="0"/>
    <s v="Binders"/>
    <x v="418"/>
    <n v="180.25"/>
    <n v="68"/>
    <n v="12257"/>
    <s v="S765"/>
    <x v="3"/>
    <s v="W37"/>
    <x v="0"/>
    <s v="BlueDart"/>
    <s v="Cape Town-Mumbai"/>
    <n v="2721"/>
    <n v="349"/>
    <x v="0"/>
    <n v="22"/>
    <n v="1633.8"/>
    <n v="280.23"/>
    <n v="1914.03"/>
    <s v="On-time"/>
    <n v="0"/>
    <n v="98.82"/>
    <n v="124"/>
    <n v="91"/>
    <n v="0.7034288864388093"/>
  </r>
  <r>
    <x v="773"/>
    <s v="C2706"/>
    <x v="631"/>
    <d v="2023-04-16T00:00:00"/>
    <x v="2"/>
    <x v="2"/>
    <x v="0"/>
    <x v="1"/>
    <x v="621"/>
    <x v="0"/>
    <s v="Binders"/>
    <x v="608"/>
    <n v="12.72"/>
    <n v="61"/>
    <n v="775.92000000000007"/>
    <s v="S355"/>
    <x v="1"/>
    <s v="W38"/>
    <x v="2"/>
    <s v="BlueDart"/>
    <s v="Berlin-London"/>
    <n v="2182"/>
    <n v="121"/>
    <x v="0"/>
    <n v="22"/>
    <n v="1837.49"/>
    <n v="307.20999999999998"/>
    <n v="2144.6999999999998"/>
    <s v="On-time"/>
    <n v="0"/>
    <n v="89.68"/>
    <n v="165"/>
    <n v="158"/>
    <n v="0.98290559120073318"/>
  </r>
  <r>
    <x v="774"/>
    <s v="C1703"/>
    <x v="632"/>
    <d v="2023-12-05T00:00:00"/>
    <x v="2"/>
    <x v="4"/>
    <x v="3"/>
    <x v="5"/>
    <x v="622"/>
    <x v="0"/>
    <s v="Binders"/>
    <x v="609"/>
    <n v="10.78"/>
    <n v="28"/>
    <n v="301.83999999999997"/>
    <s v="S627"/>
    <x v="0"/>
    <s v="W35"/>
    <x v="0"/>
    <s v="DHL"/>
    <s v="Mumbai-London"/>
    <n v="3651"/>
    <n v="447"/>
    <x v="0"/>
    <n v="21"/>
    <n v="344.9"/>
    <n v="106.86"/>
    <n v="451.76"/>
    <s v="On-time"/>
    <n v="0"/>
    <n v="84"/>
    <n v="247"/>
    <n v="288"/>
    <n v="0.12373596274993152"/>
  </r>
  <r>
    <x v="775"/>
    <s v="C6260"/>
    <x v="633"/>
    <d v="2021-07-11T00:00:00"/>
    <x v="2"/>
    <x v="0"/>
    <x v="4"/>
    <x v="5"/>
    <x v="623"/>
    <x v="0"/>
    <s v="Paper"/>
    <x v="610"/>
    <n v="64.150000000000006"/>
    <n v="53"/>
    <n v="3399.9500000000003"/>
    <s v="S980"/>
    <x v="0"/>
    <s v="W7"/>
    <x v="3"/>
    <s v="UPS"/>
    <s v="São Paulo-New York"/>
    <n v="3264"/>
    <n v="383"/>
    <x v="0"/>
    <n v="2"/>
    <n v="1021.61"/>
    <n v="126.53"/>
    <n v="1148.1400000000001"/>
    <s v="Delayed"/>
    <n v="14"/>
    <n v="73.41"/>
    <n v="481"/>
    <n v="486"/>
    <n v="0.35175857843137259"/>
  </r>
  <r>
    <x v="776"/>
    <s v="C4240"/>
    <x v="634"/>
    <d v="2023-01-15T00:00:00"/>
    <x v="2"/>
    <x v="1"/>
    <x v="1"/>
    <x v="1"/>
    <x v="624"/>
    <x v="0"/>
    <s v="Paper"/>
    <x v="611"/>
    <n v="232.6"/>
    <n v="95"/>
    <n v="22097"/>
    <s v="S641"/>
    <x v="4"/>
    <s v="W24"/>
    <x v="1"/>
    <s v="DHL"/>
    <s v="Toronto-Beijing"/>
    <n v="2453"/>
    <n v="262"/>
    <x v="0"/>
    <n v="13"/>
    <n v="1984.6"/>
    <n v="74.67"/>
    <n v="2059.27"/>
    <s v="On-time"/>
    <n v="0"/>
    <n v="75.099999999999994"/>
    <n v="465"/>
    <n v="434"/>
    <n v="0.8394904198940073"/>
  </r>
  <r>
    <x v="777"/>
    <s v="C5608"/>
    <x v="292"/>
    <d v="2022-02-09T00:00:00"/>
    <x v="1"/>
    <x v="2"/>
    <x v="7"/>
    <x v="2"/>
    <x v="625"/>
    <x v="0"/>
    <s v="Paper"/>
    <x v="612"/>
    <n v="58.47"/>
    <n v="24"/>
    <n v="1403.28"/>
    <s v="S214"/>
    <x v="2"/>
    <s v="W37"/>
    <x v="0"/>
    <s v="DHL"/>
    <s v="Berlin-London"/>
    <n v="2763"/>
    <n v="66"/>
    <x v="0"/>
    <n v="9"/>
    <n v="1234.31"/>
    <n v="93.47"/>
    <n v="1327.78"/>
    <s v="On-time"/>
    <n v="0"/>
    <n v="99.38"/>
    <n v="485"/>
    <n v="503"/>
    <n v="0.48055736518277231"/>
  </r>
  <r>
    <x v="778"/>
    <s v="C7900"/>
    <x v="635"/>
    <d v="2020-06-14T00:00:00"/>
    <x v="1"/>
    <x v="2"/>
    <x v="5"/>
    <x v="0"/>
    <x v="626"/>
    <x v="0"/>
    <s v="Paper"/>
    <x v="613"/>
    <n v="95.78"/>
    <n v="24"/>
    <n v="2298.7200000000003"/>
    <s v="S496"/>
    <x v="1"/>
    <s v="W26"/>
    <x v="0"/>
    <s v="UPS"/>
    <s v="Berlin-São Paulo"/>
    <n v="641"/>
    <n v="292"/>
    <x v="0"/>
    <n v="26"/>
    <n v="970.53"/>
    <n v="144.61000000000001"/>
    <n v="1115.1400000000001"/>
    <s v="On-time"/>
    <n v="0"/>
    <n v="91.36"/>
    <n v="264"/>
    <n v="248"/>
    <n v="1.739687987519501"/>
  </r>
  <r>
    <x v="779"/>
    <s v="C4456"/>
    <x v="636"/>
    <d v="2022-09-22T00:00:00"/>
    <x v="2"/>
    <x v="1"/>
    <x v="7"/>
    <x v="5"/>
    <x v="179"/>
    <x v="0"/>
    <s v="Storage"/>
    <x v="178"/>
    <n v="453.78"/>
    <n v="75"/>
    <n v="34033.5"/>
    <s v="S194"/>
    <x v="3"/>
    <s v="W12"/>
    <x v="1"/>
    <s v="Maersk"/>
    <s v="São Paulo-Toronto"/>
    <n v="4113"/>
    <n v="194"/>
    <x v="0"/>
    <n v="2"/>
    <n v="1456.29"/>
    <n v="83.03"/>
    <n v="1539.32"/>
    <s v="On-time"/>
    <n v="0"/>
    <n v="91.4"/>
    <n v="400"/>
    <n v="423"/>
    <n v="0.37425723316314125"/>
  </r>
  <r>
    <x v="780"/>
    <s v="C1359"/>
    <x v="637"/>
    <d v="2022-10-03T00:00:00"/>
    <x v="1"/>
    <x v="4"/>
    <x v="0"/>
    <x v="3"/>
    <x v="105"/>
    <x v="0"/>
    <s v="Storage"/>
    <x v="104"/>
    <n v="432.89"/>
    <n v="94"/>
    <n v="40691.659999999996"/>
    <s v="S692"/>
    <x v="0"/>
    <s v="W16"/>
    <x v="2"/>
    <s v="Maersk"/>
    <s v="Beijing-Toronto"/>
    <n v="4856"/>
    <n v="307"/>
    <x v="0"/>
    <n v="5"/>
    <n v="1693.95"/>
    <n v="78.17"/>
    <n v="1772.12"/>
    <s v="On-time"/>
    <n v="0"/>
    <n v="78.84"/>
    <n v="328"/>
    <n v="323"/>
    <n v="0.36493410214168037"/>
  </r>
  <r>
    <x v="781"/>
    <s v="C9881"/>
    <x v="638"/>
    <d v="2022-05-08T00:00:00"/>
    <x v="2"/>
    <x v="0"/>
    <x v="5"/>
    <x v="0"/>
    <x v="627"/>
    <x v="0"/>
    <s v="Storage"/>
    <x v="614"/>
    <n v="145.74"/>
    <n v="16"/>
    <n v="2331.84"/>
    <s v="S731"/>
    <x v="0"/>
    <s v="W11"/>
    <x v="2"/>
    <s v="UPS"/>
    <s v="London-Berlin"/>
    <n v="540"/>
    <n v="257"/>
    <x v="0"/>
    <n v="13"/>
    <n v="1460.11"/>
    <n v="136.22999999999999"/>
    <n v="1596.34"/>
    <s v="On-time"/>
    <n v="0"/>
    <n v="95.04"/>
    <n v="437"/>
    <n v="455"/>
    <n v="2.956185185185185"/>
  </r>
  <r>
    <x v="782"/>
    <s v="C2104"/>
    <x v="639"/>
    <d v="2024-09-16T00:00:00"/>
    <x v="2"/>
    <x v="1"/>
    <x v="6"/>
    <x v="3"/>
    <x v="628"/>
    <x v="2"/>
    <s v="Accessories"/>
    <x v="615"/>
    <n v="197.37"/>
    <n v="33"/>
    <n v="6513.21"/>
    <s v="S126"/>
    <x v="4"/>
    <s v="W10"/>
    <x v="1"/>
    <s v="BlueDart"/>
    <s v="Beijing-Mumbai"/>
    <n v="4597"/>
    <n v="52"/>
    <x v="0"/>
    <n v="11"/>
    <n v="562.11"/>
    <n v="290.64999999999998"/>
    <n v="852.76"/>
    <s v="On-time"/>
    <n v="0"/>
    <n v="70.13"/>
    <n v="394"/>
    <n v="424"/>
    <n v="0.18550358929736785"/>
  </r>
  <r>
    <x v="783"/>
    <s v="C8687"/>
    <x v="556"/>
    <d v="2024-09-22T00:00:00"/>
    <x v="2"/>
    <x v="0"/>
    <x v="3"/>
    <x v="1"/>
    <x v="629"/>
    <x v="1"/>
    <s v="Chairs"/>
    <x v="616"/>
    <n v="395.29"/>
    <n v="95"/>
    <n v="37552.550000000003"/>
    <s v="S343"/>
    <x v="3"/>
    <s v="W47"/>
    <x v="3"/>
    <s v="FedEx"/>
    <s v="Mumbai-São Paulo"/>
    <n v="2744"/>
    <n v="61"/>
    <x v="0"/>
    <n v="7"/>
    <n v="1232.26"/>
    <n v="104.36"/>
    <n v="1336.62"/>
    <s v="On-time"/>
    <n v="0"/>
    <n v="90.73"/>
    <n v="377"/>
    <n v="389"/>
    <n v="0.48710641399416904"/>
  </r>
  <r>
    <x v="784"/>
    <s v="C2237"/>
    <x v="640"/>
    <d v="2022-11-21T00:00:00"/>
    <x v="1"/>
    <x v="1"/>
    <x v="5"/>
    <x v="2"/>
    <x v="630"/>
    <x v="1"/>
    <s v="Chairs"/>
    <x v="617"/>
    <n v="274.45"/>
    <n v="12"/>
    <n v="3293.3999999999996"/>
    <s v="S826"/>
    <x v="2"/>
    <s v="W23"/>
    <x v="0"/>
    <s v="Maersk"/>
    <s v="Berlin-Beijing"/>
    <n v="3766"/>
    <n v="104"/>
    <x v="0"/>
    <n v="7"/>
    <n v="81.19"/>
    <n v="104.59"/>
    <n v="185.78"/>
    <s v="On-time"/>
    <n v="0"/>
    <n v="77.62"/>
    <n v="311"/>
    <n v="318"/>
    <n v="4.9330855018587361E-2"/>
  </r>
  <r>
    <x v="785"/>
    <s v="C6559"/>
    <x v="456"/>
    <d v="2022-07-04T00:00:00"/>
    <x v="2"/>
    <x v="1"/>
    <x v="2"/>
    <x v="3"/>
    <x v="183"/>
    <x v="1"/>
    <s v="Tables"/>
    <x v="182"/>
    <n v="188.62"/>
    <n v="68"/>
    <n v="12826.16"/>
    <s v="S515"/>
    <x v="0"/>
    <s v="W32"/>
    <x v="0"/>
    <s v="UPS"/>
    <s v="New York-London"/>
    <n v="4103"/>
    <n v="112"/>
    <x v="0"/>
    <n v="13"/>
    <n v="656.27"/>
    <n v="34.56"/>
    <n v="690.82999999999993"/>
    <s v="On-time"/>
    <n v="0"/>
    <n v="97.78"/>
    <n v="160"/>
    <n v="126"/>
    <n v="0.16837192298318301"/>
  </r>
  <r>
    <x v="786"/>
    <s v="C9997"/>
    <x v="641"/>
    <d v="2024-04-18T00:00:00"/>
    <x v="0"/>
    <x v="0"/>
    <x v="5"/>
    <x v="2"/>
    <x v="419"/>
    <x v="0"/>
    <s v="Appliances"/>
    <x v="413"/>
    <n v="489.09"/>
    <n v="46"/>
    <n v="22498.14"/>
    <s v="S638"/>
    <x v="3"/>
    <s v="W30"/>
    <x v="3"/>
    <s v="DHL"/>
    <s v="São Paulo-Beijing"/>
    <n v="4620"/>
    <n v="269"/>
    <x v="0"/>
    <n v="21"/>
    <n v="1169.06"/>
    <n v="290.87"/>
    <n v="1459.93"/>
    <s v="Delayed"/>
    <n v="14"/>
    <n v="89.02"/>
    <n v="94"/>
    <n v="142"/>
    <n v="0.31600216450216451"/>
  </r>
  <r>
    <x v="787"/>
    <s v="C3966"/>
    <x v="101"/>
    <d v="2022-02-23T00:00:00"/>
    <x v="2"/>
    <x v="1"/>
    <x v="6"/>
    <x v="2"/>
    <x v="631"/>
    <x v="0"/>
    <s v="Art"/>
    <x v="618"/>
    <n v="72.3"/>
    <n v="13"/>
    <n v="939.9"/>
    <s v="S960"/>
    <x v="0"/>
    <s v="W45"/>
    <x v="1"/>
    <s v="UPS"/>
    <s v="Berlin-Mumbai"/>
    <n v="4884"/>
    <n v="138"/>
    <x v="0"/>
    <n v="18"/>
    <n v="1033.71"/>
    <n v="408.02"/>
    <n v="1441.73"/>
    <s v="On-time"/>
    <n v="0"/>
    <n v="97.58"/>
    <n v="224"/>
    <n v="239"/>
    <n v="0.29519451269451269"/>
  </r>
  <r>
    <x v="788"/>
    <s v="C1505"/>
    <x v="642"/>
    <d v="2021-04-13T00:00:00"/>
    <x v="1"/>
    <x v="2"/>
    <x v="0"/>
    <x v="7"/>
    <x v="632"/>
    <x v="0"/>
    <s v="Binders"/>
    <x v="619"/>
    <n v="340.74"/>
    <n v="65"/>
    <n v="22148.100000000002"/>
    <s v="S407"/>
    <x v="2"/>
    <s v="W28"/>
    <x v="1"/>
    <s v="BlueDart"/>
    <s v="Berlin-Cape Town"/>
    <n v="1076"/>
    <n v="265"/>
    <x v="0"/>
    <n v="22"/>
    <n v="1008.22"/>
    <n v="64.62"/>
    <n v="1072.8399999999999"/>
    <s v="On-time"/>
    <n v="0"/>
    <n v="71.98"/>
    <n v="91"/>
    <n v="136"/>
    <n v="0.9970631970260222"/>
  </r>
  <r>
    <x v="789"/>
    <s v="C3132"/>
    <x v="643"/>
    <d v="2021-10-05T00:00:00"/>
    <x v="2"/>
    <x v="2"/>
    <x v="1"/>
    <x v="3"/>
    <x v="633"/>
    <x v="0"/>
    <s v="Envelopes"/>
    <x v="620"/>
    <n v="230.23"/>
    <n v="24"/>
    <n v="5525.5199999999995"/>
    <s v="S587"/>
    <x v="3"/>
    <s v="W5"/>
    <x v="0"/>
    <s v="DHL"/>
    <s v="Beijing-London"/>
    <n v="2781"/>
    <n v="83"/>
    <x v="0"/>
    <n v="24"/>
    <n v="1107.58"/>
    <n v="484.19"/>
    <n v="1591.77"/>
    <s v="On-time"/>
    <n v="0"/>
    <n v="97.09"/>
    <n v="277"/>
    <n v="276"/>
    <n v="0.57237324703344117"/>
  </r>
  <r>
    <x v="790"/>
    <s v="C3468"/>
    <x v="471"/>
    <d v="2024-07-23T00:00:00"/>
    <x v="2"/>
    <x v="0"/>
    <x v="3"/>
    <x v="0"/>
    <x v="236"/>
    <x v="2"/>
    <s v="Phones"/>
    <x v="234"/>
    <n v="457.87"/>
    <n v="36"/>
    <n v="16483.32"/>
    <s v="S198"/>
    <x v="2"/>
    <s v="W38"/>
    <x v="2"/>
    <s v="FedEx"/>
    <s v="Cape Town-São Paulo"/>
    <n v="3673"/>
    <n v="247"/>
    <x v="0"/>
    <n v="17"/>
    <n v="1308.17"/>
    <n v="451.39"/>
    <n v="1759.56"/>
    <s v="On-time"/>
    <n v="0"/>
    <n v="94.06"/>
    <n v="415"/>
    <n v="454"/>
    <n v="0.47905254560304927"/>
  </r>
  <r>
    <x v="791"/>
    <s v="C3158"/>
    <x v="484"/>
    <d v="2022-02-21T00:00:00"/>
    <x v="2"/>
    <x v="4"/>
    <x v="6"/>
    <x v="4"/>
    <x v="578"/>
    <x v="1"/>
    <s v="Chairs"/>
    <x v="566"/>
    <n v="208.3"/>
    <n v="38"/>
    <n v="7915.4000000000005"/>
    <s v="S840"/>
    <x v="1"/>
    <s v="W12"/>
    <x v="1"/>
    <s v="DHL"/>
    <s v="London-London"/>
    <n v="1294"/>
    <n v="305"/>
    <x v="0"/>
    <n v="13"/>
    <n v="916.27"/>
    <n v="389.4"/>
    <n v="1305.67"/>
    <s v="On-time"/>
    <n v="0"/>
    <n v="97.95"/>
    <n v="200"/>
    <n v="199"/>
    <n v="1.0090185471406492"/>
  </r>
  <r>
    <x v="792"/>
    <s v="C1293"/>
    <x v="644"/>
    <d v="2023-01-27T00:00:00"/>
    <x v="2"/>
    <x v="4"/>
    <x v="3"/>
    <x v="2"/>
    <x v="634"/>
    <x v="1"/>
    <s v="Tables"/>
    <x v="621"/>
    <n v="19.11"/>
    <n v="11"/>
    <n v="210.20999999999998"/>
    <s v="S136"/>
    <x v="0"/>
    <s v="W26"/>
    <x v="1"/>
    <s v="FedEx"/>
    <s v="Mumbai-Mumbai"/>
    <n v="1299"/>
    <n v="169"/>
    <x v="0"/>
    <n v="6"/>
    <n v="464.72"/>
    <n v="211.48"/>
    <n v="676.2"/>
    <s v="On-time"/>
    <n v="0"/>
    <n v="77.05"/>
    <n v="421"/>
    <n v="393"/>
    <n v="0.520554272517321"/>
  </r>
  <r>
    <x v="793"/>
    <s v="C2773"/>
    <x v="588"/>
    <d v="2021-05-20T00:00:00"/>
    <x v="0"/>
    <x v="3"/>
    <x v="5"/>
    <x v="6"/>
    <x v="635"/>
    <x v="0"/>
    <s v="Art"/>
    <x v="622"/>
    <n v="380.6"/>
    <n v="94"/>
    <n v="35776.400000000001"/>
    <s v="S611"/>
    <x v="2"/>
    <s v="W44"/>
    <x v="1"/>
    <s v="Maersk"/>
    <s v="New York-New York"/>
    <n v="1766"/>
    <n v="87"/>
    <x v="0"/>
    <n v="8"/>
    <n v="1150.4100000000001"/>
    <n v="66.44"/>
    <n v="1216.8499999999999"/>
    <s v="On-time"/>
    <n v="0"/>
    <n v="96.94"/>
    <n v="400"/>
    <n v="395"/>
    <n v="0.68904303510758769"/>
  </r>
  <r>
    <x v="794"/>
    <s v="C6191"/>
    <x v="16"/>
    <d v="2022-03-04T00:00:00"/>
    <x v="2"/>
    <x v="4"/>
    <x v="0"/>
    <x v="5"/>
    <x v="636"/>
    <x v="0"/>
    <s v="Art"/>
    <x v="623"/>
    <n v="196.13"/>
    <n v="96"/>
    <n v="18828.48"/>
    <s v="S296"/>
    <x v="3"/>
    <s v="W35"/>
    <x v="2"/>
    <s v="Maersk"/>
    <s v="Toronto-Berlin"/>
    <n v="4621"/>
    <n v="438"/>
    <x v="0"/>
    <n v="4"/>
    <n v="1790.83"/>
    <n v="421.52"/>
    <n v="2212.35"/>
    <s v="On-time"/>
    <n v="0"/>
    <n v="92.7"/>
    <n v="288"/>
    <n v="239"/>
    <n v="0.47876000865613499"/>
  </r>
  <r>
    <x v="795"/>
    <s v="C3830"/>
    <x v="519"/>
    <d v="2020-12-12T00:00:00"/>
    <x v="2"/>
    <x v="0"/>
    <x v="2"/>
    <x v="7"/>
    <x v="278"/>
    <x v="0"/>
    <s v="Art"/>
    <x v="275"/>
    <n v="425.71"/>
    <n v="71"/>
    <n v="30225.41"/>
    <s v="S546"/>
    <x v="2"/>
    <s v="W4"/>
    <x v="2"/>
    <s v="UPS"/>
    <s v="London-Cape Town"/>
    <n v="4964"/>
    <n v="475"/>
    <x v="0"/>
    <n v="2"/>
    <n v="1737.1"/>
    <n v="156.82"/>
    <n v="1893.92"/>
    <s v="On-time"/>
    <n v="0"/>
    <n v="90.07"/>
    <n v="355"/>
    <n v="381"/>
    <n v="0.3815310233682514"/>
  </r>
  <r>
    <x v="796"/>
    <s v="C4429"/>
    <x v="555"/>
    <d v="2024-05-20T00:00:00"/>
    <x v="2"/>
    <x v="1"/>
    <x v="6"/>
    <x v="3"/>
    <x v="637"/>
    <x v="0"/>
    <s v="Storage"/>
    <x v="624"/>
    <n v="33.69"/>
    <n v="90"/>
    <n v="3032.1"/>
    <s v="S494"/>
    <x v="1"/>
    <s v="W21"/>
    <x v="2"/>
    <s v="FedEx"/>
    <s v="Toronto-Cape Town"/>
    <n v="1594"/>
    <n v="375"/>
    <x v="0"/>
    <n v="10"/>
    <n v="878.84"/>
    <n v="26.49"/>
    <n v="905.33"/>
    <s v="Delayed"/>
    <n v="4"/>
    <n v="90.74"/>
    <n v="478"/>
    <n v="486"/>
    <n v="0.56796110414052703"/>
  </r>
  <r>
    <x v="797"/>
    <s v="C4772"/>
    <x v="645"/>
    <d v="2024-05-30T00:00:00"/>
    <x v="0"/>
    <x v="1"/>
    <x v="0"/>
    <x v="0"/>
    <x v="57"/>
    <x v="0"/>
    <s v="Storage"/>
    <x v="56"/>
    <n v="183.66"/>
    <n v="83"/>
    <n v="15243.779999999999"/>
    <s v="S844"/>
    <x v="2"/>
    <s v="W32"/>
    <x v="1"/>
    <s v="Maersk"/>
    <s v="Beijing-Beijing"/>
    <n v="4970"/>
    <n v="189"/>
    <x v="0"/>
    <n v="23"/>
    <n v="1902.13"/>
    <n v="73.88"/>
    <n v="1976.01"/>
    <s v="On-time"/>
    <n v="0"/>
    <n v="92.83"/>
    <n v="388"/>
    <n v="361"/>
    <n v="0.39758752515090545"/>
  </r>
  <r>
    <x v="798"/>
    <s v="C7817"/>
    <x v="646"/>
    <d v="2023-04-07T00:00:00"/>
    <x v="1"/>
    <x v="0"/>
    <x v="1"/>
    <x v="4"/>
    <x v="638"/>
    <x v="2"/>
    <s v="Accessories"/>
    <x v="625"/>
    <n v="475.6"/>
    <n v="14"/>
    <n v="6658.4000000000005"/>
    <s v="S778"/>
    <x v="3"/>
    <s v="W41"/>
    <x v="1"/>
    <s v="DHL"/>
    <s v="São Paulo-Toronto"/>
    <n v="3153"/>
    <n v="313"/>
    <x v="0"/>
    <n v="21"/>
    <n v="1317.73"/>
    <n v="450.21"/>
    <n v="1767.94"/>
    <s v="On-time"/>
    <n v="0"/>
    <n v="71.37"/>
    <n v="260"/>
    <n v="273"/>
    <n v="0.56071677767205841"/>
  </r>
  <r>
    <x v="799"/>
    <s v="C3342"/>
    <x v="647"/>
    <d v="2024-03-15T00:00:00"/>
    <x v="2"/>
    <x v="2"/>
    <x v="6"/>
    <x v="4"/>
    <x v="639"/>
    <x v="0"/>
    <s v="Art"/>
    <x v="626"/>
    <n v="196.45"/>
    <n v="85"/>
    <n v="16698.25"/>
    <s v="S253"/>
    <x v="1"/>
    <s v="W8"/>
    <x v="3"/>
    <s v="DHL"/>
    <s v="Toronto-Cape Town"/>
    <n v="2229"/>
    <n v="216"/>
    <x v="0"/>
    <n v="24"/>
    <n v="1810.78"/>
    <n v="26.8"/>
    <n v="1837.58"/>
    <s v="On-time"/>
    <n v="0"/>
    <n v="71.61"/>
    <n v="427"/>
    <n v="452"/>
    <n v="0.82439659039928215"/>
  </r>
  <r>
    <x v="800"/>
    <s v="C7782"/>
    <x v="648"/>
    <d v="2023-02-05T00:00:00"/>
    <x v="1"/>
    <x v="2"/>
    <x v="3"/>
    <x v="5"/>
    <x v="621"/>
    <x v="0"/>
    <s v="Binders"/>
    <x v="608"/>
    <n v="496.49"/>
    <n v="12"/>
    <n v="5957.88"/>
    <s v="S144"/>
    <x v="3"/>
    <s v="W30"/>
    <x v="2"/>
    <s v="UPS"/>
    <s v="São Paulo-Berlin"/>
    <n v="1959"/>
    <n v="90"/>
    <x v="0"/>
    <n v="6"/>
    <n v="179.15"/>
    <n v="36.72"/>
    <n v="215.87"/>
    <s v="On-time"/>
    <n v="0"/>
    <n v="92.89"/>
    <n v="487"/>
    <n v="450"/>
    <n v="0.11019397651863196"/>
  </r>
  <r>
    <x v="801"/>
    <s v="C9444"/>
    <x v="649"/>
    <d v="2021-04-11T00:00:00"/>
    <x v="2"/>
    <x v="3"/>
    <x v="3"/>
    <x v="7"/>
    <x v="640"/>
    <x v="0"/>
    <s v="Supplies"/>
    <x v="627"/>
    <n v="215.64"/>
    <n v="62"/>
    <n v="13369.679999999998"/>
    <s v="S185"/>
    <x v="1"/>
    <s v="W14"/>
    <x v="2"/>
    <s v="Maersk"/>
    <s v="Beijing-Toronto"/>
    <n v="4123"/>
    <n v="78"/>
    <x v="0"/>
    <n v="5"/>
    <n v="1573.08"/>
    <n v="342.57"/>
    <n v="1915.65"/>
    <s v="On-time"/>
    <n v="0"/>
    <n v="85.86"/>
    <n v="331"/>
    <n v="299"/>
    <n v="0.46462527285956828"/>
  </r>
  <r>
    <x v="802"/>
    <s v="C7673"/>
    <x v="650"/>
    <d v="2023-09-21T00:00:00"/>
    <x v="2"/>
    <x v="4"/>
    <x v="6"/>
    <x v="3"/>
    <x v="641"/>
    <x v="2"/>
    <s v="Accessories"/>
    <x v="628"/>
    <n v="447.98"/>
    <n v="41"/>
    <n v="18367.18"/>
    <s v="S157"/>
    <x v="1"/>
    <s v="W38"/>
    <x v="0"/>
    <s v="Maersk"/>
    <s v="Toronto-Beijing"/>
    <n v="2568"/>
    <n v="445"/>
    <x v="0"/>
    <n v="21"/>
    <n v="755.18"/>
    <n v="107.67"/>
    <n v="862.84999999999991"/>
    <s v="On-time"/>
    <n v="0"/>
    <n v="80.58"/>
    <n v="308"/>
    <n v="279"/>
    <n v="0.33600077881619933"/>
  </r>
  <r>
    <x v="803"/>
    <s v="C9733"/>
    <x v="651"/>
    <d v="2020-10-01T00:00:00"/>
    <x v="1"/>
    <x v="0"/>
    <x v="4"/>
    <x v="4"/>
    <x v="642"/>
    <x v="2"/>
    <s v="Accessories"/>
    <x v="629"/>
    <n v="139.43"/>
    <n v="85"/>
    <n v="11851.550000000001"/>
    <s v="S694"/>
    <x v="4"/>
    <s v="W28"/>
    <x v="0"/>
    <s v="BlueDart"/>
    <s v="Cape Town-London"/>
    <n v="296"/>
    <n v="337"/>
    <x v="1"/>
    <n v="24"/>
    <n v="1503.56"/>
    <n v="155.46"/>
    <n v="1659.02"/>
    <s v="On-time"/>
    <n v="0"/>
    <n v="89.89"/>
    <n v="223"/>
    <n v="257"/>
    <n v="5.6047972972972975"/>
  </r>
  <r>
    <x v="804"/>
    <s v="C1082"/>
    <x v="300"/>
    <d v="2022-08-07T00:00:00"/>
    <x v="2"/>
    <x v="4"/>
    <x v="6"/>
    <x v="3"/>
    <x v="643"/>
    <x v="2"/>
    <s v="Accessories"/>
    <x v="630"/>
    <n v="416.84"/>
    <n v="86"/>
    <n v="35848.239999999998"/>
    <s v="S871"/>
    <x v="3"/>
    <s v="W18"/>
    <x v="1"/>
    <s v="Maersk"/>
    <s v="Cape Town-Beijing"/>
    <n v="1206"/>
    <n v="199"/>
    <x v="0"/>
    <n v="21"/>
    <n v="1770.18"/>
    <n v="161.38"/>
    <n v="1931.56"/>
    <s v="On-time"/>
    <n v="0"/>
    <n v="77.959999999999994"/>
    <n v="387"/>
    <n v="418"/>
    <n v="1.6016252072968491"/>
  </r>
  <r>
    <x v="805"/>
    <s v="C7360"/>
    <x v="652"/>
    <d v="2020-06-24T00:00:00"/>
    <x v="2"/>
    <x v="2"/>
    <x v="3"/>
    <x v="3"/>
    <x v="577"/>
    <x v="2"/>
    <s v="Accessories"/>
    <x v="565"/>
    <n v="87.94"/>
    <n v="59"/>
    <n v="5188.46"/>
    <s v="S723"/>
    <x v="4"/>
    <s v="W23"/>
    <x v="2"/>
    <s v="BlueDart"/>
    <s v="São Paulo-São Paulo"/>
    <n v="678"/>
    <n v="271"/>
    <x v="0"/>
    <n v="3"/>
    <n v="185.96"/>
    <n v="379.5"/>
    <n v="565.46"/>
    <s v="On-time"/>
    <n v="0"/>
    <n v="75.08"/>
    <n v="200"/>
    <n v="186"/>
    <n v="0.83401179941002956"/>
  </r>
  <r>
    <x v="806"/>
    <s v="C6967"/>
    <x v="653"/>
    <d v="2023-03-03T00:00:00"/>
    <x v="1"/>
    <x v="3"/>
    <x v="6"/>
    <x v="4"/>
    <x v="448"/>
    <x v="2"/>
    <s v="Phones"/>
    <x v="440"/>
    <n v="141.04"/>
    <n v="73"/>
    <n v="10295.92"/>
    <s v="S870"/>
    <x v="1"/>
    <s v="W6"/>
    <x v="1"/>
    <s v="DHL"/>
    <s v="Toronto-São Paulo"/>
    <n v="1285"/>
    <n v="364"/>
    <x v="0"/>
    <n v="9"/>
    <n v="294.70999999999998"/>
    <n v="141.6"/>
    <n v="436.30999999999989"/>
    <s v="On-time"/>
    <n v="0"/>
    <n v="79.28"/>
    <n v="91"/>
    <n v="71"/>
    <n v="0.33954085603112832"/>
  </r>
  <r>
    <x v="807"/>
    <s v="C2035"/>
    <x v="654"/>
    <d v="2023-02-25T00:00:00"/>
    <x v="2"/>
    <x v="2"/>
    <x v="6"/>
    <x v="7"/>
    <x v="352"/>
    <x v="2"/>
    <s v="Phones"/>
    <x v="347"/>
    <n v="92.79"/>
    <n v="52"/>
    <n v="4825.08"/>
    <s v="S280"/>
    <x v="4"/>
    <s v="W44"/>
    <x v="2"/>
    <s v="UPS"/>
    <s v="Berlin-Berlin"/>
    <n v="828"/>
    <n v="221"/>
    <x v="0"/>
    <n v="27"/>
    <n v="1626"/>
    <n v="382.27"/>
    <n v="2008.27"/>
    <s v="On-time"/>
    <n v="0"/>
    <n v="86.41"/>
    <n v="465"/>
    <n v="447"/>
    <n v="2.4254468599033818"/>
  </r>
  <r>
    <x v="808"/>
    <s v="C8504"/>
    <x v="655"/>
    <d v="2023-08-29T00:00:00"/>
    <x v="2"/>
    <x v="1"/>
    <x v="1"/>
    <x v="3"/>
    <x v="644"/>
    <x v="1"/>
    <s v="Furnishings"/>
    <x v="631"/>
    <n v="106.8"/>
    <n v="16"/>
    <n v="1708.8"/>
    <s v="S135"/>
    <x v="0"/>
    <s v="W4"/>
    <x v="0"/>
    <s v="UPS"/>
    <s v="Berlin-Mumbai"/>
    <n v="2691"/>
    <n v="400"/>
    <x v="0"/>
    <n v="10"/>
    <n v="1015.8"/>
    <n v="283.45999999999998"/>
    <n v="1299.26"/>
    <s v="On-time"/>
    <n v="0"/>
    <n v="73.260000000000005"/>
    <n v="90"/>
    <n v="72"/>
    <n v="0.48281679672984018"/>
  </r>
  <r>
    <x v="809"/>
    <s v="C6680"/>
    <x v="656"/>
    <d v="2020-03-02T00:00:00"/>
    <x v="1"/>
    <x v="1"/>
    <x v="0"/>
    <x v="4"/>
    <x v="191"/>
    <x v="0"/>
    <s v="Paper"/>
    <x v="190"/>
    <n v="82.36"/>
    <n v="49"/>
    <n v="4035.64"/>
    <s v="S158"/>
    <x v="4"/>
    <s v="W38"/>
    <x v="0"/>
    <s v="UPS"/>
    <s v="São Paulo-Cape Town"/>
    <n v="3144"/>
    <n v="439"/>
    <x v="0"/>
    <n v="25"/>
    <n v="1322.12"/>
    <n v="435.38"/>
    <n v="1757.5"/>
    <s v="On-time"/>
    <n v="0"/>
    <n v="93.89"/>
    <n v="67"/>
    <n v="36"/>
    <n v="0.55900127226463103"/>
  </r>
  <r>
    <x v="810"/>
    <s v="C4942"/>
    <x v="657"/>
    <d v="2020-04-22T00:00:00"/>
    <x v="2"/>
    <x v="0"/>
    <x v="7"/>
    <x v="7"/>
    <x v="645"/>
    <x v="0"/>
    <s v="Storage"/>
    <x v="632"/>
    <n v="495.34"/>
    <n v="94"/>
    <n v="46561.96"/>
    <s v="S793"/>
    <x v="3"/>
    <s v="W38"/>
    <x v="3"/>
    <s v="DHL"/>
    <s v="Beijing-Toronto"/>
    <n v="3192"/>
    <n v="470"/>
    <x v="0"/>
    <n v="23"/>
    <n v="1406"/>
    <n v="222.95"/>
    <n v="1628.95"/>
    <s v="On-time"/>
    <n v="0"/>
    <n v="75.739999999999995"/>
    <n v="495"/>
    <n v="476"/>
    <n v="0.51032268170426065"/>
  </r>
  <r>
    <x v="811"/>
    <s v="C4646"/>
    <x v="213"/>
    <d v="2022-04-29T00:00:00"/>
    <x v="2"/>
    <x v="1"/>
    <x v="5"/>
    <x v="5"/>
    <x v="646"/>
    <x v="0"/>
    <s v="Supplies"/>
    <x v="633"/>
    <n v="51.83"/>
    <n v="70"/>
    <n v="3628.1"/>
    <s v="S301"/>
    <x v="3"/>
    <s v="W19"/>
    <x v="0"/>
    <s v="Maersk"/>
    <s v="Berlin-London"/>
    <n v="2811"/>
    <n v="159"/>
    <x v="0"/>
    <n v="7"/>
    <n v="1945.16"/>
    <n v="497.24"/>
    <n v="2442.4"/>
    <s v="On-time"/>
    <n v="0"/>
    <n v="98.96"/>
    <n v="390"/>
    <n v="372"/>
    <n v="0.86887228744219147"/>
  </r>
  <r>
    <x v="812"/>
    <s v="C2125"/>
    <x v="36"/>
    <d v="2024-04-07T00:00:00"/>
    <x v="2"/>
    <x v="3"/>
    <x v="3"/>
    <x v="6"/>
    <x v="549"/>
    <x v="0"/>
    <s v="Supplies"/>
    <x v="538"/>
    <n v="244.25"/>
    <n v="83"/>
    <n v="20272.75"/>
    <s v="S658"/>
    <x v="0"/>
    <s v="W18"/>
    <x v="3"/>
    <s v="DHL"/>
    <s v="New York-Cape Town"/>
    <n v="3908"/>
    <n v="65"/>
    <x v="0"/>
    <n v="23"/>
    <n v="1851.92"/>
    <n v="467.29"/>
    <n v="2319.21"/>
    <s v="On-time"/>
    <n v="0"/>
    <n v="86.42"/>
    <n v="469"/>
    <n v="507"/>
    <n v="0.59345189355168881"/>
  </r>
  <r>
    <x v="813"/>
    <s v="C9843"/>
    <x v="658"/>
    <d v="2023-09-16T00:00:00"/>
    <x v="2"/>
    <x v="1"/>
    <x v="6"/>
    <x v="3"/>
    <x v="647"/>
    <x v="1"/>
    <s v="Chairs"/>
    <x v="634"/>
    <n v="20.59"/>
    <n v="83"/>
    <n v="1708.97"/>
    <s v="S654"/>
    <x v="2"/>
    <s v="W30"/>
    <x v="3"/>
    <s v="Maersk"/>
    <s v="Berlin-Cape Town"/>
    <n v="725"/>
    <n v="481"/>
    <x v="0"/>
    <n v="28"/>
    <n v="501.74"/>
    <n v="415.58"/>
    <n v="917.31999999999994"/>
    <s v="On-time"/>
    <n v="0"/>
    <n v="82.79"/>
    <n v="72"/>
    <n v="98"/>
    <n v="1.2652689655172413"/>
  </r>
  <r>
    <x v="814"/>
    <s v="C2080"/>
    <x v="367"/>
    <d v="2021-01-12T00:00:00"/>
    <x v="2"/>
    <x v="0"/>
    <x v="5"/>
    <x v="2"/>
    <x v="648"/>
    <x v="1"/>
    <s v="Chairs"/>
    <x v="635"/>
    <n v="254.64"/>
    <n v="52"/>
    <n v="13241.279999999999"/>
    <s v="S733"/>
    <x v="1"/>
    <s v="W12"/>
    <x v="3"/>
    <s v="Maersk"/>
    <s v="Beijing-New York"/>
    <n v="1163"/>
    <n v="474"/>
    <x v="0"/>
    <n v="21"/>
    <n v="1958.84"/>
    <n v="84.92"/>
    <n v="2043.76"/>
    <s v="On-time"/>
    <n v="0"/>
    <n v="99.12"/>
    <n v="165"/>
    <n v="186"/>
    <n v="1.75731728288908"/>
  </r>
  <r>
    <x v="815"/>
    <s v="C2060"/>
    <x v="659"/>
    <d v="2021-07-24T00:00:00"/>
    <x v="2"/>
    <x v="3"/>
    <x v="6"/>
    <x v="1"/>
    <x v="649"/>
    <x v="1"/>
    <s v="Furnishings"/>
    <x v="636"/>
    <n v="303.64"/>
    <n v="51"/>
    <n v="15485.64"/>
    <s v="S774"/>
    <x v="1"/>
    <s v="W13"/>
    <x v="3"/>
    <s v="FedEx"/>
    <s v="Mumbai-New York"/>
    <n v="2010"/>
    <n v="200"/>
    <x v="0"/>
    <n v="13"/>
    <n v="272.11"/>
    <n v="446.51"/>
    <n v="718.62"/>
    <s v="On-time"/>
    <n v="0"/>
    <n v="99.46"/>
    <n v="351"/>
    <n v="307"/>
    <n v="0.35752238805970149"/>
  </r>
  <r>
    <x v="816"/>
    <s v="C6147"/>
    <x v="660"/>
    <d v="2022-11-01T00:00:00"/>
    <x v="1"/>
    <x v="2"/>
    <x v="4"/>
    <x v="5"/>
    <x v="650"/>
    <x v="1"/>
    <s v="Furnishings"/>
    <x v="637"/>
    <n v="65.209999999999994"/>
    <n v="84"/>
    <n v="5477.6399999999994"/>
    <s v="S975"/>
    <x v="0"/>
    <s v="W34"/>
    <x v="3"/>
    <s v="FedEx"/>
    <s v="Beijing-Cape Town"/>
    <n v="331"/>
    <n v="387"/>
    <x v="1"/>
    <n v="8"/>
    <n v="817.07"/>
    <n v="330.69"/>
    <n v="1147.76"/>
    <s v="On-time"/>
    <n v="0"/>
    <n v="71.290000000000006"/>
    <n v="203"/>
    <n v="237"/>
    <n v="3.4675528700906346"/>
  </r>
  <r>
    <x v="817"/>
    <s v="C8608"/>
    <x v="661"/>
    <d v="2020-08-04T00:00:00"/>
    <x v="2"/>
    <x v="4"/>
    <x v="3"/>
    <x v="0"/>
    <x v="651"/>
    <x v="1"/>
    <s v="Furnishings"/>
    <x v="638"/>
    <n v="68.13"/>
    <n v="3"/>
    <n v="204.39"/>
    <s v="S656"/>
    <x v="0"/>
    <s v="W32"/>
    <x v="1"/>
    <s v="DHL"/>
    <s v="São Paulo-London"/>
    <n v="2815"/>
    <n v="384"/>
    <x v="0"/>
    <n v="19"/>
    <n v="105.04"/>
    <n v="144.71"/>
    <n v="249.75"/>
    <s v="On-time"/>
    <n v="0"/>
    <n v="85.97"/>
    <n v="419"/>
    <n v="417"/>
    <n v="8.8721136767317937E-2"/>
  </r>
  <r>
    <x v="818"/>
    <s v="C8455"/>
    <x v="80"/>
    <d v="2020-10-22T00:00:00"/>
    <x v="1"/>
    <x v="4"/>
    <x v="0"/>
    <x v="7"/>
    <x v="652"/>
    <x v="0"/>
    <s v="Appliances"/>
    <x v="639"/>
    <n v="424.11"/>
    <n v="24"/>
    <n v="10178.64"/>
    <s v="S593"/>
    <x v="4"/>
    <s v="W19"/>
    <x v="1"/>
    <s v="Maersk"/>
    <s v="Toronto-Cape Town"/>
    <n v="669"/>
    <n v="336"/>
    <x v="0"/>
    <n v="29"/>
    <n v="498.52"/>
    <n v="79.040000000000006"/>
    <n v="577.55999999999995"/>
    <s v="On-time"/>
    <n v="0"/>
    <n v="72.58"/>
    <n v="464"/>
    <n v="441"/>
    <n v="0.86331838565022412"/>
  </r>
  <r>
    <x v="819"/>
    <s v="C6655"/>
    <x v="662"/>
    <d v="2024-04-14T00:00:00"/>
    <x v="1"/>
    <x v="3"/>
    <x v="7"/>
    <x v="6"/>
    <x v="653"/>
    <x v="0"/>
    <s v="Binders"/>
    <x v="640"/>
    <n v="497.02"/>
    <n v="49"/>
    <n v="24353.98"/>
    <s v="S102"/>
    <x v="2"/>
    <s v="W9"/>
    <x v="1"/>
    <s v="FedEx"/>
    <s v="New York-Cape Town"/>
    <n v="105"/>
    <n v="293"/>
    <x v="1"/>
    <n v="2"/>
    <n v="1905.3"/>
    <n v="415.64"/>
    <n v="2320.94"/>
    <s v="On-time"/>
    <n v="0"/>
    <n v="84.64"/>
    <n v="149"/>
    <n v="132"/>
    <n v="22.104190476190478"/>
  </r>
  <r>
    <x v="820"/>
    <s v="C9678"/>
    <x v="663"/>
    <d v="2021-10-08T00:00:00"/>
    <x v="0"/>
    <x v="3"/>
    <x v="5"/>
    <x v="6"/>
    <x v="654"/>
    <x v="0"/>
    <s v="Binders"/>
    <x v="641"/>
    <n v="207.91"/>
    <n v="98"/>
    <n v="20375.18"/>
    <s v="S439"/>
    <x v="4"/>
    <s v="W19"/>
    <x v="1"/>
    <s v="BlueDart"/>
    <s v="Toronto-Toronto"/>
    <n v="51"/>
    <n v="493"/>
    <x v="1"/>
    <n v="4"/>
    <n v="1207.58"/>
    <n v="88.38"/>
    <n v="1295.96"/>
    <s v="On-time"/>
    <n v="0"/>
    <n v="92.4"/>
    <n v="345"/>
    <n v="364"/>
    <n v="25.410980392156862"/>
  </r>
  <r>
    <x v="821"/>
    <s v="C4767"/>
    <x v="664"/>
    <d v="2022-01-22T00:00:00"/>
    <x v="2"/>
    <x v="1"/>
    <x v="0"/>
    <x v="4"/>
    <x v="516"/>
    <x v="0"/>
    <s v="Binders"/>
    <x v="505"/>
    <n v="52.29"/>
    <n v="52"/>
    <n v="2719.08"/>
    <s v="S210"/>
    <x v="2"/>
    <s v="W7"/>
    <x v="1"/>
    <s v="BlueDart"/>
    <s v="São Paulo-São Paulo"/>
    <n v="102"/>
    <n v="346"/>
    <x v="1"/>
    <n v="3"/>
    <n v="530.97"/>
    <n v="78.86"/>
    <n v="609.83000000000004"/>
    <s v="On-time"/>
    <n v="0"/>
    <n v="92.94"/>
    <n v="363"/>
    <n v="398"/>
    <n v="5.9787254901960791"/>
  </r>
  <r>
    <x v="822"/>
    <s v="C2480"/>
    <x v="210"/>
    <d v="2023-09-02T00:00:00"/>
    <x v="1"/>
    <x v="0"/>
    <x v="7"/>
    <x v="2"/>
    <x v="655"/>
    <x v="0"/>
    <s v="Labels"/>
    <x v="642"/>
    <n v="165.29"/>
    <n v="86"/>
    <n v="14214.939999999999"/>
    <s v="S175"/>
    <x v="3"/>
    <s v="W1"/>
    <x v="2"/>
    <s v="DHL"/>
    <s v="New York-Cape Town"/>
    <n v="3622"/>
    <n v="482"/>
    <x v="0"/>
    <n v="8"/>
    <n v="1496.64"/>
    <n v="212.47"/>
    <n v="1709.11"/>
    <s v="On-time"/>
    <n v="0"/>
    <n v="72.63"/>
    <n v="276"/>
    <n v="320"/>
    <n v="0.47186913307564876"/>
  </r>
  <r>
    <x v="823"/>
    <s v="C3887"/>
    <x v="665"/>
    <d v="2022-06-17T00:00:00"/>
    <x v="2"/>
    <x v="1"/>
    <x v="4"/>
    <x v="4"/>
    <x v="656"/>
    <x v="0"/>
    <s v="Storage"/>
    <x v="643"/>
    <n v="469.89"/>
    <n v="12"/>
    <n v="5638.68"/>
    <s v="S252"/>
    <x v="0"/>
    <s v="W48"/>
    <x v="3"/>
    <s v="UPS"/>
    <s v="Toronto-Beijing"/>
    <n v="2288"/>
    <n v="229"/>
    <x v="0"/>
    <n v="15"/>
    <n v="1177.3900000000001"/>
    <n v="57.53"/>
    <n v="1234.92"/>
    <s v="On-time"/>
    <n v="0"/>
    <n v="84.88"/>
    <n v="94"/>
    <n v="102"/>
    <n v="0.53973776223776226"/>
  </r>
  <r>
    <x v="824"/>
    <s v="C1542"/>
    <x v="666"/>
    <d v="2024-09-02T00:00:00"/>
    <x v="0"/>
    <x v="1"/>
    <x v="3"/>
    <x v="1"/>
    <x v="657"/>
    <x v="2"/>
    <s v="Accessories"/>
    <x v="644"/>
    <n v="70.23"/>
    <n v="17"/>
    <n v="1193.9100000000001"/>
    <s v="S825"/>
    <x v="2"/>
    <s v="W29"/>
    <x v="0"/>
    <s v="UPS"/>
    <s v="London-São Paulo"/>
    <n v="4072"/>
    <n v="211"/>
    <x v="0"/>
    <n v="9"/>
    <n v="454.83"/>
    <n v="369.51"/>
    <n v="824.33999999999992"/>
    <s v="On-time"/>
    <n v="0"/>
    <n v="74.319999999999993"/>
    <n v="224"/>
    <n v="217"/>
    <n v="0.20244106090373279"/>
  </r>
  <r>
    <x v="825"/>
    <s v="C8016"/>
    <x v="667"/>
    <d v="2023-04-01T00:00:00"/>
    <x v="2"/>
    <x v="1"/>
    <x v="4"/>
    <x v="2"/>
    <x v="642"/>
    <x v="2"/>
    <s v="Accessories"/>
    <x v="629"/>
    <n v="417.19"/>
    <n v="54"/>
    <n v="22528.26"/>
    <s v="S453"/>
    <x v="0"/>
    <s v="W18"/>
    <x v="3"/>
    <s v="BlueDart"/>
    <s v="London-Toronto"/>
    <n v="1674"/>
    <n v="320"/>
    <x v="0"/>
    <n v="18"/>
    <n v="761.53"/>
    <n v="482.71"/>
    <n v="1244.24"/>
    <s v="On-time"/>
    <n v="0"/>
    <n v="81.150000000000006"/>
    <n v="311"/>
    <n v="289"/>
    <n v="0.74327359617682198"/>
  </r>
  <r>
    <x v="826"/>
    <s v="C7882"/>
    <x v="668"/>
    <d v="2024-02-21T00:00:00"/>
    <x v="1"/>
    <x v="1"/>
    <x v="7"/>
    <x v="3"/>
    <x v="658"/>
    <x v="2"/>
    <s v="Accessories"/>
    <x v="645"/>
    <n v="39.380000000000003"/>
    <n v="70"/>
    <n v="2756.6000000000004"/>
    <s v="S745"/>
    <x v="3"/>
    <s v="W40"/>
    <x v="1"/>
    <s v="Maersk"/>
    <s v="São Paulo-São Paulo"/>
    <n v="4265"/>
    <n v="128"/>
    <x v="0"/>
    <n v="23"/>
    <n v="1201.31"/>
    <n v="311.97000000000003"/>
    <n v="1513.28"/>
    <s v="On-time"/>
    <n v="0"/>
    <n v="87.03"/>
    <n v="407"/>
    <n v="358"/>
    <n v="0.35481359906213367"/>
  </r>
  <r>
    <x v="827"/>
    <s v="C3241"/>
    <x v="92"/>
    <d v="2021-09-04T00:00:00"/>
    <x v="2"/>
    <x v="1"/>
    <x v="3"/>
    <x v="5"/>
    <x v="659"/>
    <x v="2"/>
    <s v="Phones"/>
    <x v="646"/>
    <n v="86.36"/>
    <n v="92"/>
    <n v="7945.12"/>
    <s v="S243"/>
    <x v="4"/>
    <s v="W33"/>
    <x v="3"/>
    <s v="FedEx"/>
    <s v="Beijing-São Paulo"/>
    <n v="3247"/>
    <n v="75"/>
    <x v="0"/>
    <n v="5"/>
    <n v="1774.73"/>
    <n v="199.97"/>
    <n v="1974.7"/>
    <s v="On-time"/>
    <n v="0"/>
    <n v="78.099999999999994"/>
    <n v="364"/>
    <n v="314"/>
    <n v="0.60816137973514017"/>
  </r>
  <r>
    <x v="828"/>
    <s v="C5180"/>
    <x v="669"/>
    <d v="2023-05-28T00:00:00"/>
    <x v="2"/>
    <x v="0"/>
    <x v="4"/>
    <x v="3"/>
    <x v="660"/>
    <x v="0"/>
    <s v="Paper"/>
    <x v="647"/>
    <n v="8.02"/>
    <n v="60"/>
    <n v="481.2"/>
    <s v="S568"/>
    <x v="3"/>
    <s v="W24"/>
    <x v="0"/>
    <s v="FedEx"/>
    <s v="Beijing-London"/>
    <n v="3128"/>
    <n v="137"/>
    <x v="0"/>
    <n v="14"/>
    <n v="1934.88"/>
    <n v="420.1"/>
    <n v="2354.98"/>
    <s v="On-time"/>
    <n v="0"/>
    <n v="85.61"/>
    <n v="173"/>
    <n v="181"/>
    <n v="0.75287084398976978"/>
  </r>
  <r>
    <x v="829"/>
    <s v="C3662"/>
    <x v="670"/>
    <d v="2020-10-20T00:00:00"/>
    <x v="2"/>
    <x v="4"/>
    <x v="6"/>
    <x v="5"/>
    <x v="342"/>
    <x v="0"/>
    <s v="Storage"/>
    <x v="338"/>
    <n v="296.45"/>
    <n v="23"/>
    <n v="6818.3499999999995"/>
    <s v="S372"/>
    <x v="3"/>
    <s v="W46"/>
    <x v="0"/>
    <s v="Maersk"/>
    <s v="Berlin-New York"/>
    <n v="3683"/>
    <n v="218"/>
    <x v="0"/>
    <n v="21"/>
    <n v="1107.03"/>
    <n v="384.46"/>
    <n v="1491.49"/>
    <s v="On-time"/>
    <n v="0"/>
    <n v="91.38"/>
    <n v="206"/>
    <n v="170"/>
    <n v="0.40496606027694815"/>
  </r>
  <r>
    <x v="830"/>
    <s v="C8524"/>
    <x v="671"/>
    <d v="2021-10-29T00:00:00"/>
    <x v="0"/>
    <x v="1"/>
    <x v="5"/>
    <x v="2"/>
    <x v="661"/>
    <x v="2"/>
    <s v="Accessories"/>
    <x v="648"/>
    <n v="419.85"/>
    <n v="60"/>
    <n v="25191"/>
    <s v="S948"/>
    <x v="1"/>
    <s v="W39"/>
    <x v="3"/>
    <s v="Maersk"/>
    <s v="Berlin-Toronto"/>
    <n v="1133"/>
    <n v="247"/>
    <x v="0"/>
    <n v="13"/>
    <n v="931.22"/>
    <n v="63.16"/>
    <n v="994.38"/>
    <s v="On-time"/>
    <n v="0"/>
    <n v="80.260000000000005"/>
    <n v="55"/>
    <n v="37"/>
    <n v="0.8776522506619594"/>
  </r>
  <r>
    <x v="831"/>
    <s v="C1733"/>
    <x v="672"/>
    <d v="2024-03-27T00:00:00"/>
    <x v="2"/>
    <x v="4"/>
    <x v="5"/>
    <x v="7"/>
    <x v="662"/>
    <x v="1"/>
    <s v="Furnishings"/>
    <x v="649"/>
    <n v="301.7"/>
    <n v="68"/>
    <n v="20515.599999999999"/>
    <s v="S422"/>
    <x v="0"/>
    <s v="W9"/>
    <x v="2"/>
    <s v="DHL"/>
    <s v="Mumbai-São Paulo"/>
    <n v="1206"/>
    <n v="352"/>
    <x v="0"/>
    <n v="25"/>
    <n v="537.75"/>
    <n v="408.6"/>
    <n v="946.35"/>
    <s v="On-time"/>
    <n v="0"/>
    <n v="88.79"/>
    <n v="203"/>
    <n v="206"/>
    <n v="0.78470149253731347"/>
  </r>
  <r>
    <x v="832"/>
    <s v="C2453"/>
    <x v="673"/>
    <d v="2023-04-13T00:00:00"/>
    <x v="2"/>
    <x v="0"/>
    <x v="1"/>
    <x v="1"/>
    <x v="663"/>
    <x v="0"/>
    <s v="Envelopes"/>
    <x v="480"/>
    <n v="51.22"/>
    <n v="24"/>
    <n v="1229.28"/>
    <s v="S223"/>
    <x v="1"/>
    <s v="W26"/>
    <x v="2"/>
    <s v="Maersk"/>
    <s v="New York-Berlin"/>
    <n v="307"/>
    <n v="165"/>
    <x v="0"/>
    <n v="19"/>
    <n v="1864.77"/>
    <n v="220.82"/>
    <n v="2085.59"/>
    <s v="On-time"/>
    <n v="0"/>
    <n v="77.36"/>
    <n v="88"/>
    <n v="122"/>
    <n v="6.793452768729642"/>
  </r>
  <r>
    <x v="833"/>
    <s v="C4113"/>
    <x v="602"/>
    <d v="2023-07-03T00:00:00"/>
    <x v="2"/>
    <x v="0"/>
    <x v="2"/>
    <x v="4"/>
    <x v="664"/>
    <x v="0"/>
    <s v="Fasteners"/>
    <x v="650"/>
    <n v="315.79000000000002"/>
    <n v="49"/>
    <n v="15473.710000000001"/>
    <s v="S669"/>
    <x v="2"/>
    <s v="W22"/>
    <x v="2"/>
    <s v="BlueDart"/>
    <s v="Mumbai-London"/>
    <n v="1690"/>
    <n v="326"/>
    <x v="0"/>
    <n v="24"/>
    <n v="649.11"/>
    <n v="70.290000000000006"/>
    <n v="719.4"/>
    <s v="On-time"/>
    <n v="0"/>
    <n v="71.42"/>
    <n v="437"/>
    <n v="451"/>
    <n v="0.42568047337278103"/>
  </r>
  <r>
    <x v="834"/>
    <s v="C8462"/>
    <x v="347"/>
    <d v="2021-12-27T00:00:00"/>
    <x v="1"/>
    <x v="0"/>
    <x v="1"/>
    <x v="5"/>
    <x v="665"/>
    <x v="1"/>
    <s v="Bookcases"/>
    <x v="651"/>
    <n v="478.49"/>
    <n v="67"/>
    <n v="32058.83"/>
    <s v="S263"/>
    <x v="4"/>
    <s v="W46"/>
    <x v="2"/>
    <s v="DHL"/>
    <s v="Mumbai-Mumbai"/>
    <n v="4015"/>
    <n v="479"/>
    <x v="0"/>
    <n v="2"/>
    <n v="1755.17"/>
    <n v="276.38"/>
    <n v="2031.55"/>
    <s v="On-time"/>
    <n v="0"/>
    <n v="99.61"/>
    <n v="447"/>
    <n v="489"/>
    <n v="0.50599003735990034"/>
  </r>
  <r>
    <x v="835"/>
    <s v="C7316"/>
    <x v="30"/>
    <d v="2022-05-07T00:00:00"/>
    <x v="2"/>
    <x v="4"/>
    <x v="3"/>
    <x v="6"/>
    <x v="587"/>
    <x v="1"/>
    <s v="Furnishings"/>
    <x v="574"/>
    <n v="369.88"/>
    <n v="19"/>
    <n v="7027.72"/>
    <s v="S549"/>
    <x v="3"/>
    <s v="W43"/>
    <x v="3"/>
    <s v="FedEx"/>
    <s v="Mumbai-Toronto"/>
    <n v="4671"/>
    <n v="383"/>
    <x v="0"/>
    <n v="2"/>
    <n v="1971.48"/>
    <n v="110.38"/>
    <n v="2081.86"/>
    <s v="On-time"/>
    <n v="0"/>
    <n v="79.989999999999995"/>
    <n v="424"/>
    <n v="438"/>
    <n v="0.44569899379147937"/>
  </r>
  <r>
    <x v="836"/>
    <s v="C8227"/>
    <x v="674"/>
    <d v="2022-02-01T00:00:00"/>
    <x v="2"/>
    <x v="4"/>
    <x v="6"/>
    <x v="2"/>
    <x v="458"/>
    <x v="0"/>
    <s v="Appliances"/>
    <x v="450"/>
    <n v="168.4"/>
    <n v="27"/>
    <n v="4546.8"/>
    <s v="S575"/>
    <x v="2"/>
    <s v="W43"/>
    <x v="2"/>
    <s v="BlueDart"/>
    <s v="London-Toronto"/>
    <n v="1016"/>
    <n v="241"/>
    <x v="0"/>
    <n v="29"/>
    <n v="1039"/>
    <n v="134.07"/>
    <n v="1173.07"/>
    <s v="On-time"/>
    <n v="0"/>
    <n v="82.38"/>
    <n v="391"/>
    <n v="399"/>
    <n v="1.1545964566929132"/>
  </r>
  <r>
    <x v="837"/>
    <s v="C9065"/>
    <x v="675"/>
    <d v="2020-06-01T00:00:00"/>
    <x v="2"/>
    <x v="2"/>
    <x v="1"/>
    <x v="4"/>
    <x v="666"/>
    <x v="0"/>
    <s v="Binders"/>
    <x v="652"/>
    <n v="391.4"/>
    <n v="60"/>
    <n v="23484"/>
    <s v="S741"/>
    <x v="1"/>
    <s v="W38"/>
    <x v="3"/>
    <s v="FedEx"/>
    <s v="Toronto-London"/>
    <n v="1066"/>
    <n v="84"/>
    <x v="0"/>
    <n v="2"/>
    <n v="891.28"/>
    <n v="293.47000000000003"/>
    <n v="1184.75"/>
    <s v="Delayed"/>
    <n v="2"/>
    <n v="98.25"/>
    <n v="198"/>
    <n v="169"/>
    <n v="1.1113977485928705"/>
  </r>
  <r>
    <x v="838"/>
    <s v="C8120"/>
    <x v="676"/>
    <d v="2023-12-13T00:00:00"/>
    <x v="1"/>
    <x v="4"/>
    <x v="5"/>
    <x v="0"/>
    <x v="667"/>
    <x v="0"/>
    <s v="Fasteners"/>
    <x v="653"/>
    <n v="211.49"/>
    <n v="60"/>
    <n v="12689.400000000001"/>
    <s v="S595"/>
    <x v="4"/>
    <s v="W36"/>
    <x v="2"/>
    <s v="DHL"/>
    <s v="Berlin-Berlin"/>
    <n v="755"/>
    <n v="175"/>
    <x v="0"/>
    <n v="8"/>
    <n v="1560.51"/>
    <n v="154.76"/>
    <n v="1715.27"/>
    <s v="On-time"/>
    <n v="0"/>
    <n v="74.77"/>
    <n v="336"/>
    <n v="380"/>
    <n v="2.2718807947019868"/>
  </r>
  <r>
    <x v="839"/>
    <s v="C1720"/>
    <x v="677"/>
    <d v="2022-03-12T00:00:00"/>
    <x v="2"/>
    <x v="1"/>
    <x v="7"/>
    <x v="3"/>
    <x v="668"/>
    <x v="0"/>
    <s v="Labels"/>
    <x v="654"/>
    <n v="109.44"/>
    <n v="85"/>
    <n v="9302.4"/>
    <s v="S466"/>
    <x v="4"/>
    <s v="W19"/>
    <x v="3"/>
    <s v="DHL"/>
    <s v="New York-Beijing"/>
    <n v="2577"/>
    <n v="286"/>
    <x v="0"/>
    <n v="26"/>
    <n v="1192.78"/>
    <n v="371.62"/>
    <n v="1564.4"/>
    <s v="On-time"/>
    <n v="0"/>
    <n v="86.36"/>
    <n v="221"/>
    <n v="185"/>
    <n v="0.60706247574699268"/>
  </r>
  <r>
    <x v="840"/>
    <s v="C4320"/>
    <x v="678"/>
    <d v="2024-11-24T00:00:00"/>
    <x v="1"/>
    <x v="1"/>
    <x v="4"/>
    <x v="3"/>
    <x v="669"/>
    <x v="0"/>
    <s v="Paper"/>
    <x v="655"/>
    <n v="301.17"/>
    <n v="1"/>
    <n v="301.17"/>
    <s v="S974"/>
    <x v="3"/>
    <s v="W42"/>
    <x v="2"/>
    <s v="FedEx"/>
    <s v="New York-New York"/>
    <n v="2883"/>
    <n v="383"/>
    <x v="0"/>
    <n v="25"/>
    <n v="1406.72"/>
    <n v="73.61"/>
    <n v="1480.33"/>
    <s v="On-time"/>
    <n v="0"/>
    <n v="87.09"/>
    <n v="471"/>
    <n v="447"/>
    <n v="0.51346860908775582"/>
  </r>
  <r>
    <x v="841"/>
    <s v="C7282"/>
    <x v="617"/>
    <d v="2022-06-25T00:00:00"/>
    <x v="1"/>
    <x v="3"/>
    <x v="7"/>
    <x v="7"/>
    <x v="70"/>
    <x v="0"/>
    <s v="Binders"/>
    <x v="69"/>
    <n v="413.95"/>
    <n v="82"/>
    <n v="33943.9"/>
    <s v="S741"/>
    <x v="1"/>
    <s v="W24"/>
    <x v="2"/>
    <s v="DHL"/>
    <s v="Beijing-Toronto"/>
    <n v="3074"/>
    <n v="172"/>
    <x v="0"/>
    <n v="10"/>
    <n v="1104.43"/>
    <n v="195.71"/>
    <n v="1300.1400000000001"/>
    <s v="On-time"/>
    <n v="0"/>
    <n v="77.89"/>
    <n v="192"/>
    <n v="193"/>
    <n v="0.42294729993493824"/>
  </r>
  <r>
    <x v="842"/>
    <s v="C9209"/>
    <x v="508"/>
    <d v="2024-10-24T00:00:00"/>
    <x v="2"/>
    <x v="0"/>
    <x v="3"/>
    <x v="2"/>
    <x v="670"/>
    <x v="0"/>
    <s v="Storage"/>
    <x v="656"/>
    <n v="480.79"/>
    <n v="83"/>
    <n v="39905.57"/>
    <s v="S871"/>
    <x v="0"/>
    <s v="W41"/>
    <x v="3"/>
    <s v="UPS"/>
    <s v="New York-Berlin"/>
    <n v="4903"/>
    <n v="420"/>
    <x v="0"/>
    <n v="25"/>
    <n v="1545.78"/>
    <n v="338.35"/>
    <n v="1884.13"/>
    <s v="Delayed"/>
    <n v="10"/>
    <n v="89.06"/>
    <n v="414"/>
    <n v="393"/>
    <n v="0.38428105241688765"/>
  </r>
  <r>
    <x v="843"/>
    <s v="C9598"/>
    <x v="679"/>
    <d v="2021-03-02T00:00:00"/>
    <x v="2"/>
    <x v="4"/>
    <x v="3"/>
    <x v="1"/>
    <x v="671"/>
    <x v="2"/>
    <s v="Accessories"/>
    <x v="657"/>
    <n v="152.81"/>
    <n v="11"/>
    <n v="1680.91"/>
    <s v="S351"/>
    <x v="1"/>
    <s v="W38"/>
    <x v="1"/>
    <s v="FedEx"/>
    <s v="Beijing-Berlin"/>
    <n v="1353"/>
    <n v="370"/>
    <x v="0"/>
    <n v="5"/>
    <n v="144.84"/>
    <n v="366.46"/>
    <n v="511.3"/>
    <s v="On-time"/>
    <n v="0"/>
    <n v="75.63"/>
    <n v="478"/>
    <n v="438"/>
    <n v="0.37790096082779012"/>
  </r>
  <r>
    <x v="844"/>
    <s v="C8160"/>
    <x v="680"/>
    <d v="2020-02-17T00:00:00"/>
    <x v="2"/>
    <x v="0"/>
    <x v="0"/>
    <x v="6"/>
    <x v="672"/>
    <x v="1"/>
    <s v="Tables"/>
    <x v="658"/>
    <n v="207.61"/>
    <n v="10"/>
    <n v="2076.1000000000004"/>
    <s v="S463"/>
    <x v="0"/>
    <s v="W47"/>
    <x v="1"/>
    <s v="BlueDart"/>
    <s v="Beijing-São Paulo"/>
    <n v="2883"/>
    <n v="172"/>
    <x v="0"/>
    <n v="20"/>
    <n v="1085.3499999999999"/>
    <n v="407.25"/>
    <n v="1492.6"/>
    <s v="On-time"/>
    <n v="0"/>
    <n v="85.92"/>
    <n v="395"/>
    <n v="385"/>
    <n v="0.51772459243843216"/>
  </r>
  <r>
    <x v="845"/>
    <s v="C4776"/>
    <x v="388"/>
    <d v="2023-03-10T00:00:00"/>
    <x v="2"/>
    <x v="2"/>
    <x v="6"/>
    <x v="5"/>
    <x v="673"/>
    <x v="0"/>
    <s v="Appliances"/>
    <x v="659"/>
    <n v="478.76"/>
    <n v="23"/>
    <n v="11011.48"/>
    <s v="S472"/>
    <x v="4"/>
    <s v="W3"/>
    <x v="0"/>
    <s v="FedEx"/>
    <s v="São Paulo-Berlin"/>
    <n v="4704"/>
    <n v="107"/>
    <x v="0"/>
    <n v="6"/>
    <n v="1244.3900000000001"/>
    <n v="222.4"/>
    <n v="1466.79"/>
    <s v="On-time"/>
    <n v="0"/>
    <n v="81.739999999999995"/>
    <n v="261"/>
    <n v="216"/>
    <n v="0.31181760204081632"/>
  </r>
  <r>
    <x v="846"/>
    <s v="C6550"/>
    <x v="681"/>
    <d v="2023-09-01T00:00:00"/>
    <x v="2"/>
    <x v="0"/>
    <x v="2"/>
    <x v="1"/>
    <x v="674"/>
    <x v="0"/>
    <s v="Paper"/>
    <x v="660"/>
    <n v="257.58999999999997"/>
    <n v="2"/>
    <n v="515.17999999999995"/>
    <s v="S276"/>
    <x v="0"/>
    <s v="W32"/>
    <x v="2"/>
    <s v="FedEx"/>
    <s v="Cape Town-London"/>
    <n v="4415"/>
    <n v="316"/>
    <x v="0"/>
    <n v="25"/>
    <n v="98.78"/>
    <n v="414.03"/>
    <n v="512.80999999999995"/>
    <s v="On-time"/>
    <n v="0"/>
    <n v="92.6"/>
    <n v="170"/>
    <n v="168"/>
    <n v="0.11615175537938843"/>
  </r>
  <r>
    <x v="847"/>
    <s v="C5336"/>
    <x v="682"/>
    <d v="2020-06-12T00:00:00"/>
    <x v="2"/>
    <x v="4"/>
    <x v="5"/>
    <x v="0"/>
    <x v="675"/>
    <x v="0"/>
    <s v="Paper"/>
    <x v="661"/>
    <n v="375.77"/>
    <n v="83"/>
    <n v="31188.91"/>
    <s v="S876"/>
    <x v="1"/>
    <s v="W4"/>
    <x v="0"/>
    <s v="FedEx"/>
    <s v="Beijing-New York"/>
    <n v="3032"/>
    <n v="230"/>
    <x v="0"/>
    <n v="2"/>
    <n v="979.87"/>
    <n v="169.31"/>
    <n v="1149.18"/>
    <s v="On-time"/>
    <n v="0"/>
    <n v="91.24"/>
    <n v="458"/>
    <n v="487"/>
    <n v="0.37901715039577838"/>
  </r>
  <r>
    <x v="848"/>
    <s v="C4769"/>
    <x v="683"/>
    <d v="2020-09-08T00:00:00"/>
    <x v="2"/>
    <x v="3"/>
    <x v="1"/>
    <x v="0"/>
    <x v="172"/>
    <x v="0"/>
    <s v="Storage"/>
    <x v="171"/>
    <n v="144.71"/>
    <n v="29"/>
    <n v="4196.59"/>
    <s v="S158"/>
    <x v="4"/>
    <s v="W39"/>
    <x v="1"/>
    <s v="FedEx"/>
    <s v="Berlin-Berlin"/>
    <n v="4174"/>
    <n v="232"/>
    <x v="0"/>
    <n v="26"/>
    <n v="1203.1099999999999"/>
    <n v="285.43"/>
    <n v="1488.54"/>
    <s v="On-time"/>
    <n v="0"/>
    <n v="72.209999999999994"/>
    <n v="415"/>
    <n v="417"/>
    <n v="0.35662194537613801"/>
  </r>
  <r>
    <x v="849"/>
    <s v="C4536"/>
    <x v="41"/>
    <d v="2021-11-03T00:00:00"/>
    <x v="1"/>
    <x v="4"/>
    <x v="0"/>
    <x v="5"/>
    <x v="676"/>
    <x v="0"/>
    <s v="Supplies"/>
    <x v="662"/>
    <n v="299.73"/>
    <n v="48"/>
    <n v="14387.04"/>
    <s v="S497"/>
    <x v="0"/>
    <s v="W22"/>
    <x v="1"/>
    <s v="UPS"/>
    <s v="Beijing-São Paulo"/>
    <n v="4031"/>
    <n v="371"/>
    <x v="0"/>
    <n v="15"/>
    <n v="604.16999999999996"/>
    <n v="407.53"/>
    <n v="1011.7"/>
    <s v="On-time"/>
    <n v="0"/>
    <n v="98.78"/>
    <n v="294"/>
    <n v="294"/>
    <n v="0.25097990573058798"/>
  </r>
  <r>
    <x v="850"/>
    <s v="C2260"/>
    <x v="541"/>
    <d v="2023-07-26T00:00:00"/>
    <x v="2"/>
    <x v="1"/>
    <x v="4"/>
    <x v="1"/>
    <x v="677"/>
    <x v="0"/>
    <s v="Appliances"/>
    <x v="663"/>
    <n v="293.08"/>
    <n v="71"/>
    <n v="20808.68"/>
    <s v="S230"/>
    <x v="2"/>
    <s v="W22"/>
    <x v="0"/>
    <s v="Maersk"/>
    <s v="Cape Town-Mumbai"/>
    <n v="3257"/>
    <n v="51"/>
    <x v="0"/>
    <n v="18"/>
    <n v="354.93"/>
    <n v="423.35"/>
    <n v="778.28"/>
    <s v="On-time"/>
    <n v="0"/>
    <n v="90.7"/>
    <n v="68"/>
    <n v="24"/>
    <n v="0.23895609456555111"/>
  </r>
  <r>
    <x v="851"/>
    <s v="C6501"/>
    <x v="622"/>
    <d v="2024-09-10T00:00:00"/>
    <x v="2"/>
    <x v="4"/>
    <x v="2"/>
    <x v="2"/>
    <x v="678"/>
    <x v="0"/>
    <s v="Appliances"/>
    <x v="664"/>
    <n v="61.01"/>
    <n v="90"/>
    <n v="5490.9"/>
    <s v="S295"/>
    <x v="4"/>
    <s v="W22"/>
    <x v="1"/>
    <s v="Maersk"/>
    <s v="London-London"/>
    <n v="2839"/>
    <n v="95"/>
    <x v="0"/>
    <n v="22"/>
    <n v="257.27"/>
    <n v="375.2"/>
    <n v="632.47"/>
    <s v="On-time"/>
    <n v="0"/>
    <n v="93.81"/>
    <n v="430"/>
    <n v="394"/>
    <n v="0.22277914758717859"/>
  </r>
  <r>
    <x v="852"/>
    <s v="C2956"/>
    <x v="684"/>
    <d v="2024-04-15T00:00:00"/>
    <x v="2"/>
    <x v="2"/>
    <x v="0"/>
    <x v="3"/>
    <x v="679"/>
    <x v="0"/>
    <s v="Art"/>
    <x v="665"/>
    <n v="311.93"/>
    <n v="84"/>
    <n v="26202.12"/>
    <s v="S393"/>
    <x v="3"/>
    <s v="W2"/>
    <x v="2"/>
    <s v="Maersk"/>
    <s v="Beijing-Mumbai"/>
    <n v="3611"/>
    <n v="148"/>
    <x v="0"/>
    <n v="11"/>
    <n v="1043.8399999999999"/>
    <n v="328.95"/>
    <n v="1372.79"/>
    <s v="On-time"/>
    <n v="0"/>
    <n v="76.88"/>
    <n v="444"/>
    <n v="456"/>
    <n v="0.38016892827471616"/>
  </r>
  <r>
    <x v="853"/>
    <s v="C3406"/>
    <x v="685"/>
    <d v="2023-02-01T00:00:00"/>
    <x v="2"/>
    <x v="3"/>
    <x v="6"/>
    <x v="1"/>
    <x v="279"/>
    <x v="0"/>
    <s v="Binders"/>
    <x v="276"/>
    <n v="170.88"/>
    <n v="38"/>
    <n v="6493.44"/>
    <s v="S286"/>
    <x v="1"/>
    <s v="W19"/>
    <x v="0"/>
    <s v="UPS"/>
    <s v="London-Berlin"/>
    <n v="1146"/>
    <n v="165"/>
    <x v="0"/>
    <n v="22"/>
    <n v="1879.21"/>
    <n v="318.58999999999997"/>
    <n v="2197.8000000000002"/>
    <s v="Delayed"/>
    <n v="6"/>
    <n v="83.47"/>
    <n v="146"/>
    <n v="113"/>
    <n v="1.917801047120419"/>
  </r>
  <r>
    <x v="854"/>
    <s v="C6084"/>
    <x v="686"/>
    <d v="2020-10-04T00:00:00"/>
    <x v="2"/>
    <x v="2"/>
    <x v="2"/>
    <x v="3"/>
    <x v="680"/>
    <x v="0"/>
    <s v="Paper"/>
    <x v="666"/>
    <n v="282.47000000000003"/>
    <n v="45"/>
    <n v="12711.150000000001"/>
    <s v="S511"/>
    <x v="0"/>
    <s v="W7"/>
    <x v="2"/>
    <s v="Maersk"/>
    <s v="Toronto-Mumbai"/>
    <n v="1531"/>
    <n v="154"/>
    <x v="0"/>
    <n v="17"/>
    <n v="1529.97"/>
    <n v="233.56"/>
    <n v="1763.53"/>
    <s v="On-time"/>
    <n v="0"/>
    <n v="90.78"/>
    <n v="96"/>
    <n v="83"/>
    <n v="1.1518811234487263"/>
  </r>
  <r>
    <x v="855"/>
    <s v="C4193"/>
    <x v="202"/>
    <d v="2021-06-07T00:00:00"/>
    <x v="2"/>
    <x v="2"/>
    <x v="5"/>
    <x v="7"/>
    <x v="396"/>
    <x v="0"/>
    <s v="Paper"/>
    <x v="391"/>
    <n v="406.69"/>
    <n v="36"/>
    <n v="14640.84"/>
    <s v="S148"/>
    <x v="4"/>
    <s v="W3"/>
    <x v="0"/>
    <s v="UPS"/>
    <s v="Berlin-Berlin"/>
    <n v="1181"/>
    <n v="401"/>
    <x v="0"/>
    <n v="11"/>
    <n v="1869.3"/>
    <n v="411.7"/>
    <n v="2281"/>
    <s v="On-time"/>
    <n v="0"/>
    <n v="87.3"/>
    <n v="107"/>
    <n v="124"/>
    <n v="1.9314140558848434"/>
  </r>
  <r>
    <x v="856"/>
    <s v="C7124"/>
    <x v="687"/>
    <d v="2024-12-27T00:00:00"/>
    <x v="2"/>
    <x v="2"/>
    <x v="3"/>
    <x v="5"/>
    <x v="681"/>
    <x v="0"/>
    <s v="Storage"/>
    <x v="667"/>
    <n v="290.57"/>
    <n v="25"/>
    <n v="7264.25"/>
    <s v="S948"/>
    <x v="3"/>
    <s v="W44"/>
    <x v="3"/>
    <s v="Maersk"/>
    <s v="Beijing-Berlin"/>
    <n v="69"/>
    <n v="246"/>
    <x v="1"/>
    <n v="28"/>
    <n v="1106.44"/>
    <n v="48.48"/>
    <n v="1154.92"/>
    <s v="On-time"/>
    <n v="0"/>
    <n v="86.13"/>
    <n v="452"/>
    <n v="432"/>
    <n v="16.737971014492754"/>
  </r>
  <r>
    <x v="857"/>
    <s v="C5367"/>
    <x v="688"/>
    <d v="2022-10-07T00:00:00"/>
    <x v="1"/>
    <x v="0"/>
    <x v="3"/>
    <x v="6"/>
    <x v="682"/>
    <x v="2"/>
    <s v="Accessories"/>
    <x v="668"/>
    <n v="474.24"/>
    <n v="36"/>
    <n v="17072.64"/>
    <s v="S592"/>
    <x v="0"/>
    <s v="W2"/>
    <x v="1"/>
    <s v="DHL"/>
    <s v="Cape Town-Cape Town"/>
    <n v="2263"/>
    <n v="416"/>
    <x v="0"/>
    <n v="16"/>
    <n v="1672.96"/>
    <n v="393.79"/>
    <n v="2066.75"/>
    <s v="On-time"/>
    <n v="0"/>
    <n v="82.57"/>
    <n v="216"/>
    <n v="238"/>
    <n v="0.9132788334069819"/>
  </r>
  <r>
    <x v="858"/>
    <s v="C8610"/>
    <x v="689"/>
    <d v="2022-01-11T00:00:00"/>
    <x v="2"/>
    <x v="4"/>
    <x v="4"/>
    <x v="3"/>
    <x v="683"/>
    <x v="2"/>
    <s v="Phones"/>
    <x v="669"/>
    <n v="493.74"/>
    <n v="76"/>
    <n v="37524.239999999998"/>
    <s v="S749"/>
    <x v="1"/>
    <s v="W4"/>
    <x v="0"/>
    <s v="Maersk"/>
    <s v="Beijing-Mumbai"/>
    <n v="529"/>
    <n v="107"/>
    <x v="0"/>
    <n v="1"/>
    <n v="1563.58"/>
    <n v="289.45"/>
    <n v="1853.03"/>
    <s v="On-time"/>
    <n v="0"/>
    <n v="89.59"/>
    <n v="131"/>
    <n v="139"/>
    <n v="3.50289224952741"/>
  </r>
  <r>
    <x v="859"/>
    <s v="C5909"/>
    <x v="229"/>
    <d v="2022-08-05T00:00:00"/>
    <x v="2"/>
    <x v="3"/>
    <x v="5"/>
    <x v="6"/>
    <x v="684"/>
    <x v="1"/>
    <s v="Chairs"/>
    <x v="670"/>
    <n v="210.39"/>
    <n v="42"/>
    <n v="8836.3799999999992"/>
    <s v="S567"/>
    <x v="3"/>
    <s v="W35"/>
    <x v="0"/>
    <s v="FedEx"/>
    <s v="London-Beijing"/>
    <n v="1718"/>
    <n v="334"/>
    <x v="0"/>
    <n v="21"/>
    <n v="696.05"/>
    <n v="123.19"/>
    <n v="819.24"/>
    <s v="On-time"/>
    <n v="0"/>
    <n v="96.06"/>
    <n v="119"/>
    <n v="84"/>
    <n v="0.4768568102444703"/>
  </r>
  <r>
    <x v="860"/>
    <s v="C2269"/>
    <x v="690"/>
    <d v="2023-03-10T00:00:00"/>
    <x v="2"/>
    <x v="1"/>
    <x v="6"/>
    <x v="1"/>
    <x v="685"/>
    <x v="1"/>
    <s v="Chairs"/>
    <x v="671"/>
    <n v="274.24"/>
    <n v="53"/>
    <n v="14534.720000000001"/>
    <s v="S550"/>
    <x v="1"/>
    <s v="W7"/>
    <x v="0"/>
    <s v="BlueDart"/>
    <s v="Beijing-New York"/>
    <n v="1953"/>
    <n v="243"/>
    <x v="0"/>
    <n v="28"/>
    <n v="178.35"/>
    <n v="305.45999999999998"/>
    <n v="483.80999999999989"/>
    <s v="On-time"/>
    <n v="0"/>
    <n v="72.28"/>
    <n v="167"/>
    <n v="195"/>
    <n v="0.24772657450076799"/>
  </r>
  <r>
    <x v="861"/>
    <s v="C8612"/>
    <x v="691"/>
    <d v="2024-07-01T00:00:00"/>
    <x v="2"/>
    <x v="2"/>
    <x v="5"/>
    <x v="6"/>
    <x v="686"/>
    <x v="1"/>
    <s v="Tables"/>
    <x v="672"/>
    <n v="123.09"/>
    <n v="10"/>
    <n v="1230.9000000000001"/>
    <s v="S848"/>
    <x v="1"/>
    <s v="W47"/>
    <x v="0"/>
    <s v="UPS"/>
    <s v="London-Beijing"/>
    <n v="1476"/>
    <n v="165"/>
    <x v="0"/>
    <n v="24"/>
    <n v="187.19"/>
    <n v="458.45"/>
    <n v="645.64"/>
    <s v="On-time"/>
    <n v="0"/>
    <n v="85.68"/>
    <n v="235"/>
    <n v="276"/>
    <n v="0.43742547425474254"/>
  </r>
  <r>
    <x v="862"/>
    <s v="C2739"/>
    <x v="692"/>
    <d v="2024-01-12T00:00:00"/>
    <x v="2"/>
    <x v="3"/>
    <x v="3"/>
    <x v="2"/>
    <x v="252"/>
    <x v="0"/>
    <s v="Appliances"/>
    <x v="250"/>
    <n v="445.22"/>
    <n v="74"/>
    <n v="32946.28"/>
    <s v="S292"/>
    <x v="4"/>
    <s v="W41"/>
    <x v="2"/>
    <s v="DHL"/>
    <s v="London-São Paulo"/>
    <n v="2964"/>
    <n v="396"/>
    <x v="0"/>
    <n v="9"/>
    <n v="590.41999999999996"/>
    <n v="452.76"/>
    <n v="1043.18"/>
    <s v="On-time"/>
    <n v="0"/>
    <n v="98.28"/>
    <n v="407"/>
    <n v="429"/>
    <n v="0.3519500674763833"/>
  </r>
  <r>
    <x v="863"/>
    <s v="C7821"/>
    <x v="693"/>
    <d v="2024-07-12T00:00:00"/>
    <x v="2"/>
    <x v="0"/>
    <x v="5"/>
    <x v="6"/>
    <x v="687"/>
    <x v="0"/>
    <s v="Art"/>
    <x v="673"/>
    <n v="343.23"/>
    <n v="84"/>
    <n v="28831.32"/>
    <s v="S452"/>
    <x v="2"/>
    <s v="W6"/>
    <x v="0"/>
    <s v="FedEx"/>
    <s v="London-Berlin"/>
    <n v="400"/>
    <n v="68"/>
    <x v="0"/>
    <n v="7"/>
    <n v="1669.2"/>
    <n v="57.29"/>
    <n v="1726.49"/>
    <s v="On-time"/>
    <n v="0"/>
    <n v="83.77"/>
    <n v="249"/>
    <n v="244"/>
    <n v="4.3162250000000002"/>
  </r>
  <r>
    <x v="864"/>
    <s v="C4081"/>
    <x v="78"/>
    <d v="2021-01-22T00:00:00"/>
    <x v="2"/>
    <x v="1"/>
    <x v="5"/>
    <x v="7"/>
    <x v="687"/>
    <x v="0"/>
    <s v="Art"/>
    <x v="673"/>
    <n v="176"/>
    <n v="43"/>
    <n v="7568"/>
    <s v="S931"/>
    <x v="4"/>
    <s v="W18"/>
    <x v="3"/>
    <s v="BlueDart"/>
    <s v="Beijing-Beijing"/>
    <n v="997"/>
    <n v="415"/>
    <x v="0"/>
    <n v="22"/>
    <n v="63"/>
    <n v="480.54"/>
    <n v="543.54"/>
    <s v="On-time"/>
    <n v="0"/>
    <n v="81.83"/>
    <n v="231"/>
    <n v="199"/>
    <n v="0.54517552657973922"/>
  </r>
  <r>
    <x v="865"/>
    <s v="C9470"/>
    <x v="348"/>
    <d v="2022-01-05T00:00:00"/>
    <x v="2"/>
    <x v="1"/>
    <x v="6"/>
    <x v="3"/>
    <x v="688"/>
    <x v="0"/>
    <s v="Art"/>
    <x v="674"/>
    <n v="296.56"/>
    <n v="2"/>
    <n v="593.12"/>
    <s v="S748"/>
    <x v="4"/>
    <s v="W20"/>
    <x v="2"/>
    <s v="DHL"/>
    <s v="Mumbai-Berlin"/>
    <n v="1937"/>
    <n v="442"/>
    <x v="0"/>
    <n v="3"/>
    <n v="124.06"/>
    <n v="192.58"/>
    <n v="316.64"/>
    <s v="On-time"/>
    <n v="0"/>
    <n v="92.35"/>
    <n v="430"/>
    <n v="458"/>
    <n v="0.16346928239545688"/>
  </r>
  <r>
    <x v="866"/>
    <s v="C9606"/>
    <x v="694"/>
    <d v="2020-03-11T00:00:00"/>
    <x v="1"/>
    <x v="3"/>
    <x v="3"/>
    <x v="4"/>
    <x v="42"/>
    <x v="0"/>
    <s v="Paper"/>
    <x v="675"/>
    <n v="61.8"/>
    <n v="71"/>
    <n v="4387.8"/>
    <s v="S204"/>
    <x v="2"/>
    <s v="W45"/>
    <x v="3"/>
    <s v="FedEx"/>
    <s v="London-Cape Town"/>
    <n v="4673"/>
    <n v="262"/>
    <x v="0"/>
    <n v="22"/>
    <n v="422.04"/>
    <n v="398.01"/>
    <n v="820.05"/>
    <s v="On-time"/>
    <n v="0"/>
    <n v="85.16"/>
    <n v="367"/>
    <n v="350"/>
    <n v="0.17548683928953562"/>
  </r>
  <r>
    <x v="867"/>
    <s v="C9460"/>
    <x v="695"/>
    <d v="2021-04-27T00:00:00"/>
    <x v="1"/>
    <x v="4"/>
    <x v="3"/>
    <x v="3"/>
    <x v="565"/>
    <x v="0"/>
    <s v="Paper"/>
    <x v="553"/>
    <n v="51.16"/>
    <n v="19"/>
    <n v="972.04"/>
    <s v="S794"/>
    <x v="3"/>
    <s v="W39"/>
    <x v="2"/>
    <s v="Maersk"/>
    <s v="Berlin-São Paulo"/>
    <n v="1380"/>
    <n v="315"/>
    <x v="0"/>
    <n v="25"/>
    <n v="718.99"/>
    <n v="142.13999999999999"/>
    <n v="861.13"/>
    <s v="On-time"/>
    <n v="0"/>
    <n v="88.18"/>
    <n v="197"/>
    <n v="223"/>
    <n v="0.6240072463768116"/>
  </r>
  <r>
    <x v="868"/>
    <s v="C9455"/>
    <x v="696"/>
    <d v="2021-08-14T00:00:00"/>
    <x v="0"/>
    <x v="1"/>
    <x v="5"/>
    <x v="7"/>
    <x v="116"/>
    <x v="0"/>
    <s v="Storage"/>
    <x v="115"/>
    <n v="333.33"/>
    <n v="3"/>
    <n v="999.99"/>
    <s v="S396"/>
    <x v="4"/>
    <s v="W25"/>
    <x v="0"/>
    <s v="DHL"/>
    <s v="Beijing-Mumbai"/>
    <n v="4529"/>
    <n v="175"/>
    <x v="0"/>
    <n v="3"/>
    <n v="1828.64"/>
    <n v="372.05"/>
    <n v="2200.69"/>
    <s v="On-time"/>
    <n v="0"/>
    <n v="96.12"/>
    <n v="474"/>
    <n v="520"/>
    <n v="0.48591079708544932"/>
  </r>
  <r>
    <x v="869"/>
    <s v="C7324"/>
    <x v="697"/>
    <d v="2023-03-14T00:00:00"/>
    <x v="1"/>
    <x v="4"/>
    <x v="5"/>
    <x v="2"/>
    <x v="689"/>
    <x v="2"/>
    <s v="Accessories"/>
    <x v="676"/>
    <n v="188.72"/>
    <n v="72"/>
    <n v="13587.84"/>
    <s v="S394"/>
    <x v="3"/>
    <s v="W47"/>
    <x v="1"/>
    <s v="DHL"/>
    <s v="Berlin-Beijing"/>
    <n v="4506"/>
    <n v="110"/>
    <x v="0"/>
    <n v="14"/>
    <n v="866.7"/>
    <n v="442.82"/>
    <n v="1309.52"/>
    <s v="On-time"/>
    <n v="0"/>
    <n v="94.64"/>
    <n v="385"/>
    <n v="349"/>
    <n v="0.29061695517088326"/>
  </r>
  <r>
    <x v="870"/>
    <s v="C4622"/>
    <x v="698"/>
    <d v="2021-08-12T00:00:00"/>
    <x v="2"/>
    <x v="0"/>
    <x v="7"/>
    <x v="0"/>
    <x v="690"/>
    <x v="2"/>
    <s v="Phones"/>
    <x v="677"/>
    <n v="202.77"/>
    <n v="6"/>
    <n v="1216.6200000000001"/>
    <s v="S559"/>
    <x v="0"/>
    <s v="W11"/>
    <x v="2"/>
    <s v="DHL"/>
    <s v="São Paulo-Beijing"/>
    <n v="1865"/>
    <n v="184"/>
    <x v="0"/>
    <n v="10"/>
    <n v="1438.31"/>
    <n v="167.3"/>
    <n v="1605.61"/>
    <s v="On-time"/>
    <n v="0"/>
    <n v="80.88"/>
    <n v="373"/>
    <n v="364"/>
    <n v="0.86091689008042893"/>
  </r>
  <r>
    <x v="871"/>
    <s v="C4822"/>
    <x v="699"/>
    <d v="2022-03-20T00:00:00"/>
    <x v="2"/>
    <x v="0"/>
    <x v="4"/>
    <x v="3"/>
    <x v="628"/>
    <x v="2"/>
    <s v="Accessories"/>
    <x v="615"/>
    <n v="43.76"/>
    <n v="81"/>
    <n v="3544.56"/>
    <s v="S203"/>
    <x v="0"/>
    <s v="W19"/>
    <x v="0"/>
    <s v="FedEx"/>
    <s v="Mumbai-Berlin"/>
    <n v="282"/>
    <n v="235"/>
    <x v="0"/>
    <n v="26"/>
    <n v="435.84"/>
    <n v="492.85"/>
    <n v="928.69"/>
    <s v="On-time"/>
    <n v="0"/>
    <n v="89.41"/>
    <n v="53"/>
    <n v="41"/>
    <n v="3.2932269503546103"/>
  </r>
  <r>
    <x v="872"/>
    <s v="C4447"/>
    <x v="561"/>
    <d v="2022-01-20T00:00:00"/>
    <x v="1"/>
    <x v="0"/>
    <x v="4"/>
    <x v="5"/>
    <x v="691"/>
    <x v="2"/>
    <s v="Accessories"/>
    <x v="678"/>
    <n v="419.28"/>
    <n v="92"/>
    <n v="38573.759999999995"/>
    <s v="S563"/>
    <x v="0"/>
    <s v="W12"/>
    <x v="2"/>
    <s v="BlueDart"/>
    <s v="Cape Town-Toronto"/>
    <n v="4620"/>
    <n v="389"/>
    <x v="0"/>
    <n v="9"/>
    <n v="324.97000000000003"/>
    <n v="24.55"/>
    <n v="349.52"/>
    <s v="On-time"/>
    <n v="0"/>
    <n v="75.89"/>
    <n v="489"/>
    <n v="451"/>
    <n v="7.5653679653679654E-2"/>
  </r>
  <r>
    <x v="873"/>
    <s v="C5547"/>
    <x v="700"/>
    <d v="2023-09-05T00:00:00"/>
    <x v="1"/>
    <x v="1"/>
    <x v="5"/>
    <x v="1"/>
    <x v="692"/>
    <x v="1"/>
    <s v="Bookcases"/>
    <x v="679"/>
    <n v="344.53"/>
    <n v="8"/>
    <n v="2756.24"/>
    <s v="S686"/>
    <x v="2"/>
    <s v="W37"/>
    <x v="3"/>
    <s v="Maersk"/>
    <s v="Mumbai-Toronto"/>
    <n v="4352"/>
    <n v="484"/>
    <x v="0"/>
    <n v="3"/>
    <n v="403.43"/>
    <n v="107.55"/>
    <n v="510.98"/>
    <s v="On-time"/>
    <n v="0"/>
    <n v="94.09"/>
    <n v="183"/>
    <n v="134"/>
    <n v="0.11741268382352942"/>
  </r>
  <r>
    <x v="874"/>
    <s v="C9751"/>
    <x v="650"/>
    <d v="2020-01-19T00:00:00"/>
    <x v="1"/>
    <x v="3"/>
    <x v="5"/>
    <x v="6"/>
    <x v="693"/>
    <x v="1"/>
    <s v="Furnishings"/>
    <x v="680"/>
    <n v="90.05"/>
    <n v="94"/>
    <n v="8464.6999999999989"/>
    <s v="S721"/>
    <x v="2"/>
    <s v="W20"/>
    <x v="2"/>
    <s v="Maersk"/>
    <s v="Beijing-New York"/>
    <n v="3168"/>
    <n v="303"/>
    <x v="0"/>
    <n v="11"/>
    <n v="1254.2"/>
    <n v="384.87"/>
    <n v="1639.07"/>
    <s v="Delayed"/>
    <n v="14"/>
    <n v="72.47"/>
    <n v="63"/>
    <n v="31"/>
    <n v="0.51738320707070706"/>
  </r>
  <r>
    <x v="875"/>
    <s v="C3993"/>
    <x v="148"/>
    <d v="2024-10-02T00:00:00"/>
    <x v="2"/>
    <x v="2"/>
    <x v="7"/>
    <x v="0"/>
    <x v="165"/>
    <x v="1"/>
    <s v="Furnishings"/>
    <x v="164"/>
    <n v="289.19"/>
    <n v="85"/>
    <n v="24581.15"/>
    <s v="S182"/>
    <x v="4"/>
    <s v="W30"/>
    <x v="1"/>
    <s v="BlueDart"/>
    <s v="Toronto-Mumbai"/>
    <n v="3406"/>
    <n v="107"/>
    <x v="0"/>
    <n v="23"/>
    <n v="1958.23"/>
    <n v="241.1"/>
    <n v="2199.33"/>
    <s v="On-time"/>
    <n v="0"/>
    <n v="98.34"/>
    <n v="407"/>
    <n v="363"/>
    <n v="0.64572225484439227"/>
  </r>
  <r>
    <x v="876"/>
    <s v="C3553"/>
    <x v="701"/>
    <d v="2024-01-04T00:00:00"/>
    <x v="1"/>
    <x v="4"/>
    <x v="4"/>
    <x v="4"/>
    <x v="694"/>
    <x v="1"/>
    <s v="Furnishings"/>
    <x v="681"/>
    <n v="387.24"/>
    <n v="51"/>
    <n v="19749.240000000002"/>
    <s v="S516"/>
    <x v="0"/>
    <s v="W5"/>
    <x v="2"/>
    <s v="Maersk"/>
    <s v="Beijing-Cape Town"/>
    <n v="848"/>
    <n v="395"/>
    <x v="0"/>
    <n v="24"/>
    <n v="467.02"/>
    <n v="38.92"/>
    <n v="505.94"/>
    <s v="On-time"/>
    <n v="0"/>
    <n v="73.12"/>
    <n v="202"/>
    <n v="244"/>
    <n v="0.59662735849056603"/>
  </r>
  <r>
    <x v="877"/>
    <s v="C7870"/>
    <x v="702"/>
    <d v="2021-04-27T00:00:00"/>
    <x v="2"/>
    <x v="1"/>
    <x v="0"/>
    <x v="4"/>
    <x v="695"/>
    <x v="0"/>
    <s v="Appliances"/>
    <x v="682"/>
    <n v="446.04"/>
    <n v="36"/>
    <n v="16057.44"/>
    <s v="S281"/>
    <x v="2"/>
    <s v="W20"/>
    <x v="3"/>
    <s v="UPS"/>
    <s v="Berlin-Mumbai"/>
    <n v="4298"/>
    <n v="85"/>
    <x v="0"/>
    <n v="2"/>
    <n v="136.57"/>
    <n v="398.54"/>
    <n v="535.11"/>
    <s v="On-time"/>
    <n v="0"/>
    <n v="89.72"/>
    <n v="366"/>
    <n v="393"/>
    <n v="0.124502093997208"/>
  </r>
  <r>
    <x v="878"/>
    <s v="C1187"/>
    <x v="703"/>
    <d v="2023-02-16T00:00:00"/>
    <x v="2"/>
    <x v="2"/>
    <x v="2"/>
    <x v="3"/>
    <x v="696"/>
    <x v="0"/>
    <s v="Appliances"/>
    <x v="683"/>
    <n v="182.97"/>
    <n v="82"/>
    <n v="15003.539999999999"/>
    <s v="S327"/>
    <x v="2"/>
    <s v="W33"/>
    <x v="0"/>
    <s v="BlueDart"/>
    <s v="Beijing-Cape Town"/>
    <n v="1719"/>
    <n v="273"/>
    <x v="0"/>
    <n v="4"/>
    <n v="1428.4"/>
    <n v="362.46"/>
    <n v="1790.86"/>
    <s v="On-time"/>
    <n v="0"/>
    <n v="90.59"/>
    <n v="74"/>
    <n v="52"/>
    <n v="1.0418033740546828"/>
  </r>
  <r>
    <x v="879"/>
    <s v="C2524"/>
    <x v="41"/>
    <d v="2020-10-01T00:00:00"/>
    <x v="2"/>
    <x v="4"/>
    <x v="5"/>
    <x v="7"/>
    <x v="697"/>
    <x v="0"/>
    <s v="Envelopes"/>
    <x v="684"/>
    <n v="108.94"/>
    <n v="72"/>
    <n v="7843.68"/>
    <s v="S526"/>
    <x v="2"/>
    <s v="W6"/>
    <x v="3"/>
    <s v="BlueDart"/>
    <s v="Beijing-New York"/>
    <n v="1923"/>
    <n v="488"/>
    <x v="0"/>
    <n v="21"/>
    <n v="1190.4000000000001"/>
    <n v="372.56"/>
    <n v="1562.96"/>
    <s v="On-time"/>
    <n v="0"/>
    <n v="94.18"/>
    <n v="278"/>
    <n v="242"/>
    <n v="0.8127717108684348"/>
  </r>
  <r>
    <x v="880"/>
    <s v="C5154"/>
    <x v="704"/>
    <d v="2023-03-03T00:00:00"/>
    <x v="1"/>
    <x v="0"/>
    <x v="3"/>
    <x v="3"/>
    <x v="698"/>
    <x v="0"/>
    <s v="Storage"/>
    <x v="685"/>
    <n v="374.22"/>
    <n v="76"/>
    <n v="28440.720000000001"/>
    <s v="S109"/>
    <x v="4"/>
    <s v="W27"/>
    <x v="2"/>
    <s v="FedEx"/>
    <s v="Toronto-New York"/>
    <n v="3223"/>
    <n v="95"/>
    <x v="0"/>
    <n v="4"/>
    <n v="1232.02"/>
    <n v="174.77"/>
    <n v="1406.79"/>
    <s v="Delayed"/>
    <n v="14"/>
    <n v="83.83"/>
    <n v="476"/>
    <n v="495"/>
    <n v="0.43648464163822526"/>
  </r>
  <r>
    <x v="881"/>
    <s v="C1713"/>
    <x v="705"/>
    <d v="2022-10-08T00:00:00"/>
    <x v="1"/>
    <x v="3"/>
    <x v="5"/>
    <x v="3"/>
    <x v="699"/>
    <x v="2"/>
    <s v="Accessories"/>
    <x v="686"/>
    <n v="496.3"/>
    <n v="23"/>
    <n v="11414.9"/>
    <s v="S954"/>
    <x v="4"/>
    <s v="W17"/>
    <x v="1"/>
    <s v="UPS"/>
    <s v="Beijing-London"/>
    <n v="2190"/>
    <n v="72"/>
    <x v="0"/>
    <n v="4"/>
    <n v="267.63"/>
    <n v="268.79000000000002"/>
    <n v="536.42000000000007"/>
    <s v="On-time"/>
    <n v="0"/>
    <n v="94.59"/>
    <n v="413"/>
    <n v="446"/>
    <n v="0.24494063926940643"/>
  </r>
  <r>
    <x v="882"/>
    <s v="C2588"/>
    <x v="706"/>
    <d v="2024-08-26T00:00:00"/>
    <x v="1"/>
    <x v="2"/>
    <x v="7"/>
    <x v="1"/>
    <x v="700"/>
    <x v="2"/>
    <s v="Copiers"/>
    <x v="687"/>
    <n v="36.24"/>
    <n v="64"/>
    <n v="2319.36"/>
    <s v="S801"/>
    <x v="3"/>
    <s v="W40"/>
    <x v="2"/>
    <s v="UPS"/>
    <s v="New York-Berlin"/>
    <n v="2213"/>
    <n v="411"/>
    <x v="0"/>
    <n v="26"/>
    <n v="109.92"/>
    <n v="41.8"/>
    <n v="151.72"/>
    <s v="On-time"/>
    <n v="0"/>
    <n v="83.89"/>
    <n v="481"/>
    <n v="528"/>
    <n v="6.8558517849073658E-2"/>
  </r>
  <r>
    <x v="883"/>
    <s v="C5502"/>
    <x v="707"/>
    <d v="2022-03-22T00:00:00"/>
    <x v="2"/>
    <x v="1"/>
    <x v="7"/>
    <x v="5"/>
    <x v="701"/>
    <x v="2"/>
    <s v="Copiers"/>
    <x v="688"/>
    <n v="129.79"/>
    <n v="23"/>
    <n v="2985.1699999999996"/>
    <s v="S425"/>
    <x v="3"/>
    <s v="W35"/>
    <x v="3"/>
    <s v="DHL"/>
    <s v="Cape Town-Berlin"/>
    <n v="3825"/>
    <n v="183"/>
    <x v="0"/>
    <n v="1"/>
    <n v="166.23"/>
    <n v="263.66000000000003"/>
    <n v="429.89"/>
    <s v="On-time"/>
    <n v="0"/>
    <n v="86.49"/>
    <n v="433"/>
    <n v="420"/>
    <n v="0.11238954248366012"/>
  </r>
  <r>
    <x v="884"/>
    <s v="C1296"/>
    <x v="280"/>
    <d v="2023-08-08T00:00:00"/>
    <x v="0"/>
    <x v="0"/>
    <x v="0"/>
    <x v="7"/>
    <x v="267"/>
    <x v="2"/>
    <s v="Phones"/>
    <x v="265"/>
    <n v="273.74"/>
    <n v="66"/>
    <n v="18066.84"/>
    <s v="S686"/>
    <x v="1"/>
    <s v="W7"/>
    <x v="0"/>
    <s v="BlueDart"/>
    <s v="São Paulo-Cape Town"/>
    <n v="1188"/>
    <n v="346"/>
    <x v="0"/>
    <n v="6"/>
    <n v="396.08"/>
    <n v="436.08"/>
    <n v="832.16"/>
    <s v="On-time"/>
    <n v="0"/>
    <n v="98.2"/>
    <n v="245"/>
    <n v="285"/>
    <n v="0.70047138047138047"/>
  </r>
  <r>
    <x v="885"/>
    <s v="C2816"/>
    <x v="708"/>
    <d v="2020-05-02T00:00:00"/>
    <x v="1"/>
    <x v="2"/>
    <x v="3"/>
    <x v="5"/>
    <x v="702"/>
    <x v="2"/>
    <s v="Phones"/>
    <x v="689"/>
    <n v="55.76"/>
    <n v="16"/>
    <n v="892.16"/>
    <s v="S553"/>
    <x v="2"/>
    <s v="W14"/>
    <x v="0"/>
    <s v="BlueDart"/>
    <s v="London-London"/>
    <n v="1461"/>
    <n v="62"/>
    <x v="0"/>
    <n v="15"/>
    <n v="1315.19"/>
    <n v="182.28"/>
    <n v="1497.47"/>
    <s v="On-time"/>
    <n v="0"/>
    <n v="95.99"/>
    <n v="298"/>
    <n v="323"/>
    <n v="1.0249623545516771"/>
  </r>
  <r>
    <x v="886"/>
    <s v="C1643"/>
    <x v="567"/>
    <d v="2024-12-13T00:00:00"/>
    <x v="1"/>
    <x v="1"/>
    <x v="2"/>
    <x v="5"/>
    <x v="703"/>
    <x v="0"/>
    <s v="Appliances"/>
    <x v="690"/>
    <n v="167.3"/>
    <n v="52"/>
    <n v="8699.6"/>
    <s v="S712"/>
    <x v="0"/>
    <s v="W39"/>
    <x v="3"/>
    <s v="DHL"/>
    <s v="London-London"/>
    <n v="1800"/>
    <n v="143"/>
    <x v="0"/>
    <n v="29"/>
    <n v="95.4"/>
    <n v="196.07"/>
    <n v="291.47000000000003"/>
    <s v="On-time"/>
    <n v="0"/>
    <n v="96.63"/>
    <n v="94"/>
    <n v="79"/>
    <n v="0.16192777777777778"/>
  </r>
  <r>
    <x v="887"/>
    <s v="C1013"/>
    <x v="709"/>
    <d v="2024-05-14T00:00:00"/>
    <x v="2"/>
    <x v="2"/>
    <x v="3"/>
    <x v="7"/>
    <x v="704"/>
    <x v="0"/>
    <s v="Art"/>
    <x v="691"/>
    <n v="30.4"/>
    <n v="46"/>
    <n v="1398.3999999999999"/>
    <s v="S402"/>
    <x v="2"/>
    <s v="W33"/>
    <x v="2"/>
    <s v="Maersk"/>
    <s v="Toronto-Cape Town"/>
    <n v="2981"/>
    <n v="291"/>
    <x v="0"/>
    <n v="1"/>
    <n v="1899.42"/>
    <n v="342.32"/>
    <n v="2241.7399999999998"/>
    <s v="On-time"/>
    <n v="0"/>
    <n v="86.6"/>
    <n v="190"/>
    <n v="190"/>
    <n v="0.75200939282120083"/>
  </r>
  <r>
    <x v="888"/>
    <s v="C4645"/>
    <x v="256"/>
    <d v="2021-02-07T00:00:00"/>
    <x v="2"/>
    <x v="4"/>
    <x v="0"/>
    <x v="6"/>
    <x v="705"/>
    <x v="0"/>
    <s v="Binders"/>
    <x v="692"/>
    <n v="284.3"/>
    <n v="9"/>
    <n v="2558.7000000000003"/>
    <s v="S159"/>
    <x v="0"/>
    <s v="W45"/>
    <x v="0"/>
    <s v="UPS"/>
    <s v="New York-New York"/>
    <n v="1850"/>
    <n v="69"/>
    <x v="0"/>
    <n v="23"/>
    <n v="1299.18"/>
    <n v="169.7"/>
    <n v="1468.88"/>
    <s v="On-time"/>
    <n v="0"/>
    <n v="89.36"/>
    <n v="212"/>
    <n v="253"/>
    <n v="0.79398918918918926"/>
  </r>
  <r>
    <x v="889"/>
    <s v="C7757"/>
    <x v="525"/>
    <d v="2023-07-12T00:00:00"/>
    <x v="2"/>
    <x v="1"/>
    <x v="6"/>
    <x v="7"/>
    <x v="253"/>
    <x v="0"/>
    <s v="Binders"/>
    <x v="251"/>
    <n v="151.66999999999999"/>
    <n v="82"/>
    <n v="12436.939999999999"/>
    <s v="S796"/>
    <x v="4"/>
    <s v="W38"/>
    <x v="2"/>
    <s v="UPS"/>
    <s v="Toronto-Mumbai"/>
    <n v="2828"/>
    <n v="492"/>
    <x v="0"/>
    <n v="8"/>
    <n v="695.89"/>
    <n v="210.76"/>
    <n v="906.65"/>
    <s v="On-time"/>
    <n v="0"/>
    <n v="85.59"/>
    <n v="306"/>
    <n v="316"/>
    <n v="0.3205975954738331"/>
  </r>
  <r>
    <x v="890"/>
    <s v="C3311"/>
    <x v="710"/>
    <d v="2021-10-25T00:00:00"/>
    <x v="2"/>
    <x v="0"/>
    <x v="7"/>
    <x v="7"/>
    <x v="706"/>
    <x v="0"/>
    <s v="Binders"/>
    <x v="693"/>
    <n v="404.41"/>
    <n v="91"/>
    <n v="36801.310000000005"/>
    <s v="S336"/>
    <x v="3"/>
    <s v="W32"/>
    <x v="0"/>
    <s v="FedEx"/>
    <s v="Berlin-Toronto"/>
    <n v="3621"/>
    <n v="364"/>
    <x v="0"/>
    <n v="10"/>
    <n v="662.77"/>
    <n v="402.51"/>
    <n v="1065.28"/>
    <s v="On-time"/>
    <n v="0"/>
    <n v="98.67"/>
    <n v="351"/>
    <n v="392"/>
    <n v="0.29419497376415354"/>
  </r>
  <r>
    <x v="891"/>
    <s v="C6036"/>
    <x v="329"/>
    <d v="2024-04-07T00:00:00"/>
    <x v="1"/>
    <x v="4"/>
    <x v="0"/>
    <x v="5"/>
    <x v="707"/>
    <x v="0"/>
    <s v="Fasteners"/>
    <x v="694"/>
    <n v="253.08"/>
    <n v="36"/>
    <n v="9110.880000000001"/>
    <s v="S559"/>
    <x v="3"/>
    <s v="W22"/>
    <x v="0"/>
    <s v="DHL"/>
    <s v="São Paulo-Berlin"/>
    <n v="2855"/>
    <n v="393"/>
    <x v="0"/>
    <n v="22"/>
    <n v="200.42"/>
    <n v="265.24"/>
    <n v="465.66"/>
    <s v="On-time"/>
    <n v="0"/>
    <n v="86.96"/>
    <n v="432"/>
    <n v="467"/>
    <n v="0.16310332749562173"/>
  </r>
  <r>
    <x v="892"/>
    <s v="C5864"/>
    <x v="711"/>
    <d v="2023-02-12T00:00:00"/>
    <x v="2"/>
    <x v="1"/>
    <x v="1"/>
    <x v="2"/>
    <x v="708"/>
    <x v="0"/>
    <s v="Labels"/>
    <x v="695"/>
    <n v="413.48"/>
    <n v="24"/>
    <n v="9923.52"/>
    <s v="S120"/>
    <x v="4"/>
    <s v="W29"/>
    <x v="1"/>
    <s v="FedEx"/>
    <s v="Berlin-New York"/>
    <n v="756"/>
    <n v="276"/>
    <x v="0"/>
    <n v="8"/>
    <n v="1965.51"/>
    <n v="285.73"/>
    <n v="2251.2399999999998"/>
    <s v="On-time"/>
    <n v="0"/>
    <n v="86.18"/>
    <n v="79"/>
    <n v="35"/>
    <n v="2.9778306878306875"/>
  </r>
  <r>
    <x v="893"/>
    <s v="C9064"/>
    <x v="712"/>
    <d v="2021-01-06T00:00:00"/>
    <x v="2"/>
    <x v="1"/>
    <x v="6"/>
    <x v="4"/>
    <x v="709"/>
    <x v="0"/>
    <s v="Paper"/>
    <x v="696"/>
    <n v="327.02"/>
    <n v="39"/>
    <n v="12753.779999999999"/>
    <s v="S872"/>
    <x v="2"/>
    <s v="W28"/>
    <x v="0"/>
    <s v="BlueDart"/>
    <s v="Beijing-London"/>
    <n v="4974"/>
    <n v="208"/>
    <x v="0"/>
    <n v="9"/>
    <n v="1280.0999999999999"/>
    <n v="18.329999999999998"/>
    <n v="1298.43"/>
    <s v="On-time"/>
    <n v="0"/>
    <n v="86.32"/>
    <n v="346"/>
    <n v="324"/>
    <n v="0.26104342581423401"/>
  </r>
  <r>
    <x v="894"/>
    <s v="C9582"/>
    <x v="713"/>
    <d v="2023-08-31T00:00:00"/>
    <x v="2"/>
    <x v="2"/>
    <x v="3"/>
    <x v="5"/>
    <x v="710"/>
    <x v="0"/>
    <s v="Paper"/>
    <x v="697"/>
    <n v="256.17"/>
    <n v="22"/>
    <n v="5635.7400000000007"/>
    <s v="S144"/>
    <x v="0"/>
    <s v="W41"/>
    <x v="0"/>
    <s v="Maersk"/>
    <s v="Beijing-Cape Town"/>
    <n v="3012"/>
    <n v="322"/>
    <x v="0"/>
    <n v="25"/>
    <n v="73.37"/>
    <n v="490.49"/>
    <n v="563.86"/>
    <s v="On-time"/>
    <n v="0"/>
    <n v="72.28"/>
    <n v="300"/>
    <n v="299"/>
    <n v="0.18720451527224435"/>
  </r>
  <r>
    <x v="895"/>
    <s v="C1272"/>
    <x v="714"/>
    <d v="2022-03-24T00:00:00"/>
    <x v="1"/>
    <x v="1"/>
    <x v="5"/>
    <x v="3"/>
    <x v="711"/>
    <x v="2"/>
    <s v="Phones"/>
    <x v="698"/>
    <n v="338.58"/>
    <n v="55"/>
    <n v="18621.899999999998"/>
    <s v="S925"/>
    <x v="2"/>
    <s v="W45"/>
    <x v="2"/>
    <s v="BlueDart"/>
    <s v="São Paulo-Mumbai"/>
    <n v="111"/>
    <n v="295"/>
    <x v="1"/>
    <n v="21"/>
    <n v="1918.15"/>
    <n v="94.89"/>
    <n v="2013.04"/>
    <s v="On-time"/>
    <n v="0"/>
    <n v="77.430000000000007"/>
    <n v="338"/>
    <n v="298"/>
    <n v="18.135495495495494"/>
  </r>
  <r>
    <x v="896"/>
    <s v="C8832"/>
    <x v="715"/>
    <d v="2020-07-27T00:00:00"/>
    <x v="2"/>
    <x v="3"/>
    <x v="2"/>
    <x v="4"/>
    <x v="430"/>
    <x v="2"/>
    <s v="Phones"/>
    <x v="699"/>
    <n v="432.23"/>
    <n v="19"/>
    <n v="8212.3700000000008"/>
    <s v="S325"/>
    <x v="2"/>
    <s v="W33"/>
    <x v="2"/>
    <s v="FedEx"/>
    <s v="Beijing-Mumbai"/>
    <n v="3749"/>
    <n v="430"/>
    <x v="0"/>
    <n v="22"/>
    <n v="1935.66"/>
    <n v="440.16"/>
    <n v="2375.8200000000002"/>
    <s v="On-time"/>
    <n v="0"/>
    <n v="83.13"/>
    <n v="201"/>
    <n v="194"/>
    <n v="0.63372099226460399"/>
  </r>
  <r>
    <x v="897"/>
    <s v="C1506"/>
    <x v="716"/>
    <d v="2022-07-03T00:00:00"/>
    <x v="2"/>
    <x v="0"/>
    <x v="3"/>
    <x v="1"/>
    <x v="702"/>
    <x v="2"/>
    <s v="Phones"/>
    <x v="689"/>
    <n v="119.9"/>
    <n v="55"/>
    <n v="6594.5"/>
    <s v="S948"/>
    <x v="4"/>
    <s v="W39"/>
    <x v="1"/>
    <s v="DHL"/>
    <s v="Mumbai-New York"/>
    <n v="1386"/>
    <n v="263"/>
    <x v="0"/>
    <n v="1"/>
    <n v="846.75"/>
    <n v="480.18"/>
    <n v="1326.93"/>
    <s v="On-time"/>
    <n v="0"/>
    <n v="77.400000000000006"/>
    <n v="210"/>
    <n v="233"/>
    <n v="0.95738095238095244"/>
  </r>
  <r>
    <x v="898"/>
    <s v="C3968"/>
    <x v="717"/>
    <d v="2024-02-23T00:00:00"/>
    <x v="2"/>
    <x v="1"/>
    <x v="5"/>
    <x v="0"/>
    <x v="712"/>
    <x v="1"/>
    <s v="Furnishings"/>
    <x v="700"/>
    <n v="25.82"/>
    <n v="17"/>
    <n v="438.94"/>
    <s v="S514"/>
    <x v="4"/>
    <s v="W27"/>
    <x v="2"/>
    <s v="FedEx"/>
    <s v="New York-Cape Town"/>
    <n v="3811"/>
    <n v="259"/>
    <x v="0"/>
    <n v="25"/>
    <n v="1263.24"/>
    <n v="325.43"/>
    <n v="1588.67"/>
    <s v="On-time"/>
    <n v="0"/>
    <n v="99.03"/>
    <n v="432"/>
    <n v="437"/>
    <n v="0.41686434006822359"/>
  </r>
  <r>
    <x v="899"/>
    <s v="C1226"/>
    <x v="718"/>
    <d v="2022-11-28T00:00:00"/>
    <x v="1"/>
    <x v="1"/>
    <x v="3"/>
    <x v="1"/>
    <x v="713"/>
    <x v="0"/>
    <s v="Art"/>
    <x v="701"/>
    <n v="16.8"/>
    <n v="56"/>
    <n v="940.80000000000007"/>
    <s v="S719"/>
    <x v="3"/>
    <s v="W11"/>
    <x v="3"/>
    <s v="UPS"/>
    <s v="London-Toronto"/>
    <n v="715"/>
    <n v="260"/>
    <x v="0"/>
    <n v="5"/>
    <n v="58.34"/>
    <n v="90.53"/>
    <n v="148.87"/>
    <s v="On-time"/>
    <n v="0"/>
    <n v="77.44"/>
    <n v="165"/>
    <n v="160"/>
    <n v="0.20820979020979022"/>
  </r>
  <r>
    <x v="900"/>
    <s v="C2221"/>
    <x v="719"/>
    <d v="2024-04-14T00:00:00"/>
    <x v="2"/>
    <x v="1"/>
    <x v="2"/>
    <x v="0"/>
    <x v="714"/>
    <x v="0"/>
    <s v="Fasteners"/>
    <x v="702"/>
    <n v="218.43"/>
    <n v="3"/>
    <n v="655.29"/>
    <s v="S220"/>
    <x v="2"/>
    <s v="W6"/>
    <x v="2"/>
    <s v="Maersk"/>
    <s v="Beijing-New York"/>
    <n v="2096"/>
    <n v="245"/>
    <x v="0"/>
    <n v="27"/>
    <n v="1979.64"/>
    <n v="325.19"/>
    <n v="2304.83"/>
    <s v="On-time"/>
    <n v="0"/>
    <n v="86.09"/>
    <n v="227"/>
    <n v="233"/>
    <n v="1.0996326335877862"/>
  </r>
  <r>
    <x v="901"/>
    <s v="C8020"/>
    <x v="720"/>
    <d v="2022-10-06T00:00:00"/>
    <x v="2"/>
    <x v="4"/>
    <x v="6"/>
    <x v="7"/>
    <x v="715"/>
    <x v="0"/>
    <s v="Storage"/>
    <x v="703"/>
    <n v="322.01"/>
    <n v="68"/>
    <n v="21896.68"/>
    <s v="S634"/>
    <x v="2"/>
    <s v="W42"/>
    <x v="0"/>
    <s v="UPS"/>
    <s v="London-Mumbai"/>
    <n v="4470"/>
    <n v="296"/>
    <x v="0"/>
    <n v="10"/>
    <n v="1328.44"/>
    <n v="481.56"/>
    <n v="1810"/>
    <s v="On-time"/>
    <n v="0"/>
    <n v="70.56"/>
    <n v="407"/>
    <n v="423"/>
    <n v="0.40492170022371365"/>
  </r>
  <r>
    <x v="902"/>
    <s v="C8386"/>
    <x v="721"/>
    <d v="2021-09-27T00:00:00"/>
    <x v="1"/>
    <x v="3"/>
    <x v="1"/>
    <x v="0"/>
    <x v="483"/>
    <x v="1"/>
    <s v="Furnishings"/>
    <x v="474"/>
    <n v="241.91"/>
    <n v="4"/>
    <n v="967.64"/>
    <s v="S991"/>
    <x v="3"/>
    <s v="W44"/>
    <x v="1"/>
    <s v="BlueDart"/>
    <s v="Cape Town-Toronto"/>
    <n v="4449"/>
    <n v="260"/>
    <x v="0"/>
    <n v="20"/>
    <n v="1017.33"/>
    <n v="269.29000000000002"/>
    <n v="1286.6199999999999"/>
    <s v="On-time"/>
    <n v="0"/>
    <n v="76.12"/>
    <n v="349"/>
    <n v="328"/>
    <n v="0.28919307709597658"/>
  </r>
  <r>
    <x v="903"/>
    <s v="C7381"/>
    <x v="263"/>
    <d v="2020-01-29T00:00:00"/>
    <x v="2"/>
    <x v="1"/>
    <x v="0"/>
    <x v="5"/>
    <x v="716"/>
    <x v="0"/>
    <s v="Appliances"/>
    <x v="704"/>
    <n v="206.31"/>
    <n v="14"/>
    <n v="2888.34"/>
    <s v="S581"/>
    <x v="1"/>
    <s v="W21"/>
    <x v="2"/>
    <s v="BlueDart"/>
    <s v="London-Beijing"/>
    <n v="4507"/>
    <n v="156"/>
    <x v="0"/>
    <n v="3"/>
    <n v="1805.2"/>
    <n v="444.96"/>
    <n v="2250.16"/>
    <s v="On-time"/>
    <n v="0"/>
    <n v="93.04"/>
    <n v="93"/>
    <n v="67"/>
    <n v="0.49925893055247389"/>
  </r>
  <r>
    <x v="904"/>
    <s v="C6426"/>
    <x v="187"/>
    <d v="2024-08-31T00:00:00"/>
    <x v="1"/>
    <x v="2"/>
    <x v="3"/>
    <x v="4"/>
    <x v="717"/>
    <x v="0"/>
    <s v="Art"/>
    <x v="705"/>
    <n v="337.89"/>
    <n v="44"/>
    <n v="14867.16"/>
    <s v="S288"/>
    <x v="1"/>
    <s v="W44"/>
    <x v="0"/>
    <s v="UPS"/>
    <s v="Mumbai-Beijing"/>
    <n v="3143"/>
    <n v="104"/>
    <x v="0"/>
    <n v="16"/>
    <n v="1807.54"/>
    <n v="140.4"/>
    <n v="1947.94"/>
    <s v="Delayed"/>
    <n v="4"/>
    <n v="92.55"/>
    <n v="230"/>
    <n v="210"/>
    <n v="0.61977091950365892"/>
  </r>
  <r>
    <x v="905"/>
    <s v="C4201"/>
    <x v="722"/>
    <d v="2023-10-02T00:00:00"/>
    <x v="1"/>
    <x v="1"/>
    <x v="5"/>
    <x v="3"/>
    <x v="718"/>
    <x v="0"/>
    <s v="Binders"/>
    <x v="706"/>
    <n v="142.07"/>
    <n v="58"/>
    <n v="8240.06"/>
    <s v="S337"/>
    <x v="4"/>
    <s v="W5"/>
    <x v="2"/>
    <s v="UPS"/>
    <s v="Berlin-Beijing"/>
    <n v="4504"/>
    <n v="434"/>
    <x v="0"/>
    <n v="3"/>
    <n v="375.65"/>
    <n v="339.13"/>
    <n v="714.78"/>
    <s v="On-time"/>
    <n v="0"/>
    <n v="72.290000000000006"/>
    <n v="403"/>
    <n v="400"/>
    <n v="0.15869893428063941"/>
  </r>
  <r>
    <x v="906"/>
    <s v="C8049"/>
    <x v="723"/>
    <d v="2024-03-02T00:00:00"/>
    <x v="2"/>
    <x v="1"/>
    <x v="0"/>
    <x v="2"/>
    <x v="719"/>
    <x v="0"/>
    <s v="Binders"/>
    <x v="707"/>
    <n v="333.42"/>
    <n v="37"/>
    <n v="12336.54"/>
    <s v="S955"/>
    <x v="3"/>
    <s v="W27"/>
    <x v="0"/>
    <s v="FedEx"/>
    <s v="London-Cape Town"/>
    <n v="3139"/>
    <n v="259"/>
    <x v="0"/>
    <n v="23"/>
    <n v="742.45"/>
    <n v="433.51"/>
    <n v="1175.96"/>
    <s v="On-time"/>
    <n v="0"/>
    <n v="94.29"/>
    <n v="425"/>
    <n v="474"/>
    <n v="0.37462886269512585"/>
  </r>
  <r>
    <x v="907"/>
    <s v="C6905"/>
    <x v="724"/>
    <d v="2022-08-10T00:00:00"/>
    <x v="2"/>
    <x v="0"/>
    <x v="1"/>
    <x v="0"/>
    <x v="206"/>
    <x v="0"/>
    <s v="Labels"/>
    <x v="204"/>
    <n v="343.32"/>
    <n v="79"/>
    <n v="27122.28"/>
    <s v="S718"/>
    <x v="2"/>
    <s v="W44"/>
    <x v="3"/>
    <s v="DHL"/>
    <s v="Mumbai-Berlin"/>
    <n v="268"/>
    <n v="499"/>
    <x v="1"/>
    <n v="14"/>
    <n v="1946.76"/>
    <n v="98.01"/>
    <n v="2044.77"/>
    <s v="On-time"/>
    <n v="0"/>
    <n v="95.78"/>
    <n v="172"/>
    <n v="133"/>
    <n v="7.629738805970149"/>
  </r>
  <r>
    <x v="908"/>
    <s v="C2185"/>
    <x v="725"/>
    <d v="2021-05-08T00:00:00"/>
    <x v="2"/>
    <x v="1"/>
    <x v="7"/>
    <x v="3"/>
    <x v="720"/>
    <x v="0"/>
    <s v="Paper"/>
    <x v="708"/>
    <n v="145.97999999999999"/>
    <n v="19"/>
    <n v="2773.62"/>
    <s v="S383"/>
    <x v="3"/>
    <s v="W45"/>
    <x v="3"/>
    <s v="Maersk"/>
    <s v="São Paulo-London"/>
    <n v="1125"/>
    <n v="116"/>
    <x v="0"/>
    <n v="14"/>
    <n v="970.65"/>
    <n v="291.51"/>
    <n v="1262.1600000000001"/>
    <s v="On-time"/>
    <n v="0"/>
    <n v="99.25"/>
    <n v="486"/>
    <n v="511"/>
    <n v="1.12192"/>
  </r>
  <r>
    <x v="909"/>
    <s v="C3927"/>
    <x v="726"/>
    <d v="2024-06-13T00:00:00"/>
    <x v="2"/>
    <x v="4"/>
    <x v="6"/>
    <x v="7"/>
    <x v="721"/>
    <x v="0"/>
    <s v="Supplies"/>
    <x v="709"/>
    <n v="376.04"/>
    <n v="81"/>
    <n v="30459.24"/>
    <s v="S847"/>
    <x v="0"/>
    <s v="W17"/>
    <x v="1"/>
    <s v="UPS"/>
    <s v="Berlin-New York"/>
    <n v="1394"/>
    <n v="175"/>
    <x v="0"/>
    <n v="11"/>
    <n v="1291.1600000000001"/>
    <n v="198.07"/>
    <n v="1489.23"/>
    <s v="On-time"/>
    <n v="0"/>
    <n v="91.48"/>
    <n v="248"/>
    <n v="268"/>
    <n v="1.0683142037302726"/>
  </r>
  <r>
    <x v="910"/>
    <s v="C5213"/>
    <x v="602"/>
    <d v="2023-11-25T00:00:00"/>
    <x v="2"/>
    <x v="1"/>
    <x v="5"/>
    <x v="2"/>
    <x v="628"/>
    <x v="2"/>
    <s v="Accessories"/>
    <x v="615"/>
    <n v="488.49"/>
    <n v="94"/>
    <n v="45918.06"/>
    <s v="S385"/>
    <x v="2"/>
    <s v="W44"/>
    <x v="3"/>
    <s v="Maersk"/>
    <s v="Cape Town-Toronto"/>
    <n v="4599"/>
    <n v="299"/>
    <x v="0"/>
    <n v="5"/>
    <n v="982.85"/>
    <n v="388.46"/>
    <n v="1371.31"/>
    <s v="On-time"/>
    <n v="0"/>
    <n v="83.01"/>
    <n v="224"/>
    <n v="263"/>
    <n v="0.29817569036747116"/>
  </r>
  <r>
    <x v="911"/>
    <s v="C2321"/>
    <x v="727"/>
    <d v="2023-08-15T00:00:00"/>
    <x v="2"/>
    <x v="0"/>
    <x v="0"/>
    <x v="1"/>
    <x v="682"/>
    <x v="2"/>
    <s v="Accessories"/>
    <x v="668"/>
    <n v="318.87"/>
    <n v="25"/>
    <n v="7971.75"/>
    <s v="S399"/>
    <x v="3"/>
    <s v="W40"/>
    <x v="1"/>
    <s v="UPS"/>
    <s v="Mumbai-London"/>
    <n v="4876"/>
    <n v="484"/>
    <x v="0"/>
    <n v="13"/>
    <n v="1373.13"/>
    <n v="98.48"/>
    <n v="1471.61"/>
    <s v="On-time"/>
    <n v="0"/>
    <n v="90.15"/>
    <n v="110"/>
    <n v="84"/>
    <n v="0.30180680885972105"/>
  </r>
  <r>
    <x v="912"/>
    <s v="C4180"/>
    <x v="728"/>
    <d v="2023-07-17T00:00:00"/>
    <x v="0"/>
    <x v="4"/>
    <x v="3"/>
    <x v="4"/>
    <x v="722"/>
    <x v="2"/>
    <s v="Phones"/>
    <x v="710"/>
    <n v="300.8"/>
    <n v="59"/>
    <n v="17747.2"/>
    <s v="S857"/>
    <x v="1"/>
    <s v="W41"/>
    <x v="3"/>
    <s v="Maersk"/>
    <s v="Cape Town-Mumbai"/>
    <n v="1397"/>
    <n v="324"/>
    <x v="0"/>
    <n v="20"/>
    <n v="1202.0899999999999"/>
    <n v="258.22000000000003"/>
    <n v="1460.31"/>
    <s v="On-time"/>
    <n v="0"/>
    <n v="81.739999999999995"/>
    <n v="369"/>
    <n v="386"/>
    <n v="1.0453185397279885"/>
  </r>
  <r>
    <x v="913"/>
    <s v="C2965"/>
    <x v="729"/>
    <d v="2020-05-16T00:00:00"/>
    <x v="1"/>
    <x v="1"/>
    <x v="3"/>
    <x v="6"/>
    <x v="723"/>
    <x v="1"/>
    <s v="Chairs"/>
    <x v="711"/>
    <n v="232.32"/>
    <n v="47"/>
    <n v="10919.039999999999"/>
    <s v="S599"/>
    <x v="2"/>
    <s v="W30"/>
    <x v="1"/>
    <s v="UPS"/>
    <s v="Berlin-London"/>
    <n v="2536"/>
    <n v="297"/>
    <x v="0"/>
    <n v="12"/>
    <n v="770.75"/>
    <n v="400.96"/>
    <n v="1171.71"/>
    <s v="On-time"/>
    <n v="0"/>
    <n v="73.16"/>
    <n v="168"/>
    <n v="200"/>
    <n v="0.46203075709779179"/>
  </r>
  <r>
    <x v="914"/>
    <s v="C2460"/>
    <x v="604"/>
    <d v="2022-08-10T00:00:00"/>
    <x v="2"/>
    <x v="4"/>
    <x v="7"/>
    <x v="0"/>
    <x v="724"/>
    <x v="0"/>
    <s v="Appliances"/>
    <x v="712"/>
    <n v="233.06"/>
    <n v="15"/>
    <n v="3495.9"/>
    <s v="S911"/>
    <x v="0"/>
    <s v="W12"/>
    <x v="1"/>
    <s v="BlueDart"/>
    <s v="London-Beijing"/>
    <n v="612"/>
    <n v="120"/>
    <x v="0"/>
    <n v="28"/>
    <n v="592.12"/>
    <n v="252.54"/>
    <n v="844.66"/>
    <s v="On-time"/>
    <n v="0"/>
    <n v="91.39"/>
    <n v="57"/>
    <n v="10"/>
    <n v="1.3801633986928104"/>
  </r>
  <r>
    <x v="915"/>
    <s v="C7289"/>
    <x v="218"/>
    <d v="2022-02-02T00:00:00"/>
    <x v="2"/>
    <x v="4"/>
    <x v="1"/>
    <x v="4"/>
    <x v="696"/>
    <x v="0"/>
    <s v="Appliances"/>
    <x v="683"/>
    <n v="286"/>
    <n v="49"/>
    <n v="14014"/>
    <s v="S229"/>
    <x v="4"/>
    <s v="W10"/>
    <x v="2"/>
    <s v="Maersk"/>
    <s v="New York-Beijing"/>
    <n v="332"/>
    <n v="339"/>
    <x v="1"/>
    <n v="23"/>
    <n v="1643.38"/>
    <n v="309.74"/>
    <n v="1953.12"/>
    <s v="On-time"/>
    <n v="0"/>
    <n v="97.44"/>
    <n v="332"/>
    <n v="310"/>
    <n v="5.8828915662650596"/>
  </r>
  <r>
    <x v="916"/>
    <s v="C3732"/>
    <x v="458"/>
    <d v="2024-02-24T00:00:00"/>
    <x v="2"/>
    <x v="2"/>
    <x v="1"/>
    <x v="5"/>
    <x v="725"/>
    <x v="0"/>
    <s v="Binders"/>
    <x v="713"/>
    <n v="422.12"/>
    <n v="33"/>
    <n v="13929.960000000001"/>
    <s v="S876"/>
    <x v="0"/>
    <s v="W10"/>
    <x v="0"/>
    <s v="FedEx"/>
    <s v="Beijing-London"/>
    <n v="3306"/>
    <n v="122"/>
    <x v="0"/>
    <n v="4"/>
    <n v="323.37"/>
    <n v="331.23"/>
    <n v="654.6"/>
    <s v="On-time"/>
    <n v="0"/>
    <n v="91.09"/>
    <n v="429"/>
    <n v="430"/>
    <n v="0.19800362976406535"/>
  </r>
  <r>
    <x v="917"/>
    <s v="C8210"/>
    <x v="730"/>
    <d v="2021-11-02T00:00:00"/>
    <x v="2"/>
    <x v="2"/>
    <x v="0"/>
    <x v="5"/>
    <x v="726"/>
    <x v="0"/>
    <s v="Binders"/>
    <x v="714"/>
    <n v="401.92"/>
    <n v="39"/>
    <n v="15674.880000000001"/>
    <s v="S635"/>
    <x v="1"/>
    <s v="W27"/>
    <x v="0"/>
    <s v="FedEx"/>
    <s v="São Paulo-New York"/>
    <n v="4354"/>
    <n v="169"/>
    <x v="0"/>
    <n v="11"/>
    <n v="1022.12"/>
    <n v="302.07"/>
    <n v="1324.19"/>
    <s v="On-time"/>
    <n v="0"/>
    <n v="91.59"/>
    <n v="406"/>
    <n v="417"/>
    <n v="0.30413183279742767"/>
  </r>
  <r>
    <x v="918"/>
    <s v="C6352"/>
    <x v="696"/>
    <d v="2023-07-07T00:00:00"/>
    <x v="2"/>
    <x v="4"/>
    <x v="2"/>
    <x v="0"/>
    <x v="336"/>
    <x v="0"/>
    <s v="Binders"/>
    <x v="332"/>
    <n v="196.55"/>
    <n v="76"/>
    <n v="14937.800000000001"/>
    <s v="S830"/>
    <x v="4"/>
    <s v="W14"/>
    <x v="1"/>
    <s v="UPS"/>
    <s v="Cape Town-New York"/>
    <n v="752"/>
    <n v="446"/>
    <x v="0"/>
    <n v="7"/>
    <n v="870.6"/>
    <n v="469.28"/>
    <n v="1339.88"/>
    <s v="On-time"/>
    <n v="0"/>
    <n v="89.57"/>
    <n v="483"/>
    <n v="446"/>
    <n v="1.7817553191489364"/>
  </r>
  <r>
    <x v="919"/>
    <s v="C2198"/>
    <x v="731"/>
    <d v="2022-10-12T00:00:00"/>
    <x v="2"/>
    <x v="4"/>
    <x v="0"/>
    <x v="7"/>
    <x v="336"/>
    <x v="0"/>
    <s v="Binders"/>
    <x v="332"/>
    <n v="50.02"/>
    <n v="53"/>
    <n v="2651.06"/>
    <s v="S307"/>
    <x v="2"/>
    <s v="W28"/>
    <x v="1"/>
    <s v="Maersk"/>
    <s v="Beijing-Toronto"/>
    <n v="4967"/>
    <n v="242"/>
    <x v="0"/>
    <n v="19"/>
    <n v="1965.69"/>
    <n v="407.05"/>
    <n v="2372.7399999999998"/>
    <s v="On-time"/>
    <n v="0"/>
    <n v="72.900000000000006"/>
    <n v="341"/>
    <n v="388"/>
    <n v="0.47770082544795645"/>
  </r>
  <r>
    <x v="920"/>
    <s v="C7967"/>
    <x v="554"/>
    <d v="2024-02-15T00:00:00"/>
    <x v="2"/>
    <x v="2"/>
    <x v="1"/>
    <x v="3"/>
    <x v="521"/>
    <x v="0"/>
    <s v="Paper"/>
    <x v="510"/>
    <n v="315.48"/>
    <n v="83"/>
    <n v="26184.84"/>
    <s v="S545"/>
    <x v="1"/>
    <s v="W1"/>
    <x v="1"/>
    <s v="DHL"/>
    <s v="Toronto-Berlin"/>
    <n v="3507"/>
    <n v="405"/>
    <x v="0"/>
    <n v="7"/>
    <n v="1733.66"/>
    <n v="452.26"/>
    <n v="2185.92"/>
    <s v="Delayed"/>
    <n v="9"/>
    <n v="71.02"/>
    <n v="220"/>
    <n v="187"/>
    <n v="0.62330196749358424"/>
  </r>
  <r>
    <x v="921"/>
    <s v="C4158"/>
    <x v="732"/>
    <d v="2022-02-17T00:00:00"/>
    <x v="2"/>
    <x v="2"/>
    <x v="7"/>
    <x v="6"/>
    <x v="727"/>
    <x v="0"/>
    <s v="Paper"/>
    <x v="715"/>
    <n v="421.83"/>
    <n v="97"/>
    <n v="40917.51"/>
    <s v="S852"/>
    <x v="4"/>
    <s v="W30"/>
    <x v="1"/>
    <s v="BlueDart"/>
    <s v="Mumbai-Mumbai"/>
    <n v="1076"/>
    <n v="90"/>
    <x v="0"/>
    <n v="2"/>
    <n v="1965.56"/>
    <n v="30.77"/>
    <n v="1996.33"/>
    <s v="On-time"/>
    <n v="0"/>
    <n v="71.61"/>
    <n v="65"/>
    <n v="49"/>
    <n v="1.8553252788104089"/>
  </r>
  <r>
    <x v="922"/>
    <s v="C7334"/>
    <x v="733"/>
    <d v="2020-02-17T00:00:00"/>
    <x v="0"/>
    <x v="0"/>
    <x v="2"/>
    <x v="1"/>
    <x v="457"/>
    <x v="1"/>
    <s v="Tables"/>
    <x v="449"/>
    <n v="54.99"/>
    <n v="38"/>
    <n v="2089.62"/>
    <s v="S452"/>
    <x v="0"/>
    <s v="W27"/>
    <x v="3"/>
    <s v="UPS"/>
    <s v="London-São Paulo"/>
    <n v="4451"/>
    <n v="420"/>
    <x v="0"/>
    <n v="29"/>
    <n v="1769.2"/>
    <n v="474.26"/>
    <n v="2243.46"/>
    <s v="Delayed"/>
    <n v="1"/>
    <n v="72.53"/>
    <n v="318"/>
    <n v="347"/>
    <n v="0.50403504830375201"/>
  </r>
  <r>
    <x v="923"/>
    <s v="C1091"/>
    <x v="734"/>
    <d v="2022-11-02T00:00:00"/>
    <x v="1"/>
    <x v="3"/>
    <x v="4"/>
    <x v="0"/>
    <x v="435"/>
    <x v="0"/>
    <s v="Binders"/>
    <x v="268"/>
    <n v="196.1"/>
    <n v="62"/>
    <n v="12158.199999999999"/>
    <s v="S130"/>
    <x v="0"/>
    <s v="W11"/>
    <x v="1"/>
    <s v="UPS"/>
    <s v="Cape Town-London"/>
    <n v="2620"/>
    <n v="457"/>
    <x v="0"/>
    <n v="13"/>
    <n v="1152.77"/>
    <n v="176.89"/>
    <n v="1329.66"/>
    <s v="On-time"/>
    <n v="0"/>
    <n v="87.77"/>
    <n v="99"/>
    <n v="63"/>
    <n v="0.50750381679389311"/>
  </r>
  <r>
    <x v="924"/>
    <s v="C3820"/>
    <x v="735"/>
    <d v="2023-01-03T00:00:00"/>
    <x v="1"/>
    <x v="0"/>
    <x v="6"/>
    <x v="0"/>
    <x v="728"/>
    <x v="0"/>
    <s v="Fasteners"/>
    <x v="716"/>
    <n v="365.79"/>
    <n v="88"/>
    <n v="32189.52"/>
    <s v="S204"/>
    <x v="1"/>
    <s v="W20"/>
    <x v="3"/>
    <s v="DHL"/>
    <s v="Mumbai-Cape Town"/>
    <n v="3726"/>
    <n v="380"/>
    <x v="0"/>
    <n v="22"/>
    <n v="587.34"/>
    <n v="211.38"/>
    <n v="798.72"/>
    <s v="On-time"/>
    <n v="0"/>
    <n v="96.4"/>
    <n v="71"/>
    <n v="96"/>
    <n v="0.21436392914653785"/>
  </r>
  <r>
    <x v="925"/>
    <s v="C6474"/>
    <x v="736"/>
    <d v="2024-11-24T00:00:00"/>
    <x v="1"/>
    <x v="1"/>
    <x v="3"/>
    <x v="1"/>
    <x v="729"/>
    <x v="0"/>
    <s v="Paper"/>
    <x v="717"/>
    <n v="396.66"/>
    <n v="29"/>
    <n v="11503.140000000001"/>
    <s v="S445"/>
    <x v="0"/>
    <s v="W13"/>
    <x v="1"/>
    <s v="DHL"/>
    <s v="New York-São Paulo"/>
    <n v="1943"/>
    <n v="84"/>
    <x v="0"/>
    <n v="20"/>
    <n v="317.86"/>
    <n v="281.14"/>
    <n v="599"/>
    <s v="On-time"/>
    <n v="0"/>
    <n v="96.26"/>
    <n v="204"/>
    <n v="223"/>
    <n v="0.3082861554297478"/>
  </r>
  <r>
    <x v="926"/>
    <s v="C5526"/>
    <x v="737"/>
    <d v="2023-02-23T00:00:00"/>
    <x v="2"/>
    <x v="4"/>
    <x v="6"/>
    <x v="1"/>
    <x v="730"/>
    <x v="0"/>
    <s v="Paper"/>
    <x v="718"/>
    <n v="60.12"/>
    <n v="95"/>
    <n v="5711.4"/>
    <s v="S665"/>
    <x v="2"/>
    <s v="W47"/>
    <x v="2"/>
    <s v="UPS"/>
    <s v="Berlin-Beijing"/>
    <n v="206"/>
    <n v="303"/>
    <x v="1"/>
    <n v="7"/>
    <n v="682.32"/>
    <n v="28.48"/>
    <n v="710.80000000000007"/>
    <s v="On-time"/>
    <n v="0"/>
    <n v="96.42"/>
    <n v="260"/>
    <n v="257"/>
    <n v="3.4504854368932043"/>
  </r>
  <r>
    <x v="927"/>
    <s v="C9430"/>
    <x v="137"/>
    <d v="2024-07-29T00:00:00"/>
    <x v="1"/>
    <x v="1"/>
    <x v="4"/>
    <x v="0"/>
    <x v="731"/>
    <x v="2"/>
    <s v="Accessories"/>
    <x v="719"/>
    <n v="484.73"/>
    <n v="16"/>
    <n v="7755.68"/>
    <s v="S371"/>
    <x v="3"/>
    <s v="W44"/>
    <x v="3"/>
    <s v="Maersk"/>
    <s v="Toronto-Cape Town"/>
    <n v="3380"/>
    <n v="463"/>
    <x v="0"/>
    <n v="15"/>
    <n v="253.22"/>
    <n v="421.57"/>
    <n v="674.79"/>
    <s v="On-time"/>
    <n v="0"/>
    <n v="71.16"/>
    <n v="152"/>
    <n v="189"/>
    <n v="0.19964201183431951"/>
  </r>
  <r>
    <x v="928"/>
    <s v="C2617"/>
    <x v="134"/>
    <d v="2020-05-21T00:00:00"/>
    <x v="0"/>
    <x v="3"/>
    <x v="5"/>
    <x v="6"/>
    <x v="510"/>
    <x v="1"/>
    <s v="Bookcases"/>
    <x v="500"/>
    <n v="265.82"/>
    <n v="69"/>
    <n v="18341.579999999998"/>
    <s v="S542"/>
    <x v="2"/>
    <s v="W7"/>
    <x v="1"/>
    <s v="UPS"/>
    <s v="New York-Cape Town"/>
    <n v="3316"/>
    <n v="375"/>
    <x v="0"/>
    <n v="19"/>
    <n v="1833.75"/>
    <n v="321.97000000000003"/>
    <n v="2155.7199999999998"/>
    <s v="On-time"/>
    <n v="0"/>
    <n v="87.47"/>
    <n v="431"/>
    <n v="413"/>
    <n v="0.65009650180940881"/>
  </r>
  <r>
    <x v="929"/>
    <s v="C2448"/>
    <x v="738"/>
    <d v="2024-11-05T00:00:00"/>
    <x v="2"/>
    <x v="4"/>
    <x v="1"/>
    <x v="0"/>
    <x v="401"/>
    <x v="1"/>
    <s v="Furnishings"/>
    <x v="396"/>
    <n v="219.79"/>
    <n v="88"/>
    <n v="19341.52"/>
    <s v="S621"/>
    <x v="2"/>
    <s v="W14"/>
    <x v="1"/>
    <s v="BlueDart"/>
    <s v="Toronto-Cape Town"/>
    <n v="2266"/>
    <n v="424"/>
    <x v="0"/>
    <n v="23"/>
    <n v="252.79"/>
    <n v="141.58000000000001"/>
    <n v="394.37"/>
    <s v="On-time"/>
    <n v="0"/>
    <n v="77.709999999999994"/>
    <n v="119"/>
    <n v="69"/>
    <n v="0.17403795233892322"/>
  </r>
  <r>
    <x v="930"/>
    <s v="C5436"/>
    <x v="435"/>
    <d v="2022-09-02T00:00:00"/>
    <x v="2"/>
    <x v="4"/>
    <x v="7"/>
    <x v="5"/>
    <x v="732"/>
    <x v="0"/>
    <s v="Art"/>
    <x v="720"/>
    <n v="311.38"/>
    <n v="22"/>
    <n v="6850.36"/>
    <s v="S141"/>
    <x v="1"/>
    <s v="W48"/>
    <x v="1"/>
    <s v="UPS"/>
    <s v="Beijing-Toronto"/>
    <n v="107"/>
    <n v="167"/>
    <x v="1"/>
    <n v="19"/>
    <n v="540.04999999999995"/>
    <n v="177.57"/>
    <n v="717.61999999999989"/>
    <s v="On-time"/>
    <n v="0"/>
    <n v="89.69"/>
    <n v="405"/>
    <n v="409"/>
    <n v="6.7067289719626162"/>
  </r>
  <r>
    <x v="931"/>
    <s v="C4892"/>
    <x v="739"/>
    <d v="2023-12-19T00:00:00"/>
    <x v="1"/>
    <x v="4"/>
    <x v="4"/>
    <x v="2"/>
    <x v="733"/>
    <x v="0"/>
    <s v="Binders"/>
    <x v="721"/>
    <n v="300.3"/>
    <n v="10"/>
    <n v="3003"/>
    <s v="S595"/>
    <x v="2"/>
    <s v="W7"/>
    <x v="3"/>
    <s v="UPS"/>
    <s v="Toronto-London"/>
    <n v="4358"/>
    <n v="396"/>
    <x v="0"/>
    <n v="20"/>
    <n v="344.02"/>
    <n v="102.85"/>
    <n v="446.87"/>
    <s v="Delayed"/>
    <n v="1"/>
    <n v="87.33"/>
    <n v="76"/>
    <n v="90"/>
    <n v="0.10254015603487839"/>
  </r>
  <r>
    <x v="932"/>
    <s v="C4829"/>
    <x v="505"/>
    <d v="2022-09-12T00:00:00"/>
    <x v="2"/>
    <x v="2"/>
    <x v="3"/>
    <x v="4"/>
    <x v="705"/>
    <x v="0"/>
    <s v="Binders"/>
    <x v="692"/>
    <n v="54.81"/>
    <n v="21"/>
    <n v="1151.01"/>
    <s v="S544"/>
    <x v="1"/>
    <s v="W38"/>
    <x v="2"/>
    <s v="UPS"/>
    <s v="São Paulo-São Paulo"/>
    <n v="3913"/>
    <n v="350"/>
    <x v="0"/>
    <n v="9"/>
    <n v="218.57"/>
    <n v="155.66999999999999"/>
    <n v="374.24"/>
    <s v="On-time"/>
    <n v="0"/>
    <n v="99.8"/>
    <n v="467"/>
    <n v="477"/>
    <n v="9.5640173779708668E-2"/>
  </r>
  <r>
    <x v="933"/>
    <s v="C7329"/>
    <x v="740"/>
    <d v="2020-02-18T00:00:00"/>
    <x v="2"/>
    <x v="3"/>
    <x v="4"/>
    <x v="7"/>
    <x v="81"/>
    <x v="0"/>
    <s v="Storage"/>
    <x v="80"/>
    <n v="195.8"/>
    <n v="57"/>
    <n v="11160.6"/>
    <s v="S520"/>
    <x v="3"/>
    <s v="W13"/>
    <x v="0"/>
    <s v="Maersk"/>
    <s v="Mumbai-Toronto"/>
    <n v="315"/>
    <n v="293"/>
    <x v="0"/>
    <n v="18"/>
    <n v="1651.03"/>
    <n v="437.19"/>
    <n v="2088.2199999999998"/>
    <s v="On-time"/>
    <n v="0"/>
    <n v="81.599999999999994"/>
    <n v="90"/>
    <n v="92"/>
    <n v="6.6292698412698403"/>
  </r>
  <r>
    <x v="934"/>
    <s v="C4902"/>
    <x v="741"/>
    <d v="2020-10-30T00:00:00"/>
    <x v="2"/>
    <x v="2"/>
    <x v="3"/>
    <x v="7"/>
    <x v="734"/>
    <x v="0"/>
    <s v="Supplies"/>
    <x v="722"/>
    <n v="377.04"/>
    <n v="30"/>
    <n v="11311.2"/>
    <s v="S311"/>
    <x v="1"/>
    <s v="W20"/>
    <x v="1"/>
    <s v="UPS"/>
    <s v="Beijing-London"/>
    <n v="2596"/>
    <n v="377"/>
    <x v="0"/>
    <n v="2"/>
    <n v="381.06"/>
    <n v="406.53"/>
    <n v="787.58999999999992"/>
    <s v="On-time"/>
    <n v="0"/>
    <n v="95.56"/>
    <n v="404"/>
    <n v="389"/>
    <n v="0.3033859784283513"/>
  </r>
  <r>
    <x v="935"/>
    <s v="C7630"/>
    <x v="124"/>
    <d v="2020-08-31T00:00:00"/>
    <x v="2"/>
    <x v="1"/>
    <x v="0"/>
    <x v="2"/>
    <x v="426"/>
    <x v="0"/>
    <s v="Binders"/>
    <x v="420"/>
    <n v="150.91999999999999"/>
    <n v="55"/>
    <n v="8300.5999999999985"/>
    <s v="S967"/>
    <x v="3"/>
    <s v="W28"/>
    <x v="1"/>
    <s v="DHL"/>
    <s v="Toronto-Toronto"/>
    <n v="4607"/>
    <n v="302"/>
    <x v="0"/>
    <n v="11"/>
    <n v="1843.07"/>
    <n v="413.21"/>
    <n v="2256.2800000000002"/>
    <s v="On-time"/>
    <n v="0"/>
    <n v="90.73"/>
    <n v="150"/>
    <n v="148"/>
    <n v="0.4897503798567398"/>
  </r>
  <r>
    <x v="936"/>
    <s v="C2616"/>
    <x v="742"/>
    <d v="2021-06-26T00:00:00"/>
    <x v="1"/>
    <x v="1"/>
    <x v="6"/>
    <x v="7"/>
    <x v="590"/>
    <x v="0"/>
    <s v="Paper"/>
    <x v="577"/>
    <n v="82.84"/>
    <n v="64"/>
    <n v="5301.76"/>
    <s v="S982"/>
    <x v="3"/>
    <s v="W44"/>
    <x v="1"/>
    <s v="Maersk"/>
    <s v="São Paulo-London"/>
    <n v="486"/>
    <n v="366"/>
    <x v="0"/>
    <n v="11"/>
    <n v="307.41000000000003"/>
    <n v="220.38"/>
    <n v="527.79"/>
    <s v="On-time"/>
    <n v="0"/>
    <n v="83.45"/>
    <n v="57"/>
    <n v="82"/>
    <n v="1.0859876543209876"/>
  </r>
  <r>
    <x v="937"/>
    <s v="C9768"/>
    <x v="136"/>
    <d v="2022-11-29T00:00:00"/>
    <x v="1"/>
    <x v="4"/>
    <x v="0"/>
    <x v="0"/>
    <x v="595"/>
    <x v="1"/>
    <s v="Chairs"/>
    <x v="582"/>
    <n v="494.92"/>
    <n v="76"/>
    <n v="37613.919999999998"/>
    <s v="S237"/>
    <x v="2"/>
    <s v="W19"/>
    <x v="2"/>
    <s v="Maersk"/>
    <s v="Cape Town-São Paulo"/>
    <n v="3190"/>
    <n v="340"/>
    <x v="0"/>
    <n v="5"/>
    <n v="1138.3599999999999"/>
    <n v="195.46"/>
    <n v="1333.82"/>
    <s v="On-time"/>
    <n v="0"/>
    <n v="71.08"/>
    <n v="289"/>
    <n v="267"/>
    <n v="0.41812539184952974"/>
  </r>
  <r>
    <x v="938"/>
    <s v="C5208"/>
    <x v="743"/>
    <d v="2020-07-18T00:00:00"/>
    <x v="2"/>
    <x v="1"/>
    <x v="3"/>
    <x v="4"/>
    <x v="150"/>
    <x v="1"/>
    <s v="Chairs"/>
    <x v="149"/>
    <n v="97.65"/>
    <n v="64"/>
    <n v="6249.6"/>
    <s v="S571"/>
    <x v="0"/>
    <s v="W25"/>
    <x v="1"/>
    <s v="UPS"/>
    <s v="Cape Town-New York"/>
    <n v="4315"/>
    <n v="62"/>
    <x v="0"/>
    <n v="23"/>
    <n v="553.94000000000005"/>
    <n v="296.39999999999998"/>
    <n v="850.34"/>
    <s v="On-time"/>
    <n v="0"/>
    <n v="71.760000000000005"/>
    <n v="413"/>
    <n v="434"/>
    <n v="0.19706604866743918"/>
  </r>
  <r>
    <x v="939"/>
    <s v="C9659"/>
    <x v="153"/>
    <d v="2024-09-13T00:00:00"/>
    <x v="1"/>
    <x v="0"/>
    <x v="5"/>
    <x v="0"/>
    <x v="735"/>
    <x v="0"/>
    <s v="Binders"/>
    <x v="723"/>
    <n v="383.46"/>
    <n v="8"/>
    <n v="3067.68"/>
    <s v="S273"/>
    <x v="0"/>
    <s v="W20"/>
    <x v="2"/>
    <s v="FedEx"/>
    <s v="Mumbai-London"/>
    <n v="4941"/>
    <n v="210"/>
    <x v="0"/>
    <n v="22"/>
    <n v="73.430000000000007"/>
    <n v="12.91"/>
    <n v="86.34"/>
    <s v="Delayed"/>
    <n v="4"/>
    <n v="72.430000000000007"/>
    <n v="214"/>
    <n v="262"/>
    <n v="1.7474195506982391E-2"/>
  </r>
  <r>
    <x v="940"/>
    <s v="C4471"/>
    <x v="744"/>
    <d v="2024-03-26T00:00:00"/>
    <x v="1"/>
    <x v="2"/>
    <x v="2"/>
    <x v="3"/>
    <x v="736"/>
    <x v="0"/>
    <s v="Paper"/>
    <x v="724"/>
    <n v="262.95"/>
    <n v="16"/>
    <n v="4207.2"/>
    <s v="S165"/>
    <x v="4"/>
    <s v="W11"/>
    <x v="3"/>
    <s v="UPS"/>
    <s v="Mumbai-New York"/>
    <n v="2013"/>
    <n v="385"/>
    <x v="0"/>
    <n v="8"/>
    <n v="1435.07"/>
    <n v="227.76"/>
    <n v="1662.83"/>
    <s v="On-time"/>
    <n v="0"/>
    <n v="73.150000000000006"/>
    <n v="155"/>
    <n v="138"/>
    <n v="0.82604570293094881"/>
  </r>
  <r>
    <x v="941"/>
    <s v="C4726"/>
    <x v="265"/>
    <d v="2024-05-24T00:00:00"/>
    <x v="2"/>
    <x v="4"/>
    <x v="2"/>
    <x v="7"/>
    <x v="737"/>
    <x v="0"/>
    <s v="Art"/>
    <x v="725"/>
    <n v="250.58"/>
    <n v="47"/>
    <n v="11777.26"/>
    <s v="S133"/>
    <x v="0"/>
    <s v="W31"/>
    <x v="1"/>
    <s v="UPS"/>
    <s v="Mumbai-London"/>
    <n v="900"/>
    <n v="362"/>
    <x v="0"/>
    <n v="22"/>
    <n v="156.79"/>
    <n v="497.64"/>
    <n v="654.42999999999995"/>
    <s v="On-time"/>
    <n v="0"/>
    <n v="77.400000000000006"/>
    <n v="462"/>
    <n v="413"/>
    <n v="0.72714444444444437"/>
  </r>
  <r>
    <x v="942"/>
    <s v="C5669"/>
    <x v="745"/>
    <d v="2022-02-06T00:00:00"/>
    <x v="2"/>
    <x v="0"/>
    <x v="6"/>
    <x v="3"/>
    <x v="738"/>
    <x v="0"/>
    <s v="Paper"/>
    <x v="726"/>
    <n v="208.41"/>
    <n v="27"/>
    <n v="5627.07"/>
    <s v="S340"/>
    <x v="4"/>
    <s v="W20"/>
    <x v="3"/>
    <s v="FedEx"/>
    <s v="Mumbai-Toronto"/>
    <n v="4209"/>
    <n v="150"/>
    <x v="0"/>
    <n v="13"/>
    <n v="51.27"/>
    <n v="386.15"/>
    <n v="437.42"/>
    <s v="On-time"/>
    <n v="0"/>
    <n v="72.61"/>
    <n v="103"/>
    <n v="80"/>
    <n v="0.10392492278450939"/>
  </r>
  <r>
    <x v="943"/>
    <s v="C3813"/>
    <x v="746"/>
    <d v="2024-07-04T00:00:00"/>
    <x v="2"/>
    <x v="0"/>
    <x v="3"/>
    <x v="4"/>
    <x v="739"/>
    <x v="0"/>
    <s v="Supplies"/>
    <x v="727"/>
    <n v="443.9"/>
    <n v="15"/>
    <n v="6658.5"/>
    <s v="S294"/>
    <x v="4"/>
    <s v="W46"/>
    <x v="2"/>
    <s v="BlueDart"/>
    <s v="London-Beijing"/>
    <n v="2453"/>
    <n v="307"/>
    <x v="0"/>
    <n v="14"/>
    <n v="115.92"/>
    <n v="229.01"/>
    <n v="344.93"/>
    <s v="On-time"/>
    <n v="0"/>
    <n v="96.52"/>
    <n v="350"/>
    <n v="395"/>
    <n v="0.14061557276803913"/>
  </r>
  <r>
    <x v="944"/>
    <s v="C3415"/>
    <x v="747"/>
    <d v="2024-11-30T00:00:00"/>
    <x v="2"/>
    <x v="4"/>
    <x v="7"/>
    <x v="5"/>
    <x v="740"/>
    <x v="1"/>
    <s v="Furnishings"/>
    <x v="728"/>
    <n v="331.87"/>
    <n v="99"/>
    <n v="32855.129999999997"/>
    <s v="S133"/>
    <x v="3"/>
    <s v="W13"/>
    <x v="1"/>
    <s v="UPS"/>
    <s v="São Paulo-London"/>
    <n v="4721"/>
    <n v="420"/>
    <x v="0"/>
    <n v="16"/>
    <n v="1586.92"/>
    <n v="187.47"/>
    <n v="1774.39"/>
    <s v="On-time"/>
    <n v="0"/>
    <n v="80.849999999999994"/>
    <n v="295"/>
    <n v="331"/>
    <n v="0.37585045541198903"/>
  </r>
  <r>
    <x v="945"/>
    <s v="C6860"/>
    <x v="748"/>
    <d v="2024-02-14T00:00:00"/>
    <x v="2"/>
    <x v="2"/>
    <x v="6"/>
    <x v="7"/>
    <x v="35"/>
    <x v="0"/>
    <s v="Binders"/>
    <x v="35"/>
    <n v="497.46"/>
    <n v="55"/>
    <n v="27360.3"/>
    <s v="S695"/>
    <x v="0"/>
    <s v="W21"/>
    <x v="1"/>
    <s v="DHL"/>
    <s v="Cape Town-New York"/>
    <n v="2139"/>
    <n v="401"/>
    <x v="0"/>
    <n v="8"/>
    <n v="1017.78"/>
    <n v="372.65"/>
    <n v="1390.43"/>
    <s v="On-time"/>
    <n v="0"/>
    <n v="72.03"/>
    <n v="435"/>
    <n v="471"/>
    <n v="0.65003740065451143"/>
  </r>
  <r>
    <x v="946"/>
    <s v="C7917"/>
    <x v="749"/>
    <d v="2022-07-10T00:00:00"/>
    <x v="1"/>
    <x v="2"/>
    <x v="1"/>
    <x v="6"/>
    <x v="741"/>
    <x v="0"/>
    <s v="Paper"/>
    <x v="729"/>
    <n v="43.93"/>
    <n v="95"/>
    <n v="4173.3500000000004"/>
    <s v="S593"/>
    <x v="3"/>
    <s v="W2"/>
    <x v="3"/>
    <s v="DHL"/>
    <s v="London-New York"/>
    <n v="3912"/>
    <n v="360"/>
    <x v="0"/>
    <n v="21"/>
    <n v="758.72"/>
    <n v="55.05"/>
    <n v="813.77"/>
    <s v="On-time"/>
    <n v="0"/>
    <n v="95.2"/>
    <n v="457"/>
    <n v="424"/>
    <n v="0.20801891615541923"/>
  </r>
  <r>
    <x v="947"/>
    <s v="C7602"/>
    <x v="392"/>
    <d v="2023-11-28T00:00:00"/>
    <x v="2"/>
    <x v="3"/>
    <x v="4"/>
    <x v="0"/>
    <x v="742"/>
    <x v="0"/>
    <s v="Paper"/>
    <x v="730"/>
    <n v="168.55"/>
    <n v="67"/>
    <n v="11292.85"/>
    <s v="S500"/>
    <x v="3"/>
    <s v="W2"/>
    <x v="2"/>
    <s v="DHL"/>
    <s v="London-São Paulo"/>
    <n v="2884"/>
    <n v="253"/>
    <x v="0"/>
    <n v="6"/>
    <n v="465.77"/>
    <n v="326.10000000000002"/>
    <n v="791.87"/>
    <s v="On-time"/>
    <n v="0"/>
    <n v="92.3"/>
    <n v="233"/>
    <n v="222"/>
    <n v="0.27457350901525657"/>
  </r>
  <r>
    <x v="948"/>
    <s v="C9865"/>
    <x v="750"/>
    <d v="2023-02-04T00:00:00"/>
    <x v="2"/>
    <x v="0"/>
    <x v="4"/>
    <x v="3"/>
    <x v="743"/>
    <x v="0"/>
    <s v="Paper"/>
    <x v="731"/>
    <n v="416.11"/>
    <n v="32"/>
    <n v="13315.52"/>
    <s v="S904"/>
    <x v="2"/>
    <s v="W9"/>
    <x v="2"/>
    <s v="BlueDart"/>
    <s v="Toronto-Cape Town"/>
    <n v="3565"/>
    <n v="115"/>
    <x v="0"/>
    <n v="29"/>
    <n v="688.84"/>
    <n v="450.86"/>
    <n v="1139.7"/>
    <s v="On-time"/>
    <n v="0"/>
    <n v="93"/>
    <n v="58"/>
    <n v="93"/>
    <n v="0.31969144460028054"/>
  </r>
  <r>
    <x v="949"/>
    <s v="C5849"/>
    <x v="320"/>
    <d v="2022-12-16T00:00:00"/>
    <x v="1"/>
    <x v="0"/>
    <x v="5"/>
    <x v="7"/>
    <x v="744"/>
    <x v="0"/>
    <s v="Paper"/>
    <x v="732"/>
    <n v="247.82"/>
    <n v="51"/>
    <n v="12638.82"/>
    <s v="S839"/>
    <x v="2"/>
    <s v="W47"/>
    <x v="3"/>
    <s v="DHL"/>
    <s v="Berlin-Toronto"/>
    <n v="2814"/>
    <n v="132"/>
    <x v="0"/>
    <n v="21"/>
    <n v="411.77"/>
    <n v="237.88"/>
    <n v="649.65"/>
    <s v="On-time"/>
    <n v="0"/>
    <n v="97.46"/>
    <n v="391"/>
    <n v="360"/>
    <n v="0.23086353944562898"/>
  </r>
  <r>
    <x v="950"/>
    <s v="C4808"/>
    <x v="395"/>
    <d v="2020-10-11T00:00:00"/>
    <x v="0"/>
    <x v="3"/>
    <x v="1"/>
    <x v="2"/>
    <x v="745"/>
    <x v="0"/>
    <s v="Paper"/>
    <x v="733"/>
    <n v="411.55"/>
    <n v="29"/>
    <n v="11934.95"/>
    <s v="S941"/>
    <x v="3"/>
    <s v="W48"/>
    <x v="3"/>
    <s v="Maersk"/>
    <s v="London-Beijing"/>
    <n v="3264"/>
    <n v="378"/>
    <x v="0"/>
    <n v="3"/>
    <n v="1306.67"/>
    <n v="370.17"/>
    <n v="1676.84"/>
    <s v="On-time"/>
    <n v="0"/>
    <n v="92.4"/>
    <n v="235"/>
    <n v="223"/>
    <n v="0.51373774509803916"/>
  </r>
  <r>
    <x v="951"/>
    <s v="C2022"/>
    <x v="650"/>
    <d v="2023-11-28T00:00:00"/>
    <x v="2"/>
    <x v="1"/>
    <x v="5"/>
    <x v="1"/>
    <x v="746"/>
    <x v="0"/>
    <s v="Paper"/>
    <x v="734"/>
    <n v="192.76"/>
    <n v="34"/>
    <n v="6553.84"/>
    <s v="S982"/>
    <x v="0"/>
    <s v="W13"/>
    <x v="2"/>
    <s v="FedEx"/>
    <s v="Toronto-Toronto"/>
    <n v="1298"/>
    <n v="155"/>
    <x v="0"/>
    <n v="19"/>
    <n v="571.04999999999995"/>
    <n v="323.77"/>
    <n v="894.81999999999994"/>
    <s v="On-time"/>
    <n v="0"/>
    <n v="77.86"/>
    <n v="217"/>
    <n v="253"/>
    <n v="0.68938366718027733"/>
  </r>
  <r>
    <x v="952"/>
    <s v="C8568"/>
    <x v="751"/>
    <d v="2020-09-17T00:00:00"/>
    <x v="1"/>
    <x v="2"/>
    <x v="3"/>
    <x v="3"/>
    <x v="747"/>
    <x v="0"/>
    <s v="Supplies"/>
    <x v="735"/>
    <n v="364.74"/>
    <n v="93"/>
    <n v="33920.82"/>
    <s v="S438"/>
    <x v="4"/>
    <s v="W39"/>
    <x v="3"/>
    <s v="FedEx"/>
    <s v="Toronto-São Paulo"/>
    <n v="232"/>
    <n v="61"/>
    <x v="0"/>
    <n v="21"/>
    <n v="396.62"/>
    <n v="16.88"/>
    <n v="413.5"/>
    <s v="Delayed"/>
    <n v="13"/>
    <n v="71.67"/>
    <n v="255"/>
    <n v="237"/>
    <n v="1.7823275862068966"/>
  </r>
  <r>
    <x v="953"/>
    <s v="C8101"/>
    <x v="752"/>
    <d v="2023-04-07T00:00:00"/>
    <x v="0"/>
    <x v="4"/>
    <x v="6"/>
    <x v="2"/>
    <x v="748"/>
    <x v="2"/>
    <s v="Phones"/>
    <x v="736"/>
    <n v="102.28"/>
    <n v="70"/>
    <n v="7159.6"/>
    <s v="S417"/>
    <x v="3"/>
    <s v="W4"/>
    <x v="2"/>
    <s v="DHL"/>
    <s v="Toronto-Cape Town"/>
    <n v="2331"/>
    <n v="455"/>
    <x v="0"/>
    <n v="29"/>
    <n v="115.24"/>
    <n v="348.77"/>
    <n v="464.01"/>
    <s v="On-time"/>
    <n v="0"/>
    <n v="77.5"/>
    <n v="76"/>
    <n v="49"/>
    <n v="0.19906048906048907"/>
  </r>
  <r>
    <x v="954"/>
    <s v="C8649"/>
    <x v="30"/>
    <d v="2024-04-19T00:00:00"/>
    <x v="0"/>
    <x v="4"/>
    <x v="0"/>
    <x v="0"/>
    <x v="749"/>
    <x v="1"/>
    <s v="Furnishings"/>
    <x v="737"/>
    <n v="122.9"/>
    <n v="49"/>
    <n v="6022.1"/>
    <s v="S427"/>
    <x v="2"/>
    <s v="W31"/>
    <x v="1"/>
    <s v="Maersk"/>
    <s v="London-Berlin"/>
    <n v="4826"/>
    <n v="445"/>
    <x v="0"/>
    <n v="2"/>
    <n v="1506.22"/>
    <n v="415.71"/>
    <n v="1921.93"/>
    <s v="On-time"/>
    <n v="0"/>
    <n v="93.71"/>
    <n v="385"/>
    <n v="359"/>
    <n v="0.39824492333195194"/>
  </r>
  <r>
    <x v="955"/>
    <s v="C2747"/>
    <x v="753"/>
    <d v="2023-06-02T00:00:00"/>
    <x v="2"/>
    <x v="0"/>
    <x v="0"/>
    <x v="1"/>
    <x v="535"/>
    <x v="0"/>
    <s v="Binders"/>
    <x v="524"/>
    <n v="280.18"/>
    <n v="73"/>
    <n v="20453.14"/>
    <s v="S478"/>
    <x v="2"/>
    <s v="W43"/>
    <x v="1"/>
    <s v="Maersk"/>
    <s v="London-London"/>
    <n v="1084"/>
    <n v="341"/>
    <x v="0"/>
    <n v="3"/>
    <n v="361.63"/>
    <n v="96.46"/>
    <n v="458.09"/>
    <s v="On-time"/>
    <n v="0"/>
    <n v="73.05"/>
    <n v="85"/>
    <n v="99"/>
    <n v="0.42259225092250918"/>
  </r>
  <r>
    <x v="956"/>
    <s v="C9783"/>
    <x v="754"/>
    <d v="2022-01-06T00:00:00"/>
    <x v="2"/>
    <x v="2"/>
    <x v="4"/>
    <x v="3"/>
    <x v="750"/>
    <x v="0"/>
    <s v="Binders"/>
    <x v="738"/>
    <n v="298.05"/>
    <n v="86"/>
    <n v="25632.3"/>
    <s v="S751"/>
    <x v="4"/>
    <s v="W25"/>
    <x v="2"/>
    <s v="BlueDart"/>
    <s v="Mumbai-New York"/>
    <n v="1027"/>
    <n v="335"/>
    <x v="0"/>
    <n v="14"/>
    <n v="1569.81"/>
    <n v="176.54"/>
    <n v="1746.35"/>
    <s v="On-time"/>
    <n v="0"/>
    <n v="85.02"/>
    <n v="69"/>
    <n v="80"/>
    <n v="1.7004381694255111"/>
  </r>
  <r>
    <x v="957"/>
    <s v="C7492"/>
    <x v="755"/>
    <d v="2021-10-01T00:00:00"/>
    <x v="2"/>
    <x v="2"/>
    <x v="6"/>
    <x v="3"/>
    <x v="747"/>
    <x v="0"/>
    <s v="Supplies"/>
    <x v="735"/>
    <n v="269.68"/>
    <n v="11"/>
    <n v="2966.48"/>
    <s v="S767"/>
    <x v="4"/>
    <s v="W1"/>
    <x v="1"/>
    <s v="Maersk"/>
    <s v="Berlin-New York"/>
    <n v="1498"/>
    <n v="499"/>
    <x v="0"/>
    <n v="14"/>
    <n v="618.92999999999995"/>
    <n v="453.35"/>
    <n v="1072.28"/>
    <s v="On-time"/>
    <n v="0"/>
    <n v="83.21"/>
    <n v="212"/>
    <n v="186"/>
    <n v="0.71580774365821098"/>
  </r>
  <r>
    <x v="958"/>
    <s v="C6397"/>
    <x v="50"/>
    <d v="2022-08-10T00:00:00"/>
    <x v="1"/>
    <x v="1"/>
    <x v="2"/>
    <x v="4"/>
    <x v="751"/>
    <x v="1"/>
    <s v="Furnishings"/>
    <x v="739"/>
    <n v="224.88"/>
    <n v="59"/>
    <n v="13267.92"/>
    <s v="S316"/>
    <x v="1"/>
    <s v="W44"/>
    <x v="1"/>
    <s v="Maersk"/>
    <s v="Berlin-Toronto"/>
    <n v="2977"/>
    <n v="68"/>
    <x v="0"/>
    <n v="2"/>
    <n v="608.41"/>
    <n v="253.24"/>
    <n v="861.65"/>
    <s v="On-time"/>
    <n v="0"/>
    <n v="79.45"/>
    <n v="266"/>
    <n v="290"/>
    <n v="0.28943567349680888"/>
  </r>
  <r>
    <x v="959"/>
    <s v="C9052"/>
    <x v="299"/>
    <d v="2021-03-09T00:00:00"/>
    <x v="2"/>
    <x v="4"/>
    <x v="3"/>
    <x v="7"/>
    <x v="621"/>
    <x v="0"/>
    <s v="Binders"/>
    <x v="608"/>
    <n v="408.95"/>
    <n v="11"/>
    <n v="4498.45"/>
    <s v="S840"/>
    <x v="4"/>
    <s v="W45"/>
    <x v="2"/>
    <s v="FedEx"/>
    <s v="Beijing-London"/>
    <n v="429"/>
    <n v="445"/>
    <x v="1"/>
    <n v="1"/>
    <n v="1888.19"/>
    <n v="383.28"/>
    <n v="2271.4699999999998"/>
    <s v="On-time"/>
    <n v="0"/>
    <n v="74.989999999999995"/>
    <n v="122"/>
    <n v="113"/>
    <n v="5.2948018648018644"/>
  </r>
  <r>
    <x v="960"/>
    <s v="C9446"/>
    <x v="538"/>
    <d v="2021-10-12T00:00:00"/>
    <x v="1"/>
    <x v="2"/>
    <x v="2"/>
    <x v="0"/>
    <x v="612"/>
    <x v="0"/>
    <s v="Binders"/>
    <x v="599"/>
    <n v="374.12"/>
    <n v="60"/>
    <n v="22447.200000000001"/>
    <s v="S621"/>
    <x v="0"/>
    <s v="W27"/>
    <x v="0"/>
    <s v="FedEx"/>
    <s v="Berlin-Berlin"/>
    <n v="4303"/>
    <n v="116"/>
    <x v="0"/>
    <n v="3"/>
    <n v="500.63"/>
    <n v="342.67"/>
    <n v="843.3"/>
    <s v="On-time"/>
    <n v="0"/>
    <n v="99.2"/>
    <n v="271"/>
    <n v="316"/>
    <n v="0.19597954915175458"/>
  </r>
  <r>
    <x v="961"/>
    <s v="C3745"/>
    <x v="756"/>
    <d v="2024-03-14T00:00:00"/>
    <x v="2"/>
    <x v="4"/>
    <x v="3"/>
    <x v="4"/>
    <x v="752"/>
    <x v="0"/>
    <s v="Binders"/>
    <x v="740"/>
    <n v="486.45"/>
    <n v="45"/>
    <n v="21890.25"/>
    <s v="S158"/>
    <x v="1"/>
    <s v="W32"/>
    <x v="2"/>
    <s v="UPS"/>
    <s v="Cape Town-Beijing"/>
    <n v="3028"/>
    <n v="66"/>
    <x v="0"/>
    <n v="8"/>
    <n v="619.6"/>
    <n v="378.57"/>
    <n v="998.17000000000007"/>
    <s v="On-time"/>
    <n v="0"/>
    <n v="93.07"/>
    <n v="274"/>
    <n v="313"/>
    <n v="0.32964663143989437"/>
  </r>
  <r>
    <x v="962"/>
    <s v="C1722"/>
    <x v="757"/>
    <d v="2022-01-14T00:00:00"/>
    <x v="2"/>
    <x v="1"/>
    <x v="1"/>
    <x v="7"/>
    <x v="753"/>
    <x v="0"/>
    <s v="Binders"/>
    <x v="741"/>
    <n v="315.58"/>
    <n v="16"/>
    <n v="5049.28"/>
    <s v="S220"/>
    <x v="2"/>
    <s v="W18"/>
    <x v="2"/>
    <s v="BlueDart"/>
    <s v="Mumbai-Mumbai"/>
    <n v="3568"/>
    <n v="391"/>
    <x v="0"/>
    <n v="29"/>
    <n v="1081.3399999999999"/>
    <n v="288.02999999999997"/>
    <n v="1369.37"/>
    <s v="On-time"/>
    <n v="0"/>
    <n v="98.73"/>
    <n v="362"/>
    <n v="369"/>
    <n v="0.38379204035874437"/>
  </r>
  <r>
    <x v="963"/>
    <s v="C7538"/>
    <x v="758"/>
    <d v="2022-03-01T00:00:00"/>
    <x v="1"/>
    <x v="2"/>
    <x v="7"/>
    <x v="3"/>
    <x v="754"/>
    <x v="0"/>
    <s v="Binders"/>
    <x v="742"/>
    <n v="424.23"/>
    <n v="17"/>
    <n v="7211.91"/>
    <s v="S166"/>
    <x v="2"/>
    <s v="W5"/>
    <x v="3"/>
    <s v="Maersk"/>
    <s v="Cape Town-Beijing"/>
    <n v="3716"/>
    <n v="435"/>
    <x v="0"/>
    <n v="8"/>
    <n v="1809.97"/>
    <n v="388.51"/>
    <n v="2198.48"/>
    <s v="On-time"/>
    <n v="0"/>
    <n v="88.2"/>
    <n v="244"/>
    <n v="252"/>
    <n v="0.59162540365984928"/>
  </r>
  <r>
    <x v="964"/>
    <s v="C7991"/>
    <x v="759"/>
    <d v="2021-07-21T00:00:00"/>
    <x v="2"/>
    <x v="2"/>
    <x v="5"/>
    <x v="4"/>
    <x v="41"/>
    <x v="0"/>
    <s v="Envelopes"/>
    <x v="41"/>
    <n v="453.46"/>
    <n v="95"/>
    <n v="43078.7"/>
    <s v="S840"/>
    <x v="0"/>
    <s v="W27"/>
    <x v="1"/>
    <s v="BlueDart"/>
    <s v="Mumbai-Toronto"/>
    <n v="1391"/>
    <n v="319"/>
    <x v="0"/>
    <n v="22"/>
    <n v="991.92"/>
    <n v="489.05"/>
    <n v="1480.97"/>
    <s v="On-time"/>
    <n v="0"/>
    <n v="76.77"/>
    <n v="237"/>
    <n v="260"/>
    <n v="1.0646800862688712"/>
  </r>
  <r>
    <x v="965"/>
    <s v="C4358"/>
    <x v="760"/>
    <d v="2023-10-16T00:00:00"/>
    <x v="2"/>
    <x v="3"/>
    <x v="6"/>
    <x v="7"/>
    <x v="755"/>
    <x v="0"/>
    <s v="Envelopes"/>
    <x v="743"/>
    <n v="323.27"/>
    <n v="40"/>
    <n v="12930.8"/>
    <s v="S381"/>
    <x v="0"/>
    <s v="W2"/>
    <x v="3"/>
    <s v="BlueDart"/>
    <s v="Mumbai-London"/>
    <n v="39"/>
    <n v="96"/>
    <x v="1"/>
    <n v="6"/>
    <n v="1411.31"/>
    <n v="196.01"/>
    <n v="1607.32"/>
    <s v="On-time"/>
    <n v="0"/>
    <n v="94.09"/>
    <n v="359"/>
    <n v="367"/>
    <n v="41.213333333333331"/>
  </r>
  <r>
    <x v="966"/>
    <s v="C2821"/>
    <x v="761"/>
    <d v="2022-04-30T00:00:00"/>
    <x v="2"/>
    <x v="1"/>
    <x v="4"/>
    <x v="4"/>
    <x v="664"/>
    <x v="0"/>
    <s v="Fasteners"/>
    <x v="650"/>
    <n v="458.37"/>
    <n v="92"/>
    <n v="42170.04"/>
    <s v="S214"/>
    <x v="2"/>
    <s v="W47"/>
    <x v="3"/>
    <s v="DHL"/>
    <s v="New York-São Paulo"/>
    <n v="4666"/>
    <n v="139"/>
    <x v="0"/>
    <n v="18"/>
    <n v="614.35"/>
    <n v="150.32"/>
    <n v="764.67000000000007"/>
    <s v="On-time"/>
    <n v="0"/>
    <n v="93.31"/>
    <n v="434"/>
    <n v="476"/>
    <n v="0.16388126875267897"/>
  </r>
  <r>
    <x v="967"/>
    <s v="C9466"/>
    <x v="415"/>
    <d v="2023-11-09T00:00:00"/>
    <x v="1"/>
    <x v="2"/>
    <x v="7"/>
    <x v="5"/>
    <x v="756"/>
    <x v="0"/>
    <s v="Paper"/>
    <x v="744"/>
    <n v="26.12"/>
    <n v="18"/>
    <n v="470.16"/>
    <s v="S716"/>
    <x v="1"/>
    <s v="W41"/>
    <x v="1"/>
    <s v="Maersk"/>
    <s v="São Paulo-London"/>
    <n v="3538"/>
    <n v="286"/>
    <x v="0"/>
    <n v="26"/>
    <n v="1578.39"/>
    <n v="224.91"/>
    <n v="1803.3"/>
    <s v="On-time"/>
    <n v="0"/>
    <n v="77.09"/>
    <n v="143"/>
    <n v="184"/>
    <n v="0.50969474279253812"/>
  </r>
  <r>
    <x v="968"/>
    <s v="C6447"/>
    <x v="762"/>
    <d v="2024-05-20T00:00:00"/>
    <x v="1"/>
    <x v="3"/>
    <x v="6"/>
    <x v="2"/>
    <x v="757"/>
    <x v="0"/>
    <s v="Paper"/>
    <x v="745"/>
    <n v="440.62"/>
    <n v="80"/>
    <n v="35249.599999999999"/>
    <s v="S462"/>
    <x v="3"/>
    <s v="W36"/>
    <x v="0"/>
    <s v="Maersk"/>
    <s v="Berlin-Cape Town"/>
    <n v="2424"/>
    <n v="447"/>
    <x v="0"/>
    <n v="13"/>
    <n v="557.80999999999995"/>
    <n v="270.37"/>
    <n v="828.18"/>
    <s v="On-time"/>
    <n v="0"/>
    <n v="95.36"/>
    <n v="336"/>
    <n v="355"/>
    <n v="0.34165841584158413"/>
  </r>
  <r>
    <x v="969"/>
    <s v="C1815"/>
    <x v="368"/>
    <d v="2020-11-18T00:00:00"/>
    <x v="2"/>
    <x v="2"/>
    <x v="6"/>
    <x v="0"/>
    <x v="758"/>
    <x v="0"/>
    <s v="Storage"/>
    <x v="746"/>
    <n v="327.51"/>
    <n v="28"/>
    <n v="9170.2799999999988"/>
    <s v="S221"/>
    <x v="4"/>
    <s v="W8"/>
    <x v="2"/>
    <s v="Maersk"/>
    <s v="Cape Town-London"/>
    <n v="1838"/>
    <n v="168"/>
    <x v="0"/>
    <n v="23"/>
    <n v="1441.82"/>
    <n v="497.29"/>
    <n v="1939.11"/>
    <s v="On-time"/>
    <n v="0"/>
    <n v="73.22"/>
    <n v="157"/>
    <n v="121"/>
    <n v="1.0550108813928183"/>
  </r>
  <r>
    <x v="970"/>
    <s v="C7942"/>
    <x v="473"/>
    <d v="2022-04-24T00:00:00"/>
    <x v="2"/>
    <x v="1"/>
    <x v="7"/>
    <x v="7"/>
    <x v="759"/>
    <x v="2"/>
    <s v="Accessories"/>
    <x v="747"/>
    <n v="229.11"/>
    <n v="71"/>
    <n v="16266.810000000001"/>
    <s v="S167"/>
    <x v="1"/>
    <s v="W35"/>
    <x v="1"/>
    <s v="Maersk"/>
    <s v="Mumbai-Mumbai"/>
    <n v="1724"/>
    <n v="127"/>
    <x v="0"/>
    <n v="12"/>
    <n v="475.86"/>
    <n v="394.94"/>
    <n v="870.8"/>
    <s v="On-time"/>
    <n v="0"/>
    <n v="92.79"/>
    <n v="470"/>
    <n v="470"/>
    <n v="0.50510440835266823"/>
  </r>
  <r>
    <x v="971"/>
    <s v="C9025"/>
    <x v="763"/>
    <d v="2025-01-09T00:00:00"/>
    <x v="2"/>
    <x v="1"/>
    <x v="2"/>
    <x v="3"/>
    <x v="592"/>
    <x v="2"/>
    <s v="Phones"/>
    <x v="579"/>
    <n v="11.67"/>
    <n v="28"/>
    <n v="326.76"/>
    <s v="S712"/>
    <x v="1"/>
    <s v="W48"/>
    <x v="1"/>
    <s v="FedEx"/>
    <s v="New York-Mumbai"/>
    <n v="2044"/>
    <n v="263"/>
    <x v="0"/>
    <n v="5"/>
    <n v="1458.73"/>
    <n v="80.63"/>
    <n v="1539.36"/>
    <s v="On-time"/>
    <n v="0"/>
    <n v="98.89"/>
    <n v="299"/>
    <n v="338"/>
    <n v="0.75311154598825825"/>
  </r>
  <r>
    <x v="972"/>
    <s v="C2787"/>
    <x v="635"/>
    <d v="2020-02-13T00:00:00"/>
    <x v="2"/>
    <x v="4"/>
    <x v="3"/>
    <x v="0"/>
    <x v="551"/>
    <x v="1"/>
    <s v="Furnishings"/>
    <x v="540"/>
    <n v="230.77"/>
    <n v="45"/>
    <n v="10384.65"/>
    <s v="S470"/>
    <x v="3"/>
    <s v="W9"/>
    <x v="0"/>
    <s v="Maersk"/>
    <s v="Cape Town-Mumbai"/>
    <n v="347"/>
    <n v="340"/>
    <x v="0"/>
    <n v="20"/>
    <n v="1143.96"/>
    <n v="214.44"/>
    <n v="1358.4"/>
    <s v="On-time"/>
    <n v="0"/>
    <n v="82.32"/>
    <n v="351"/>
    <n v="352"/>
    <n v="3.9146974063400579"/>
  </r>
  <r>
    <x v="973"/>
    <s v="C8062"/>
    <x v="452"/>
    <d v="2023-04-10T00:00:00"/>
    <x v="1"/>
    <x v="3"/>
    <x v="3"/>
    <x v="3"/>
    <x v="760"/>
    <x v="0"/>
    <s v="Art"/>
    <x v="748"/>
    <n v="312.83999999999997"/>
    <n v="40"/>
    <n v="12513.599999999999"/>
    <s v="S609"/>
    <x v="4"/>
    <s v="W18"/>
    <x v="0"/>
    <s v="DHL"/>
    <s v="Berlin-New York"/>
    <n v="3307"/>
    <n v="55"/>
    <x v="0"/>
    <n v="10"/>
    <n v="666"/>
    <n v="331.79"/>
    <n v="997.79"/>
    <s v="Delayed"/>
    <n v="7"/>
    <n v="74.849999999999994"/>
    <n v="457"/>
    <n v="482"/>
    <n v="0.30172059268218926"/>
  </r>
  <r>
    <x v="974"/>
    <s v="C2799"/>
    <x v="315"/>
    <d v="2022-07-11T00:00:00"/>
    <x v="2"/>
    <x v="2"/>
    <x v="7"/>
    <x v="5"/>
    <x v="761"/>
    <x v="0"/>
    <s v="Paper"/>
    <x v="749"/>
    <n v="471.47"/>
    <n v="86"/>
    <n v="40546.420000000006"/>
    <s v="S156"/>
    <x v="3"/>
    <s v="W33"/>
    <x v="2"/>
    <s v="UPS"/>
    <s v="Mumbai-New York"/>
    <n v="320"/>
    <n v="270"/>
    <x v="0"/>
    <n v="6"/>
    <n v="673.62"/>
    <n v="14.76"/>
    <n v="688.38"/>
    <s v="On-time"/>
    <n v="0"/>
    <n v="91.75"/>
    <n v="387"/>
    <n v="340"/>
    <n v="2.1511874999999998"/>
  </r>
  <r>
    <x v="975"/>
    <s v="C7135"/>
    <x v="764"/>
    <d v="2020-05-30T00:00:00"/>
    <x v="1"/>
    <x v="3"/>
    <x v="2"/>
    <x v="0"/>
    <x v="762"/>
    <x v="0"/>
    <s v="Paper"/>
    <x v="750"/>
    <n v="284.10000000000002"/>
    <n v="24"/>
    <n v="6818.4000000000005"/>
    <s v="S272"/>
    <x v="0"/>
    <s v="W9"/>
    <x v="3"/>
    <s v="DHL"/>
    <s v="Cape Town-London"/>
    <n v="4478"/>
    <n v="103"/>
    <x v="0"/>
    <n v="20"/>
    <n v="1798.88"/>
    <n v="56.79"/>
    <n v="1855.67"/>
    <s v="On-time"/>
    <n v="0"/>
    <n v="73.41"/>
    <n v="421"/>
    <n v="386"/>
    <n v="0.41439705225547119"/>
  </r>
  <r>
    <x v="976"/>
    <s v="C8094"/>
    <x v="765"/>
    <d v="2021-05-31T00:00:00"/>
    <x v="2"/>
    <x v="4"/>
    <x v="5"/>
    <x v="7"/>
    <x v="235"/>
    <x v="2"/>
    <s v="Accessories"/>
    <x v="233"/>
    <n v="6.71"/>
    <n v="97"/>
    <n v="650.87"/>
    <s v="S884"/>
    <x v="1"/>
    <s v="W37"/>
    <x v="2"/>
    <s v="DHL"/>
    <s v="Toronto-Beijing"/>
    <n v="1903"/>
    <n v="415"/>
    <x v="0"/>
    <n v="15"/>
    <n v="350.1"/>
    <n v="53.31"/>
    <n v="403.41"/>
    <s v="On-time"/>
    <n v="0"/>
    <n v="83.77"/>
    <n v="223"/>
    <n v="182"/>
    <n v="0.21198633736205991"/>
  </r>
  <r>
    <x v="977"/>
    <s v="C5076"/>
    <x v="335"/>
    <d v="2023-10-10T00:00:00"/>
    <x v="2"/>
    <x v="3"/>
    <x v="7"/>
    <x v="7"/>
    <x v="410"/>
    <x v="2"/>
    <s v="Accessories"/>
    <x v="404"/>
    <n v="186.95"/>
    <n v="70"/>
    <n v="13086.5"/>
    <s v="S856"/>
    <x v="1"/>
    <s v="W21"/>
    <x v="2"/>
    <s v="BlueDart"/>
    <s v="São Paulo-São Paulo"/>
    <n v="3244"/>
    <n v="308"/>
    <x v="0"/>
    <n v="18"/>
    <n v="1536.57"/>
    <n v="369.75"/>
    <n v="1906.32"/>
    <s v="On-time"/>
    <n v="0"/>
    <n v="70.959999999999994"/>
    <n v="119"/>
    <n v="74"/>
    <n v="0.58764488286066585"/>
  </r>
  <r>
    <x v="978"/>
    <s v="C2702"/>
    <x v="766"/>
    <d v="2022-08-12T00:00:00"/>
    <x v="1"/>
    <x v="3"/>
    <x v="7"/>
    <x v="4"/>
    <x v="763"/>
    <x v="1"/>
    <s v="Furnishings"/>
    <x v="751"/>
    <n v="283.79000000000002"/>
    <n v="26"/>
    <n v="7378.5400000000009"/>
    <s v="S706"/>
    <x v="1"/>
    <s v="W9"/>
    <x v="0"/>
    <s v="BlueDart"/>
    <s v="Mumbai-New York"/>
    <n v="38"/>
    <n v="312"/>
    <x v="1"/>
    <n v="16"/>
    <n v="691.22"/>
    <n v="126.48"/>
    <n v="817.7"/>
    <s v="On-time"/>
    <n v="0"/>
    <n v="92.3"/>
    <n v="278"/>
    <n v="313"/>
    <n v="21.518421052631581"/>
  </r>
  <r>
    <x v="979"/>
    <s v="C5645"/>
    <x v="767"/>
    <d v="2023-09-15T00:00:00"/>
    <x v="2"/>
    <x v="0"/>
    <x v="1"/>
    <x v="1"/>
    <x v="764"/>
    <x v="1"/>
    <s v="Tables"/>
    <x v="752"/>
    <n v="43.46"/>
    <n v="34"/>
    <n v="1477.64"/>
    <s v="S473"/>
    <x v="4"/>
    <s v="W38"/>
    <x v="0"/>
    <s v="DHL"/>
    <s v="Berlin-London"/>
    <n v="2810"/>
    <n v="129"/>
    <x v="0"/>
    <n v="12"/>
    <n v="1123.33"/>
    <n v="466.03"/>
    <n v="1589.36"/>
    <s v="On-time"/>
    <n v="0"/>
    <n v="92.98"/>
    <n v="137"/>
    <n v="142"/>
    <n v="0.56560854092526691"/>
  </r>
  <r>
    <x v="980"/>
    <s v="C6374"/>
    <x v="768"/>
    <d v="2020-02-26T00:00:00"/>
    <x v="2"/>
    <x v="4"/>
    <x v="4"/>
    <x v="1"/>
    <x v="533"/>
    <x v="0"/>
    <s v="Art"/>
    <x v="522"/>
    <n v="460.2"/>
    <n v="91"/>
    <n v="41878.199999999997"/>
    <s v="S562"/>
    <x v="0"/>
    <s v="W6"/>
    <x v="1"/>
    <s v="FedEx"/>
    <s v="São Paulo-Beijing"/>
    <n v="1698"/>
    <n v="263"/>
    <x v="0"/>
    <n v="18"/>
    <n v="974.3"/>
    <n v="264.85000000000002"/>
    <n v="1239.1500000000001"/>
    <s v="On-time"/>
    <n v="0"/>
    <n v="81.31"/>
    <n v="429"/>
    <n v="472"/>
    <n v="0.72977031802120151"/>
  </r>
  <r>
    <x v="981"/>
    <s v="C3217"/>
    <x v="1"/>
    <d v="2023-08-20T00:00:00"/>
    <x v="2"/>
    <x v="3"/>
    <x v="1"/>
    <x v="1"/>
    <x v="765"/>
    <x v="0"/>
    <s v="Binders"/>
    <x v="753"/>
    <n v="462.28"/>
    <n v="4"/>
    <n v="1849.12"/>
    <s v="S691"/>
    <x v="4"/>
    <s v="W48"/>
    <x v="0"/>
    <s v="Maersk"/>
    <s v="New York-Cape Town"/>
    <n v="729"/>
    <n v="428"/>
    <x v="0"/>
    <n v="11"/>
    <n v="1965.03"/>
    <n v="45.74"/>
    <n v="2010.77"/>
    <s v="On-time"/>
    <n v="0"/>
    <n v="84.66"/>
    <n v="319"/>
    <n v="314"/>
    <n v="2.7582578875171468"/>
  </r>
  <r>
    <x v="982"/>
    <s v="C8091"/>
    <x v="769"/>
    <d v="2020-09-24T00:00:00"/>
    <x v="0"/>
    <x v="3"/>
    <x v="0"/>
    <x v="2"/>
    <x v="265"/>
    <x v="0"/>
    <s v="Paper"/>
    <x v="263"/>
    <n v="491.16"/>
    <n v="67"/>
    <n v="32907.72"/>
    <s v="S150"/>
    <x v="1"/>
    <s v="W3"/>
    <x v="2"/>
    <s v="FedEx"/>
    <s v="Toronto-Mumbai"/>
    <n v="1105"/>
    <n v="106"/>
    <x v="0"/>
    <n v="4"/>
    <n v="903.24"/>
    <n v="412.66"/>
    <n v="1315.9"/>
    <s v="On-time"/>
    <n v="0"/>
    <n v="85.12"/>
    <n v="96"/>
    <n v="141"/>
    <n v="1.1908597285067875"/>
  </r>
  <r>
    <x v="983"/>
    <s v="C5206"/>
    <x v="5"/>
    <d v="2023-04-11T00:00:00"/>
    <x v="2"/>
    <x v="0"/>
    <x v="1"/>
    <x v="7"/>
    <x v="766"/>
    <x v="2"/>
    <s v="Phones"/>
    <x v="754"/>
    <n v="319.63"/>
    <n v="13"/>
    <n v="4155.1899999999996"/>
    <s v="S202"/>
    <x v="1"/>
    <s v="W21"/>
    <x v="1"/>
    <s v="DHL"/>
    <s v="London-Berlin"/>
    <n v="4994"/>
    <n v="128"/>
    <x v="0"/>
    <n v="13"/>
    <n v="289.17"/>
    <n v="276.14"/>
    <n v="565.30999999999995"/>
    <s v="On-time"/>
    <n v="0"/>
    <n v="92.89"/>
    <n v="168"/>
    <n v="126"/>
    <n v="0.11319783740488586"/>
  </r>
  <r>
    <x v="984"/>
    <s v="C9972"/>
    <x v="770"/>
    <d v="2024-12-15T00:00:00"/>
    <x v="2"/>
    <x v="3"/>
    <x v="0"/>
    <x v="3"/>
    <x v="767"/>
    <x v="2"/>
    <s v="Phones"/>
    <x v="755"/>
    <n v="427.29"/>
    <n v="2"/>
    <n v="854.58"/>
    <s v="S925"/>
    <x v="3"/>
    <s v="W34"/>
    <x v="0"/>
    <s v="Maersk"/>
    <s v="São Paulo-Berlin"/>
    <n v="2470"/>
    <n v="345"/>
    <x v="0"/>
    <n v="1"/>
    <n v="794.16"/>
    <n v="320.08999999999997"/>
    <n v="1114.25"/>
    <s v="On-time"/>
    <n v="0"/>
    <n v="72.27"/>
    <n v="275"/>
    <n v="317"/>
    <n v="0.45111336032388666"/>
  </r>
  <r>
    <x v="985"/>
    <s v="C9459"/>
    <x v="771"/>
    <d v="2020-12-05T00:00:00"/>
    <x v="2"/>
    <x v="4"/>
    <x v="3"/>
    <x v="4"/>
    <x v="768"/>
    <x v="1"/>
    <s v="Tables"/>
    <x v="756"/>
    <n v="52.18"/>
    <n v="54"/>
    <n v="2817.72"/>
    <s v="S920"/>
    <x v="2"/>
    <s v="W5"/>
    <x v="1"/>
    <s v="DHL"/>
    <s v="New York-Toronto"/>
    <n v="3674"/>
    <n v="299"/>
    <x v="0"/>
    <n v="22"/>
    <n v="912.5"/>
    <n v="428.29"/>
    <n v="1340.79"/>
    <s v="On-time"/>
    <n v="0"/>
    <n v="84.55"/>
    <n v="218"/>
    <n v="249"/>
    <n v="0.36494011976047902"/>
  </r>
  <r>
    <x v="986"/>
    <s v="C6842"/>
    <x v="772"/>
    <d v="2020-06-15T00:00:00"/>
    <x v="2"/>
    <x v="3"/>
    <x v="1"/>
    <x v="0"/>
    <x v="257"/>
    <x v="0"/>
    <s v="Binders"/>
    <x v="255"/>
    <n v="12.89"/>
    <n v="8"/>
    <n v="103.12"/>
    <s v="S240"/>
    <x v="3"/>
    <s v="W48"/>
    <x v="1"/>
    <s v="BlueDart"/>
    <s v="Mumbai-Beijing"/>
    <n v="4420"/>
    <n v="337"/>
    <x v="0"/>
    <n v="7"/>
    <n v="1442.34"/>
    <n v="68.849999999999994"/>
    <n v="1511.19"/>
    <s v="Delayed"/>
    <n v="9"/>
    <n v="78.930000000000007"/>
    <n v="487"/>
    <n v="495"/>
    <n v="0.34189819004524891"/>
  </r>
  <r>
    <x v="987"/>
    <s v="C7528"/>
    <x v="773"/>
    <d v="2023-11-26T00:00:00"/>
    <x v="2"/>
    <x v="3"/>
    <x v="4"/>
    <x v="5"/>
    <x v="769"/>
    <x v="0"/>
    <s v="Envelopes"/>
    <x v="757"/>
    <n v="267.32"/>
    <n v="13"/>
    <n v="3475.16"/>
    <s v="S897"/>
    <x v="2"/>
    <s v="W5"/>
    <x v="3"/>
    <s v="UPS"/>
    <s v="Cape Town-Beijing"/>
    <n v="2993"/>
    <n v="314"/>
    <x v="0"/>
    <n v="1"/>
    <n v="471.39"/>
    <n v="225.36"/>
    <n v="696.75"/>
    <s v="On-time"/>
    <n v="0"/>
    <n v="90.79"/>
    <n v="422"/>
    <n v="403"/>
    <n v="0.23279318409622451"/>
  </r>
  <r>
    <x v="988"/>
    <s v="C6104"/>
    <x v="295"/>
    <d v="2020-07-20T00:00:00"/>
    <x v="2"/>
    <x v="3"/>
    <x v="1"/>
    <x v="3"/>
    <x v="770"/>
    <x v="0"/>
    <s v="Paper"/>
    <x v="758"/>
    <n v="484.11"/>
    <n v="70"/>
    <n v="33887.700000000004"/>
    <s v="S248"/>
    <x v="4"/>
    <s v="W1"/>
    <x v="2"/>
    <s v="DHL"/>
    <s v="Berlin-Toronto"/>
    <n v="3675"/>
    <n v="157"/>
    <x v="0"/>
    <n v="5"/>
    <n v="1939.97"/>
    <n v="325.76"/>
    <n v="2265.73"/>
    <s v="On-time"/>
    <n v="0"/>
    <n v="81.680000000000007"/>
    <n v="275"/>
    <n v="293"/>
    <n v="0.61652517006802721"/>
  </r>
  <r>
    <x v="989"/>
    <s v="C6968"/>
    <x v="774"/>
    <d v="2023-09-20T00:00:00"/>
    <x v="1"/>
    <x v="4"/>
    <x v="7"/>
    <x v="4"/>
    <x v="771"/>
    <x v="0"/>
    <s v="Paper"/>
    <x v="759"/>
    <n v="112.98"/>
    <n v="40"/>
    <n v="4519.2"/>
    <s v="S683"/>
    <x v="2"/>
    <s v="W7"/>
    <x v="3"/>
    <s v="FedEx"/>
    <s v="Berlin-Toronto"/>
    <n v="2510"/>
    <n v="230"/>
    <x v="0"/>
    <n v="26"/>
    <n v="1159.1300000000001"/>
    <n v="424.29"/>
    <n v="1583.42"/>
    <s v="On-time"/>
    <n v="0"/>
    <n v="87.78"/>
    <n v="142"/>
    <n v="154"/>
    <n v="0.63084462151394427"/>
  </r>
  <r>
    <x v="990"/>
    <s v="C6189"/>
    <x v="775"/>
    <d v="2023-12-26T00:00:00"/>
    <x v="2"/>
    <x v="0"/>
    <x v="2"/>
    <x v="0"/>
    <x v="772"/>
    <x v="0"/>
    <s v="Binders"/>
    <x v="760"/>
    <n v="99.07"/>
    <n v="46"/>
    <n v="4557.2199999999993"/>
    <s v="S684"/>
    <x v="2"/>
    <s v="W1"/>
    <x v="0"/>
    <s v="Maersk"/>
    <s v="Beijing-Beijing"/>
    <n v="652"/>
    <n v="444"/>
    <x v="0"/>
    <n v="9"/>
    <n v="1166.02"/>
    <n v="277.63"/>
    <n v="1443.65"/>
    <s v="On-time"/>
    <n v="0"/>
    <n v="79.72"/>
    <n v="55"/>
    <n v="31"/>
    <n v="2.2141871165644171"/>
  </r>
  <r>
    <x v="991"/>
    <s v="C1236"/>
    <x v="322"/>
    <d v="2023-09-09T00:00:00"/>
    <x v="0"/>
    <x v="4"/>
    <x v="2"/>
    <x v="3"/>
    <x v="575"/>
    <x v="0"/>
    <s v="Storage"/>
    <x v="563"/>
    <n v="406.56"/>
    <n v="13"/>
    <n v="5285.28"/>
    <s v="S821"/>
    <x v="3"/>
    <s v="W25"/>
    <x v="2"/>
    <s v="DHL"/>
    <s v="Mumbai-Beijing"/>
    <n v="1227"/>
    <n v="295"/>
    <x v="0"/>
    <n v="22"/>
    <n v="839.71"/>
    <n v="217.04"/>
    <n v="1056.75"/>
    <s v="On-time"/>
    <n v="0"/>
    <n v="90.04"/>
    <n v="224"/>
    <n v="230"/>
    <n v="0.86124694376528121"/>
  </r>
  <r>
    <x v="992"/>
    <s v="C1910"/>
    <x v="572"/>
    <d v="2024-11-10T00:00:00"/>
    <x v="2"/>
    <x v="3"/>
    <x v="6"/>
    <x v="4"/>
    <x v="773"/>
    <x v="2"/>
    <s v="Accessories"/>
    <x v="761"/>
    <n v="310.92"/>
    <n v="63"/>
    <n v="19587.960000000003"/>
    <s v="S691"/>
    <x v="4"/>
    <s v="W43"/>
    <x v="1"/>
    <s v="DHL"/>
    <s v="Cape Town-Toronto"/>
    <n v="530"/>
    <n v="170"/>
    <x v="0"/>
    <n v="26"/>
    <n v="78.260000000000005"/>
    <n v="281.64"/>
    <n v="359.9"/>
    <s v="On-time"/>
    <n v="0"/>
    <n v="87.02"/>
    <n v="110"/>
    <n v="108"/>
    <n v="0.6790566037735849"/>
  </r>
  <r>
    <x v="993"/>
    <s v="C4755"/>
    <x v="776"/>
    <d v="2024-04-06T00:00:00"/>
    <x v="2"/>
    <x v="3"/>
    <x v="6"/>
    <x v="6"/>
    <x v="774"/>
    <x v="0"/>
    <s v="Art"/>
    <x v="762"/>
    <n v="387.21"/>
    <n v="5"/>
    <n v="1936.05"/>
    <s v="S175"/>
    <x v="2"/>
    <s v="W31"/>
    <x v="1"/>
    <s v="Maersk"/>
    <s v="Berlin-Beijing"/>
    <n v="2536"/>
    <n v="343"/>
    <x v="0"/>
    <n v="27"/>
    <n v="158.55000000000001"/>
    <n v="237.69"/>
    <n v="396.24"/>
    <s v="On-time"/>
    <n v="0"/>
    <n v="94.98"/>
    <n v="406"/>
    <n v="369"/>
    <n v="0.15624605678233439"/>
  </r>
  <r>
    <x v="994"/>
    <s v="C6672"/>
    <x v="777"/>
    <d v="2024-12-26T00:00:00"/>
    <x v="0"/>
    <x v="3"/>
    <x v="2"/>
    <x v="6"/>
    <x v="775"/>
    <x v="0"/>
    <s v="Binders"/>
    <x v="763"/>
    <n v="358.21"/>
    <n v="13"/>
    <n v="4656.7299999999996"/>
    <s v="S979"/>
    <x v="2"/>
    <s v="W41"/>
    <x v="3"/>
    <s v="Maersk"/>
    <s v="Mumbai-São Paulo"/>
    <n v="2889"/>
    <n v="55"/>
    <x v="0"/>
    <n v="2"/>
    <n v="259.3"/>
    <n v="48.31"/>
    <n v="307.61"/>
    <s v="On-time"/>
    <n v="0"/>
    <n v="78.52"/>
    <n v="183"/>
    <n v="173"/>
    <n v="0.10647628937348563"/>
  </r>
  <r>
    <x v="995"/>
    <s v="C7666"/>
    <x v="158"/>
    <d v="2024-09-05T00:00:00"/>
    <x v="2"/>
    <x v="4"/>
    <x v="0"/>
    <x v="0"/>
    <x v="776"/>
    <x v="0"/>
    <s v="Binders"/>
    <x v="764"/>
    <n v="276.98"/>
    <n v="29"/>
    <n v="8032.42"/>
    <s v="S865"/>
    <x v="1"/>
    <s v="W7"/>
    <x v="3"/>
    <s v="BlueDart"/>
    <s v="New York-Berlin"/>
    <n v="1776"/>
    <n v="169"/>
    <x v="0"/>
    <n v="28"/>
    <n v="1419.96"/>
    <n v="158.05000000000001"/>
    <n v="1578.01"/>
    <s v="On-time"/>
    <n v="0"/>
    <n v="97.52"/>
    <n v="437"/>
    <n v="387"/>
    <n v="0.88851914414414412"/>
  </r>
  <r>
    <x v="996"/>
    <s v="C9301"/>
    <x v="778"/>
    <d v="2023-01-20T00:00:00"/>
    <x v="1"/>
    <x v="3"/>
    <x v="3"/>
    <x v="2"/>
    <x v="777"/>
    <x v="0"/>
    <s v="Paper"/>
    <x v="765"/>
    <n v="264.86"/>
    <n v="41"/>
    <n v="10859.26"/>
    <s v="S649"/>
    <x v="0"/>
    <s v="W23"/>
    <x v="0"/>
    <s v="DHL"/>
    <s v="Mumbai-Cape Town"/>
    <n v="1791"/>
    <n v="293"/>
    <x v="0"/>
    <n v="26"/>
    <n v="1007.51"/>
    <n v="312.86"/>
    <n v="1320.37"/>
    <s v="On-time"/>
    <n v="0"/>
    <n v="70.510000000000005"/>
    <n v="467"/>
    <n v="426"/>
    <n v="0.73722501395868223"/>
  </r>
  <r>
    <x v="997"/>
    <s v="C8254"/>
    <x v="779"/>
    <d v="2023-04-17T00:00:00"/>
    <x v="1"/>
    <x v="4"/>
    <x v="0"/>
    <x v="3"/>
    <x v="661"/>
    <x v="2"/>
    <s v="Accessories"/>
    <x v="648"/>
    <n v="225.91"/>
    <n v="26"/>
    <n v="5873.66"/>
    <s v="S672"/>
    <x v="4"/>
    <s v="W29"/>
    <x v="3"/>
    <s v="FedEx"/>
    <s v="Mumbai-Mumbai"/>
    <n v="2198"/>
    <n v="361"/>
    <x v="0"/>
    <n v="5"/>
    <n v="1168.73"/>
    <n v="21.93"/>
    <n v="1190.6600000000001"/>
    <s v="On-time"/>
    <n v="0"/>
    <n v="71.510000000000005"/>
    <n v="483"/>
    <n v="460"/>
    <n v="0.54170154686078253"/>
  </r>
  <r>
    <x v="998"/>
    <s v="C1354"/>
    <x v="634"/>
    <d v="2024-05-23T00:00:00"/>
    <x v="2"/>
    <x v="1"/>
    <x v="0"/>
    <x v="5"/>
    <x v="778"/>
    <x v="1"/>
    <s v="Furnishings"/>
    <x v="766"/>
    <n v="476.71"/>
    <n v="12"/>
    <n v="5720.5199999999995"/>
    <s v="S928"/>
    <x v="1"/>
    <s v="W47"/>
    <x v="2"/>
    <s v="BlueDart"/>
    <s v="São Paulo-New York"/>
    <n v="2566"/>
    <n v="108"/>
    <x v="0"/>
    <n v="1"/>
    <n v="754.56"/>
    <n v="485.8"/>
    <n v="1240.3599999999999"/>
    <s v="On-time"/>
    <n v="0"/>
    <n v="96.7"/>
    <n v="176"/>
    <n v="220"/>
    <n v="0.48338269680436474"/>
  </r>
  <r>
    <x v="999"/>
    <s v="C3295"/>
    <x v="695"/>
    <d v="2021-10-19T00:00:00"/>
    <x v="2"/>
    <x v="1"/>
    <x v="2"/>
    <x v="0"/>
    <x v="112"/>
    <x v="0"/>
    <s v="Appliances"/>
    <x v="111"/>
    <n v="462.35"/>
    <n v="4"/>
    <n v="1849.4"/>
    <s v="S485"/>
    <x v="0"/>
    <s v="W13"/>
    <x v="3"/>
    <s v="DHL"/>
    <s v="London-Toronto"/>
    <n v="4955"/>
    <n v="246"/>
    <x v="0"/>
    <n v="23"/>
    <n v="1167.01"/>
    <n v="117.86"/>
    <n v="1284.8699999999999"/>
    <s v="On-time"/>
    <n v="0"/>
    <n v="71.28"/>
    <n v="122"/>
    <n v="91"/>
    <n v="0.259307769929364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B0FAA6-4EB2-42F4-9A4C-1A611899FAF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1:H10" firstHeaderRow="1" firstDataRow="1" firstDataCol="1"/>
  <pivotFields count="37">
    <pivotField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pivotField showAll="0">
      <items count="4">
        <item x="1"/>
        <item x="0"/>
        <item x="2"/>
        <item t="default"/>
      </items>
    </pivotField>
    <pivotField showAll="0">
      <items count="6">
        <item x="3"/>
        <item x="0"/>
        <item x="4"/>
        <item x="1"/>
        <item x="2"/>
        <item t="default"/>
      </items>
    </pivotField>
    <pivotField axis="axisRow" showAll="0" sortType="descending">
      <items count="9">
        <item x="7"/>
        <item x="2"/>
        <item x="3"/>
        <item x="5"/>
        <item x="1"/>
        <item x="6"/>
        <item x="4"/>
        <item x="0"/>
        <item t="default"/>
      </items>
      <autoSortScope>
        <pivotArea dataOnly="0" outline="0" fieldPosition="0">
          <references count="1">
            <reference field="4294967294" count="1" selected="0">
              <x v="0"/>
            </reference>
          </references>
        </pivotArea>
      </autoSortScope>
    </pivotField>
    <pivotField showAll="0">
      <items count="9">
        <item x="2"/>
        <item x="5"/>
        <item x="1"/>
        <item x="6"/>
        <item x="7"/>
        <item x="0"/>
        <item x="4"/>
        <item x="3"/>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items count="6">
        <item x="0"/>
        <item x="4"/>
        <item x="1"/>
        <item x="3"/>
        <item x="2"/>
        <item t="default"/>
      </items>
    </pivotField>
    <pivotField showAll="0"/>
    <pivotField showAll="0">
      <items count="5">
        <item x="0"/>
        <item x="2"/>
        <item x="1"/>
        <item x="3"/>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6"/>
  </rowFields>
  <rowItems count="9">
    <i>
      <x v="7"/>
    </i>
    <i>
      <x v="5"/>
    </i>
    <i>
      <x v="4"/>
    </i>
    <i>
      <x/>
    </i>
    <i>
      <x v="2"/>
    </i>
    <i>
      <x v="3"/>
    </i>
    <i>
      <x v="1"/>
    </i>
    <i>
      <x v="6"/>
    </i>
    <i t="grand">
      <x/>
    </i>
  </rowItems>
  <colItems count="1">
    <i/>
  </colItems>
  <dataFields count="1">
    <dataField name="Sum of Total_Cost" fld="2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BB82E8-1564-46CF-A3F2-AF7DF3FC8E0A}"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J9:K18" firstHeaderRow="1" firstDataRow="1" firstDataCol="1"/>
  <pivotFields count="37">
    <pivotField dataField="1"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pivotField showAll="0">
      <items count="4">
        <item x="1"/>
        <item x="0"/>
        <item x="2"/>
        <item t="default"/>
      </items>
    </pivotField>
    <pivotField showAll="0">
      <items count="6">
        <item x="3"/>
        <item x="0"/>
        <item x="4"/>
        <item x="1"/>
        <item x="2"/>
        <item t="default"/>
      </items>
    </pivotField>
    <pivotField showAll="0">
      <items count="9">
        <item x="7"/>
        <item x="2"/>
        <item x="3"/>
        <item x="5"/>
        <item x="1"/>
        <item x="6"/>
        <item x="4"/>
        <item x="0"/>
        <item t="default"/>
      </items>
    </pivotField>
    <pivotField axis="axisRow" showAll="0" sortType="descending">
      <items count="9">
        <item x="2"/>
        <item x="5"/>
        <item x="1"/>
        <item x="6"/>
        <item x="7"/>
        <item x="0"/>
        <item x="4"/>
        <item x="3"/>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showAll="0"/>
    <pivotField showAll="0"/>
    <pivotField showAll="0">
      <items count="6">
        <item x="0"/>
        <item x="4"/>
        <item x="1"/>
        <item x="3"/>
        <item x="2"/>
        <item t="default"/>
      </items>
    </pivotField>
    <pivotField showAll="0"/>
    <pivotField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7"/>
  </rowFields>
  <rowItems count="9">
    <i>
      <x v="2"/>
    </i>
    <i>
      <x v="5"/>
    </i>
    <i>
      <x v="1"/>
    </i>
    <i>
      <x v="6"/>
    </i>
    <i>
      <x v="7"/>
    </i>
    <i>
      <x v="4"/>
    </i>
    <i>
      <x v="3"/>
    </i>
    <i>
      <x/>
    </i>
    <i t="grand">
      <x/>
    </i>
  </rowItems>
  <colItems count="1">
    <i/>
  </colItems>
  <dataFields count="1">
    <dataField name="Count of Order_ID" fld="0" subtotal="count" baseField="0" baseItem="0"/>
  </dataFields>
  <chartFormats count="9">
    <chartFormat chart="28" format="14" series="1">
      <pivotArea type="data" outline="0" fieldPosition="0">
        <references count="1">
          <reference field="4294967294" count="1" selected="0">
            <x v="0"/>
          </reference>
        </references>
      </pivotArea>
    </chartFormat>
    <chartFormat chart="28" format="15">
      <pivotArea type="data" outline="0" fieldPosition="0">
        <references count="2">
          <reference field="4294967294" count="1" selected="0">
            <x v="0"/>
          </reference>
          <reference field="7" count="1" selected="0">
            <x v="2"/>
          </reference>
        </references>
      </pivotArea>
    </chartFormat>
    <chartFormat chart="28" format="16">
      <pivotArea type="data" outline="0" fieldPosition="0">
        <references count="2">
          <reference field="4294967294" count="1" selected="0">
            <x v="0"/>
          </reference>
          <reference field="7" count="1" selected="0">
            <x v="5"/>
          </reference>
        </references>
      </pivotArea>
    </chartFormat>
    <chartFormat chart="28" format="17">
      <pivotArea type="data" outline="0" fieldPosition="0">
        <references count="2">
          <reference field="4294967294" count="1" selected="0">
            <x v="0"/>
          </reference>
          <reference field="7" count="1" selected="0">
            <x v="6"/>
          </reference>
        </references>
      </pivotArea>
    </chartFormat>
    <chartFormat chart="28" format="18">
      <pivotArea type="data" outline="0" fieldPosition="0">
        <references count="2">
          <reference field="4294967294" count="1" selected="0">
            <x v="0"/>
          </reference>
          <reference field="7" count="1" selected="0">
            <x v="1"/>
          </reference>
        </references>
      </pivotArea>
    </chartFormat>
    <chartFormat chart="28" format="19">
      <pivotArea type="data" outline="0" fieldPosition="0">
        <references count="2">
          <reference field="4294967294" count="1" selected="0">
            <x v="0"/>
          </reference>
          <reference field="7" count="1" selected="0">
            <x v="7"/>
          </reference>
        </references>
      </pivotArea>
    </chartFormat>
    <chartFormat chart="28" format="20">
      <pivotArea type="data" outline="0" fieldPosition="0">
        <references count="2">
          <reference field="4294967294" count="1" selected="0">
            <x v="0"/>
          </reference>
          <reference field="7" count="1" selected="0">
            <x v="4"/>
          </reference>
        </references>
      </pivotArea>
    </chartFormat>
    <chartFormat chart="28" format="21">
      <pivotArea type="data" outline="0" fieldPosition="0">
        <references count="2">
          <reference field="4294967294" count="1" selected="0">
            <x v="0"/>
          </reference>
          <reference field="7" count="1" selected="0">
            <x v="3"/>
          </reference>
        </references>
      </pivotArea>
    </chartFormat>
    <chartFormat chart="28" format="22">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36DF2E-E132-4450-BA95-CCD497B3411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1:E8" firstHeaderRow="1" firstDataRow="1" firstDataCol="1"/>
  <pivotFields count="37">
    <pivotField showAll="0"/>
    <pivotField showAll="0"/>
    <pivotField axis="axisRow"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pivotField showAll="0">
      <items count="4">
        <item x="1"/>
        <item x="0"/>
        <item x="2"/>
        <item t="default"/>
      </items>
    </pivotField>
    <pivotField showAll="0">
      <items count="6">
        <item x="3"/>
        <item x="0"/>
        <item x="4"/>
        <item x="1"/>
        <item x="2"/>
        <item t="default"/>
      </items>
    </pivotField>
    <pivotField showAll="0">
      <items count="9">
        <item x="7"/>
        <item x="2"/>
        <item x="3"/>
        <item x="5"/>
        <item x="1"/>
        <item x="6"/>
        <item x="4"/>
        <item x="0"/>
        <item t="default"/>
      </items>
    </pivotField>
    <pivotField showAll="0">
      <items count="9">
        <item x="2"/>
        <item x="5"/>
        <item x="1"/>
        <item x="6"/>
        <item x="7"/>
        <item x="0"/>
        <item x="4"/>
        <item x="3"/>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items count="6">
        <item x="0"/>
        <item x="4"/>
        <item x="1"/>
        <item x="3"/>
        <item x="2"/>
        <item t="default"/>
      </items>
    </pivotField>
    <pivotField showAll="0"/>
    <pivotField showAll="0">
      <items count="5">
        <item x="0"/>
        <item x="2"/>
        <item x="1"/>
        <item x="3"/>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2"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items count="9">
        <item sd="0" x="0"/>
        <item sd="0" x="1"/>
        <item sd="0" x="2"/>
        <item sd="0" x="3"/>
        <item sd="0" x="4"/>
        <item sd="0" x="5"/>
        <item sd="0" x="6"/>
        <item sd="0" x="7"/>
        <item t="default" sd="0"/>
      </items>
    </pivotField>
  </pivotFields>
  <rowFields count="4">
    <field x="36"/>
    <field x="35"/>
    <field x="34"/>
    <field x="2"/>
  </rowFields>
  <rowItems count="7">
    <i>
      <x v="1"/>
    </i>
    <i>
      <x v="2"/>
    </i>
    <i>
      <x v="3"/>
    </i>
    <i>
      <x v="4"/>
    </i>
    <i>
      <x v="5"/>
    </i>
    <i>
      <x v="6"/>
    </i>
    <i t="grand">
      <x/>
    </i>
  </rowItems>
  <colItems count="1">
    <i/>
  </colItems>
  <dataFields count="1">
    <dataField name="Sum of Total_Cost" fld="2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95B9A1-B12D-43F1-81B5-6A43B70B4B2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Q1:Q2" firstHeaderRow="1" firstDataRow="1" firstDataCol="0"/>
  <pivotFields count="37">
    <pivotField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pivotField showAll="0">
      <items count="4">
        <item x="1"/>
        <item x="0"/>
        <item x="2"/>
        <item t="default"/>
      </items>
    </pivotField>
    <pivotField showAll="0">
      <items count="6">
        <item x="3"/>
        <item x="0"/>
        <item x="4"/>
        <item x="1"/>
        <item x="2"/>
        <item t="default"/>
      </items>
    </pivotField>
    <pivotField showAll="0">
      <items count="9">
        <item x="7"/>
        <item x="2"/>
        <item x="3"/>
        <item x="5"/>
        <item x="1"/>
        <item x="6"/>
        <item x="4"/>
        <item x="0"/>
        <item t="default"/>
      </items>
    </pivotField>
    <pivotField showAll="0">
      <items count="9">
        <item x="2"/>
        <item x="5"/>
        <item x="1"/>
        <item x="6"/>
        <item x="7"/>
        <item x="0"/>
        <item x="4"/>
        <item x="3"/>
        <item t="default"/>
      </items>
    </pivotField>
    <pivotField showAll="0"/>
    <pivotField showAll="0">
      <items count="4">
        <item x="1"/>
        <item x="0"/>
        <item x="2"/>
        <item t="default"/>
      </items>
    </pivotField>
    <pivotField showAll="0"/>
    <pivotField showAll="0"/>
    <pivotField showAll="0"/>
    <pivotField showAll="0"/>
    <pivotField dataField="1" showAll="0"/>
    <pivotField showAll="0"/>
    <pivotField showAll="0">
      <items count="6">
        <item x="0"/>
        <item x="4"/>
        <item x="1"/>
        <item x="3"/>
        <item x="2"/>
        <item t="default"/>
      </items>
    </pivotField>
    <pivotField showAll="0"/>
    <pivotField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dataFields count="1">
    <dataField name="Average Order Value" fld="14" subtotal="average" baseField="0" baseItem="0" numFmtId="16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A4EC5C-65EE-461B-804B-0360A99FB7C3}"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S4:S5" firstHeaderRow="1" firstDataRow="1" firstDataCol="0"/>
  <pivotFields count="37">
    <pivotField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pivotField showAll="0">
      <items count="4">
        <item x="1"/>
        <item x="0"/>
        <item x="2"/>
        <item t="default"/>
      </items>
    </pivotField>
    <pivotField showAll="0">
      <items count="6">
        <item x="3"/>
        <item x="0"/>
        <item x="4"/>
        <item x="1"/>
        <item x="2"/>
        <item t="default"/>
      </items>
    </pivotField>
    <pivotField showAll="0">
      <items count="9">
        <item x="7"/>
        <item x="2"/>
        <item x="3"/>
        <item x="5"/>
        <item x="1"/>
        <item x="6"/>
        <item x="4"/>
        <item x="0"/>
        <item t="default"/>
      </items>
    </pivotField>
    <pivotField showAll="0">
      <items count="9">
        <item x="2"/>
        <item x="5"/>
        <item x="1"/>
        <item x="6"/>
        <item x="7"/>
        <item x="0"/>
        <item x="4"/>
        <item x="3"/>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items count="6">
        <item x="0"/>
        <item x="4"/>
        <item x="1"/>
        <item x="3"/>
        <item x="2"/>
        <item t="default"/>
      </items>
    </pivotField>
    <pivotField showAll="0"/>
    <pivotField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dataFields count="1">
    <dataField name="Average of Delay_Days" fld="29" subtotal="average"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648518-F9DE-42FD-9FAC-39EF0A7000AB}"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W1:X8" firstHeaderRow="1" firstDataRow="1" firstDataCol="1"/>
  <pivotFields count="37">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axis="axisRow"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pivotField showAll="0">
      <items count="4">
        <item x="1"/>
        <item x="0"/>
        <item x="2"/>
        <item t="default"/>
      </items>
    </pivotField>
    <pivotField showAll="0">
      <items count="6">
        <item x="3"/>
        <item x="0"/>
        <item x="4"/>
        <item x="1"/>
        <item x="2"/>
        <item t="default"/>
      </items>
    </pivotField>
    <pivotField showAll="0">
      <items count="9">
        <item x="7"/>
        <item x="2"/>
        <item x="3"/>
        <item x="5"/>
        <item x="1"/>
        <item x="6"/>
        <item x="4"/>
        <item x="0"/>
        <item t="default"/>
      </items>
    </pivotField>
    <pivotField showAll="0">
      <items count="9">
        <item x="2"/>
        <item x="5"/>
        <item x="1"/>
        <item x="6"/>
        <item x="7"/>
        <item x="0"/>
        <item x="4"/>
        <item x="3"/>
        <item t="default"/>
      </items>
    </pivotField>
    <pivotField showAll="0">
      <items count="780">
        <item x="444"/>
        <item x="692"/>
        <item x="510"/>
        <item x="242"/>
        <item x="522"/>
        <item x="39"/>
        <item x="665"/>
        <item x="21"/>
        <item x="482"/>
        <item x="32"/>
        <item x="82"/>
        <item x="197"/>
        <item x="67"/>
        <item x="392"/>
        <item x="400"/>
        <item x="578"/>
        <item x="106"/>
        <item x="22"/>
        <item x="542"/>
        <item x="647"/>
        <item x="125"/>
        <item x="445"/>
        <item x="98"/>
        <item x="629"/>
        <item x="126"/>
        <item x="364"/>
        <item x="220"/>
        <item x="595"/>
        <item x="617"/>
        <item x="596"/>
        <item x="243"/>
        <item x="393"/>
        <item x="43"/>
        <item x="684"/>
        <item x="611"/>
        <item x="229"/>
        <item x="328"/>
        <item x="493"/>
        <item x="494"/>
        <item x="148"/>
        <item x="580"/>
        <item x="251"/>
        <item x="648"/>
        <item x="166"/>
        <item x="423"/>
        <item x="685"/>
        <item x="723"/>
        <item x="347"/>
        <item x="446"/>
        <item x="5"/>
        <item x="149"/>
        <item x="150"/>
        <item x="385"/>
        <item x="543"/>
        <item x="353"/>
        <item x="630"/>
        <item x="20"/>
        <item x="417"/>
        <item x="117"/>
        <item x="475"/>
        <item x="413"/>
        <item x="338"/>
        <item x="529"/>
        <item x="587"/>
        <item x="649"/>
        <item x="401"/>
        <item x="285"/>
        <item x="751"/>
        <item x="18"/>
        <item x="60"/>
        <item x="603"/>
        <item x="34"/>
        <item x="365"/>
        <item x="210"/>
        <item x="478"/>
        <item x="496"/>
        <item x="571"/>
        <item x="693"/>
        <item x="551"/>
        <item x="175"/>
        <item x="68"/>
        <item x="374"/>
        <item x="59"/>
        <item x="286"/>
        <item x="465"/>
        <item x="165"/>
        <item x="198"/>
        <item x="694"/>
        <item x="97"/>
        <item x="778"/>
        <item x="345"/>
        <item x="44"/>
        <item x="99"/>
        <item x="115"/>
        <item x="61"/>
        <item x="763"/>
        <item x="205"/>
        <item x="441"/>
        <item x="497"/>
        <item x="227"/>
        <item x="483"/>
        <item x="45"/>
        <item x="62"/>
        <item x="581"/>
        <item x="262"/>
        <item x="46"/>
        <item x="740"/>
        <item x="418"/>
        <item x="618"/>
        <item x="662"/>
        <item x="712"/>
        <item x="348"/>
        <item x="619"/>
        <item x="158"/>
        <item x="335"/>
        <item x="650"/>
        <item x="269"/>
        <item x="530"/>
        <item x="326"/>
        <item x="199"/>
        <item x="411"/>
        <item x="644"/>
        <item x="298"/>
        <item x="749"/>
        <item x="69"/>
        <item x="200"/>
        <item x="651"/>
        <item x="14"/>
        <item x="237"/>
        <item x="287"/>
        <item x="288"/>
        <item x="302"/>
        <item x="686"/>
        <item x="511"/>
        <item x="457"/>
        <item x="339"/>
        <item x="768"/>
        <item x="127"/>
        <item x="241"/>
        <item x="181"/>
        <item x="492"/>
        <item x="407"/>
        <item x="450"/>
        <item x="602"/>
        <item x="135"/>
        <item x="486"/>
        <item x="76"/>
        <item x="182"/>
        <item x="764"/>
        <item x="100"/>
        <item x="303"/>
        <item x="238"/>
        <item x="479"/>
        <item x="552"/>
        <item x="613"/>
        <item x="183"/>
        <item x="672"/>
        <item x="304"/>
        <item x="498"/>
        <item x="597"/>
        <item x="634"/>
        <item x="419"/>
        <item x="327"/>
        <item x="604"/>
        <item x="38"/>
        <item x="375"/>
        <item x="458"/>
        <item x="184"/>
        <item x="677"/>
        <item x="107"/>
        <item x="112"/>
        <item x="349"/>
        <item x="442"/>
        <item x="484"/>
        <item x="433"/>
        <item x="47"/>
        <item x="716"/>
        <item x="695"/>
        <item x="136"/>
        <item x="159"/>
        <item x="252"/>
        <item x="499"/>
        <item x="466"/>
        <item x="652"/>
        <item x="724"/>
        <item x="678"/>
        <item x="673"/>
        <item x="263"/>
        <item x="531"/>
        <item x="185"/>
        <item x="402"/>
        <item x="703"/>
        <item x="696"/>
        <item x="467"/>
        <item x="230"/>
        <item x="321"/>
        <item x="276"/>
        <item x="151"/>
        <item x="553"/>
        <item x="143"/>
        <item x="329"/>
        <item x="639"/>
        <item x="394"/>
        <item x="679"/>
        <item x="561"/>
        <item x="156"/>
        <item x="244"/>
        <item x="434"/>
        <item x="141"/>
        <item x="152"/>
        <item x="211"/>
        <item x="6"/>
        <item x="289"/>
        <item x="160"/>
        <item x="330"/>
        <item x="383"/>
        <item x="245"/>
        <item x="532"/>
        <item x="500"/>
        <item x="270"/>
        <item x="635"/>
        <item x="631"/>
        <item x="468"/>
        <item x="350"/>
        <item x="501"/>
        <item x="48"/>
        <item x="7"/>
        <item x="386"/>
        <item x="487"/>
        <item x="548"/>
        <item x="737"/>
        <item x="502"/>
        <item x="277"/>
        <item x="316"/>
        <item x="533"/>
        <item x="598"/>
        <item x="77"/>
        <item x="201"/>
        <item x="636"/>
        <item x="582"/>
        <item x="231"/>
        <item x="559"/>
        <item x="523"/>
        <item x="4"/>
        <item x="620"/>
        <item x="354"/>
        <item x="23"/>
        <item x="124"/>
        <item x="114"/>
        <item x="378"/>
        <item x="167"/>
        <item x="186"/>
        <item x="503"/>
        <item x="760"/>
        <item x="514"/>
        <item x="49"/>
        <item x="187"/>
        <item x="713"/>
        <item x="368"/>
        <item x="212"/>
        <item x="774"/>
        <item x="16"/>
        <item x="687"/>
        <item x="233"/>
        <item x="717"/>
        <item x="50"/>
        <item x="420"/>
        <item x="562"/>
        <item x="704"/>
        <item x="688"/>
        <item x="213"/>
        <item x="356"/>
        <item x="278"/>
        <item x="732"/>
        <item x="605"/>
        <item x="259"/>
        <item x="534"/>
        <item x="188"/>
        <item x="718"/>
        <item x="260"/>
        <item x="560"/>
        <item x="189"/>
        <item x="121"/>
        <item x="79"/>
        <item x="632"/>
        <item x="566"/>
        <item x="51"/>
        <item x="733"/>
        <item x="84"/>
        <item x="524"/>
        <item x="176"/>
        <item x="435"/>
        <item x="436"/>
        <item x="424"/>
        <item x="111"/>
        <item x="425"/>
        <item x="469"/>
        <item x="387"/>
        <item x="253"/>
        <item x="606"/>
        <item x="535"/>
        <item x="91"/>
        <item x="416"/>
        <item x="376"/>
        <item x="735"/>
        <item x="653"/>
        <item x="355"/>
        <item x="177"/>
        <item x="544"/>
        <item x="35"/>
        <item x="214"/>
        <item x="144"/>
        <item x="357"/>
        <item x="254"/>
        <item x="476"/>
        <item x="572"/>
        <item x="654"/>
        <item x="705"/>
        <item x="70"/>
        <item x="614"/>
        <item x="470"/>
        <item x="573"/>
        <item x="621"/>
        <item x="725"/>
        <item x="113"/>
        <item x="403"/>
        <item x="255"/>
        <item x="612"/>
        <item x="752"/>
        <item x="615"/>
        <item x="765"/>
        <item x="753"/>
        <item x="726"/>
        <item x="772"/>
        <item x="622"/>
        <item x="488"/>
        <item x="583"/>
        <item x="512"/>
        <item x="221"/>
        <item x="317"/>
        <item x="290"/>
        <item x="750"/>
        <item x="87"/>
        <item x="279"/>
        <item x="719"/>
        <item x="563"/>
        <item x="536"/>
        <item x="775"/>
        <item x="588"/>
        <item x="341"/>
        <item x="168"/>
        <item x="52"/>
        <item x="555"/>
        <item x="101"/>
        <item x="599"/>
        <item x="567"/>
        <item x="137"/>
        <item x="24"/>
        <item x="256"/>
        <item x="336"/>
        <item x="322"/>
        <item x="40"/>
        <item x="384"/>
        <item x="616"/>
        <item x="15"/>
        <item x="291"/>
        <item x="455"/>
        <item x="504"/>
        <item x="426"/>
        <item x="371"/>
        <item x="489"/>
        <item x="1"/>
        <item x="451"/>
        <item x="271"/>
        <item x="754"/>
        <item x="25"/>
        <item x="280"/>
        <item x="153"/>
        <item x="89"/>
        <item x="459"/>
        <item x="53"/>
        <item x="257"/>
        <item x="222"/>
        <item x="666"/>
        <item x="408"/>
        <item x="564"/>
        <item x="88"/>
        <item x="706"/>
        <item x="8"/>
        <item x="102"/>
        <item x="776"/>
        <item x="103"/>
        <item x="308"/>
        <item x="372"/>
        <item x="346"/>
        <item x="343"/>
        <item x="516"/>
        <item x="331"/>
        <item x="490"/>
        <item x="663"/>
        <item x="268"/>
        <item x="395"/>
        <item x="239"/>
        <item x="26"/>
        <item x="54"/>
        <item x="769"/>
        <item x="27"/>
        <item x="246"/>
        <item x="697"/>
        <item x="41"/>
        <item x="755"/>
        <item x="427"/>
        <item x="515"/>
        <item x="633"/>
        <item x="480"/>
        <item x="344"/>
        <item x="332"/>
        <item x="609"/>
        <item x="305"/>
        <item x="664"/>
        <item x="517"/>
        <item x="377"/>
        <item x="667"/>
        <item x="309"/>
        <item x="161"/>
        <item x="85"/>
        <item x="9"/>
        <item x="728"/>
        <item x="323"/>
        <item x="409"/>
        <item x="202"/>
        <item x="65"/>
        <item x="556"/>
        <item x="128"/>
        <item x="707"/>
        <item x="714"/>
        <item x="668"/>
        <item x="708"/>
        <item x="138"/>
        <item x="206"/>
        <item x="358"/>
        <item x="36"/>
        <item x="589"/>
        <item x="359"/>
        <item x="272"/>
        <item x="481"/>
        <item x="574"/>
        <item x="234"/>
        <item x="373"/>
        <item x="247"/>
        <item x="324"/>
        <item x="655"/>
        <item x="92"/>
        <item x="389"/>
        <item x="2"/>
        <item x="509"/>
        <item x="19"/>
        <item x="215"/>
        <item x="122"/>
        <item x="224"/>
        <item x="216"/>
        <item x="584"/>
        <item x="104"/>
        <item x="741"/>
        <item x="310"/>
        <item x="471"/>
        <item x="123"/>
        <item x="299"/>
        <item x="521"/>
        <item x="0"/>
        <item x="169"/>
        <item x="162"/>
        <item x="736"/>
        <item x="318"/>
        <item x="720"/>
        <item x="557"/>
        <item x="727"/>
        <item x="132"/>
        <item x="90"/>
        <item x="71"/>
        <item x="623"/>
        <item x="108"/>
        <item x="379"/>
        <item x="590"/>
        <item x="133"/>
        <item x="729"/>
        <item x="42"/>
        <item x="217"/>
        <item x="680"/>
        <item x="190"/>
        <item x="10"/>
        <item x="674"/>
        <item x="742"/>
        <item x="565"/>
        <item x="525"/>
        <item x="80"/>
        <item x="170"/>
        <item x="675"/>
        <item x="380"/>
        <item x="443"/>
        <item x="414"/>
        <item x="428"/>
        <item x="337"/>
        <item x="264"/>
        <item x="460"/>
        <item x="730"/>
        <item x="709"/>
        <item x="485"/>
        <item x="461"/>
        <item x="518"/>
        <item x="120"/>
        <item x="66"/>
        <item x="743"/>
        <item x="738"/>
        <item x="145"/>
        <item x="744"/>
        <item x="710"/>
        <item x="513"/>
        <item x="591"/>
        <item x="292"/>
        <item x="11"/>
        <item x="178"/>
        <item x="163"/>
        <item x="761"/>
        <item x="191"/>
        <item x="624"/>
        <item x="585"/>
        <item x="157"/>
        <item x="440"/>
        <item x="192"/>
        <item x="669"/>
        <item x="223"/>
        <item x="762"/>
        <item x="63"/>
        <item x="660"/>
        <item x="55"/>
        <item x="28"/>
        <item x="193"/>
        <item x="265"/>
        <item x="770"/>
        <item x="381"/>
        <item x="429"/>
        <item x="129"/>
        <item x="194"/>
        <item x="72"/>
        <item x="437"/>
        <item x="293"/>
        <item x="195"/>
        <item x="118"/>
        <item x="558"/>
        <item x="300"/>
        <item x="351"/>
        <item x="196"/>
        <item x="273"/>
        <item x="537"/>
        <item x="745"/>
        <item x="625"/>
        <item x="281"/>
        <item x="472"/>
        <item x="777"/>
        <item x="266"/>
        <item x="396"/>
        <item x="771"/>
        <item x="746"/>
        <item x="626"/>
        <item x="306"/>
        <item x="570"/>
        <item x="228"/>
        <item x="756"/>
        <item x="757"/>
        <item x="29"/>
        <item x="30"/>
        <item x="390"/>
        <item x="116"/>
        <item x="698"/>
        <item x="575"/>
        <item x="225"/>
        <item x="261"/>
        <item x="171"/>
        <item x="56"/>
        <item x="366"/>
        <item x="311"/>
        <item x="360"/>
        <item x="207"/>
        <item x="154"/>
        <item x="81"/>
        <item x="282"/>
        <item x="545"/>
        <item x="361"/>
        <item x="645"/>
        <item x="142"/>
        <item x="130"/>
        <item x="179"/>
        <item x="586"/>
        <item x="248"/>
        <item x="576"/>
        <item x="95"/>
        <item x="452"/>
        <item x="447"/>
        <item x="670"/>
        <item x="362"/>
        <item x="473"/>
        <item x="681"/>
        <item x="218"/>
        <item x="155"/>
        <item x="538"/>
        <item x="139"/>
        <item x="342"/>
        <item x="105"/>
        <item x="3"/>
        <item x="249"/>
        <item x="637"/>
        <item x="57"/>
        <item x="172"/>
        <item x="627"/>
        <item x="382"/>
        <item x="283"/>
        <item x="495"/>
        <item x="78"/>
        <item x="526"/>
        <item x="274"/>
        <item x="758"/>
        <item x="73"/>
        <item x="715"/>
        <item x="340"/>
        <item x="656"/>
        <item x="646"/>
        <item x="109"/>
        <item x="146"/>
        <item x="721"/>
        <item x="505"/>
        <item x="491"/>
        <item x="549"/>
        <item x="676"/>
        <item x="284"/>
        <item x="438"/>
        <item x="739"/>
        <item x="294"/>
        <item x="747"/>
        <item x="640"/>
        <item x="397"/>
        <item x="734"/>
        <item x="628"/>
        <item x="391"/>
        <item x="550"/>
        <item x="506"/>
        <item x="333"/>
        <item x="96"/>
        <item x="110"/>
        <item x="731"/>
        <item x="404"/>
        <item x="17"/>
        <item x="119"/>
        <item x="641"/>
        <item x="83"/>
        <item x="405"/>
        <item x="453"/>
        <item x="773"/>
        <item x="699"/>
        <item x="312"/>
        <item x="307"/>
        <item x="147"/>
        <item x="657"/>
        <item x="642"/>
        <item x="643"/>
        <item x="412"/>
        <item x="235"/>
        <item x="759"/>
        <item x="682"/>
        <item x="369"/>
        <item x="232"/>
        <item x="638"/>
        <item x="208"/>
        <item x="410"/>
        <item x="661"/>
        <item x="600"/>
        <item x="275"/>
        <item x="31"/>
        <item x="671"/>
        <item x="313"/>
        <item x="295"/>
        <item x="33"/>
        <item x="610"/>
        <item x="577"/>
        <item x="546"/>
        <item x="296"/>
        <item x="421"/>
        <item x="134"/>
        <item x="689"/>
        <item x="691"/>
        <item x="297"/>
        <item x="658"/>
        <item x="173"/>
        <item x="258"/>
        <item x="579"/>
        <item x="388"/>
        <item x="700"/>
        <item x="701"/>
        <item x="370"/>
        <item x="519"/>
        <item x="203"/>
        <item x="527"/>
        <item x="204"/>
        <item x="334"/>
        <item x="422"/>
        <item x="174"/>
        <item x="539"/>
        <item x="711"/>
        <item x="748"/>
        <item x="520"/>
        <item x="528"/>
        <item x="367"/>
        <item x="601"/>
        <item x="448"/>
        <item x="766"/>
        <item x="454"/>
        <item x="319"/>
        <item x="314"/>
        <item x="325"/>
        <item x="219"/>
        <item x="592"/>
        <item x="164"/>
        <item x="58"/>
        <item x="267"/>
        <item x="64"/>
        <item x="659"/>
        <item x="477"/>
        <item x="363"/>
        <item x="430"/>
        <item x="456"/>
        <item x="320"/>
        <item x="540"/>
        <item x="93"/>
        <item x="398"/>
        <item x="250"/>
        <item x="315"/>
        <item x="767"/>
        <item x="507"/>
        <item x="607"/>
        <item x="74"/>
        <item x="554"/>
        <item x="508"/>
        <item x="683"/>
        <item x="702"/>
        <item x="180"/>
        <item x="690"/>
        <item x="463"/>
        <item x="474"/>
        <item x="608"/>
        <item x="406"/>
        <item x="431"/>
        <item x="464"/>
        <item x="449"/>
        <item x="415"/>
        <item x="86"/>
        <item x="569"/>
        <item x="439"/>
        <item x="432"/>
        <item x="240"/>
        <item x="226"/>
        <item x="462"/>
        <item x="94"/>
        <item x="131"/>
        <item x="722"/>
        <item x="593"/>
        <item x="541"/>
        <item x="399"/>
        <item x="547"/>
        <item x="236"/>
        <item x="352"/>
        <item x="12"/>
        <item x="568"/>
        <item x="37"/>
        <item x="209"/>
        <item x="140"/>
        <item x="75"/>
        <item x="594"/>
        <item x="301"/>
        <item x="13"/>
        <item t="default"/>
      </items>
    </pivotField>
    <pivotField showAll="0">
      <items count="4">
        <item x="1"/>
        <item x="0"/>
        <item x="2"/>
        <item t="default"/>
      </items>
    </pivotField>
    <pivotField showAll="0"/>
    <pivotField showAll="0">
      <items count="768">
        <item x="480"/>
        <item x="426"/>
        <item x="345"/>
        <item x="361"/>
        <item x="411"/>
        <item x="135"/>
        <item x="457"/>
        <item x="25"/>
        <item x="23"/>
        <item x="574"/>
        <item x="93"/>
        <item x="413"/>
        <item x="459"/>
        <item x="639"/>
        <item x="306"/>
        <item x="653"/>
        <item x="352"/>
        <item x="593"/>
        <item x="619"/>
        <item x="15"/>
        <item x="602"/>
        <item x="94"/>
        <item x="601"/>
        <item x="350"/>
        <item x="51"/>
        <item x="382"/>
        <item x="709"/>
        <item x="704"/>
        <item x="682"/>
        <item x="706"/>
        <item x="339"/>
        <item x="337"/>
        <item x="662"/>
        <item x="392"/>
        <item x="145"/>
        <item x="538"/>
        <item x="722"/>
        <item x="481"/>
        <item x="727"/>
        <item x="627"/>
        <item x="735"/>
        <item x="540"/>
        <item x="376"/>
        <item x="675"/>
        <item x="464"/>
        <item x="421"/>
        <item x="279"/>
        <item x="466"/>
        <item x="266"/>
        <item x="559"/>
        <item x="596"/>
        <item x="328"/>
        <item x="685"/>
        <item x="244"/>
        <item x="115"/>
        <item x="64"/>
        <item x="9"/>
        <item x="467"/>
        <item x="209"/>
        <item x="452"/>
        <item x="428"/>
        <item x="409"/>
        <item x="57"/>
        <item x="646"/>
        <item x="132"/>
        <item x="689"/>
        <item x="316"/>
        <item x="85"/>
        <item x="37"/>
        <item x="347"/>
        <item x="92"/>
        <item x="311"/>
        <item x="238"/>
        <item x="330"/>
        <item x="603"/>
        <item x="222"/>
        <item x="320"/>
        <item x="91"/>
        <item x="368"/>
        <item x="19"/>
        <item x="103"/>
        <item x="642"/>
        <item x="353"/>
        <item x="571"/>
        <item x="245"/>
        <item x="213"/>
        <item x="695"/>
        <item x="137"/>
        <item x="204"/>
        <item x="214"/>
        <item x="384"/>
        <item x="2"/>
        <item x="472"/>
        <item x="576"/>
        <item x="562"/>
        <item x="269"/>
        <item x="398"/>
        <item x="554"/>
        <item x="366"/>
        <item x="86"/>
        <item x="354"/>
        <item x="90"/>
        <item x="200"/>
        <item x="714"/>
        <item x="410"/>
        <item x="570"/>
        <item x="4"/>
        <item x="166"/>
        <item x="251"/>
        <item x="24"/>
        <item x="268"/>
        <item x="187"/>
        <item x="502"/>
        <item x="254"/>
        <item x="525"/>
        <item x="287"/>
        <item x="750"/>
        <item x="756"/>
        <item x="180"/>
        <item x="75"/>
        <item x="600"/>
        <item x="643"/>
        <item x="184"/>
        <item x="591"/>
        <item x="106"/>
        <item x="489"/>
        <item x="323"/>
        <item x="387"/>
        <item x="300"/>
        <item x="488"/>
        <item x="134"/>
        <item x="126"/>
        <item x="589"/>
        <item x="482"/>
        <item x="348"/>
        <item x="402"/>
        <item x="550"/>
        <item x="228"/>
        <item x="140"/>
        <item x="302"/>
        <item x="211"/>
        <item x="325"/>
        <item x="210"/>
        <item x="673"/>
        <item x="183"/>
        <item x="128"/>
        <item x="710"/>
        <item x="351"/>
        <item x="490"/>
        <item x="504"/>
        <item x="691"/>
        <item x="460"/>
        <item x="286"/>
        <item x="674"/>
        <item x="762"/>
        <item x="155"/>
        <item x="658"/>
        <item x="659"/>
        <item x="752"/>
        <item x="181"/>
        <item x="365"/>
        <item x="26"/>
        <item x="705"/>
        <item x="239"/>
        <item x="335"/>
        <item x="196"/>
        <item x="327"/>
        <item x="567"/>
        <item x="555"/>
        <item x="136"/>
        <item x="552"/>
        <item x="599"/>
        <item x="154"/>
        <item x="170"/>
        <item x="356"/>
        <item x="628"/>
        <item x="152"/>
        <item x="476"/>
        <item x="235"/>
        <item x="284"/>
        <item x="449"/>
        <item x="207"/>
        <item x="755"/>
        <item x="581"/>
        <item x="580"/>
        <item x="736"/>
        <item x="202"/>
        <item x="699"/>
        <item x="609"/>
        <item x="283"/>
        <item x="220"/>
        <item x="716"/>
        <item x="475"/>
        <item x="108"/>
        <item x="690"/>
        <item x="412"/>
        <item x="153"/>
        <item x="470"/>
        <item x="205"/>
        <item x="275"/>
        <item x="197"/>
        <item x="164"/>
        <item x="649"/>
        <item x="34"/>
        <item x="360"/>
        <item x="638"/>
        <item x="225"/>
        <item x="114"/>
        <item x="636"/>
        <item x="60"/>
        <item x="20"/>
        <item x="208"/>
        <item x="396"/>
        <item x="407"/>
        <item x="493"/>
        <item x="547"/>
        <item x="491"/>
        <item x="7"/>
        <item x="76"/>
        <item x="389"/>
        <item x="324"/>
        <item x="203"/>
        <item x="499"/>
        <item x="494"/>
        <item x="374"/>
        <item x="278"/>
        <item x="229"/>
        <item x="159"/>
        <item x="223"/>
        <item x="193"/>
        <item x="61"/>
        <item x="739"/>
        <item x="199"/>
        <item x="45"/>
        <item x="680"/>
        <item x="46"/>
        <item x="174"/>
        <item x="486"/>
        <item x="55"/>
        <item x="67"/>
        <item x="59"/>
        <item x="700"/>
        <item x="624"/>
        <item x="377"/>
        <item x="369"/>
        <item x="138"/>
        <item x="308"/>
        <item x="157"/>
        <item x="405"/>
        <item x="433"/>
        <item x="82"/>
        <item x="118"/>
        <item x="528"/>
        <item x="71"/>
        <item x="663"/>
        <item x="261"/>
        <item x="331"/>
        <item x="198"/>
        <item x="487"/>
        <item x="725"/>
        <item x="520"/>
        <item x="250"/>
        <item x="129"/>
        <item x="563"/>
        <item x="56"/>
        <item x="371"/>
        <item x="253"/>
        <item x="38"/>
        <item x="104"/>
        <item x="444"/>
        <item x="319"/>
        <item x="420"/>
        <item x="632"/>
        <item x="158"/>
        <item x="443"/>
        <item x="29"/>
        <item x="385"/>
        <item x="683"/>
        <item x="277"/>
        <item x="585"/>
        <item x="340"/>
        <item x="737"/>
        <item x="461"/>
        <item x="255"/>
        <item x="403"/>
        <item x="505"/>
        <item x="692"/>
        <item x="52"/>
        <item x="723"/>
        <item x="332"/>
        <item x="641"/>
        <item x="35"/>
        <item x="305"/>
        <item x="120"/>
        <item x="367"/>
        <item x="640"/>
        <item x="451"/>
        <item x="523"/>
        <item x="219"/>
        <item x="419"/>
        <item x="88"/>
        <item x="551"/>
        <item x="1"/>
        <item x="40"/>
        <item x="468"/>
        <item x="188"/>
        <item x="176"/>
        <item x="143"/>
        <item x="530"/>
        <item x="754"/>
        <item x="13"/>
        <item x="334"/>
        <item x="588"/>
        <item x="68"/>
        <item x="454"/>
        <item x="156"/>
        <item x="566"/>
        <item x="165"/>
        <item x="438"/>
        <item x="5"/>
        <item x="417"/>
        <item x="105"/>
        <item x="22"/>
        <item x="568"/>
        <item x="149"/>
        <item x="359"/>
        <item x="249"/>
        <item x="148"/>
        <item x="241"/>
        <item x="616"/>
        <item x="97"/>
        <item x="671"/>
        <item x="684"/>
        <item x="564"/>
        <item x="455"/>
        <item x="696"/>
        <item x="447"/>
        <item x="234"/>
        <item x="594"/>
        <item x="342"/>
        <item x="125"/>
        <item x="434"/>
        <item x="383"/>
        <item x="173"/>
        <item x="633"/>
        <item x="111"/>
        <item x="370"/>
        <item x="47"/>
        <item x="635"/>
        <item x="99"/>
        <item x="182"/>
        <item x="541"/>
        <item x="43"/>
        <item x="584"/>
        <item x="604"/>
        <item x="236"/>
        <item x="583"/>
        <item x="531"/>
        <item x="484"/>
        <item x="617"/>
        <item x="670"/>
        <item x="511"/>
        <item x="500"/>
        <item x="395"/>
        <item x="437"/>
        <item x="388"/>
        <item x="458"/>
        <item x="450"/>
        <item x="664"/>
        <item x="178"/>
        <item x="569"/>
        <item x="18"/>
        <item x="322"/>
        <item x="14"/>
        <item x="517"/>
        <item x="363"/>
        <item x="542"/>
        <item x="133"/>
        <item x="448"/>
        <item x="8"/>
        <item x="693"/>
        <item x="87"/>
        <item x="252"/>
        <item x="418"/>
        <item x="276"/>
        <item x="227"/>
        <item x="63"/>
        <item x="172"/>
        <item x="630"/>
        <item x="406"/>
        <item x="294"/>
        <item x="230"/>
        <item x="248"/>
        <item x="742"/>
        <item x="175"/>
        <item x="620"/>
        <item x="595"/>
        <item x="73"/>
        <item x="312"/>
        <item x="698"/>
        <item x="757"/>
        <item x="344"/>
        <item x="329"/>
        <item x="256"/>
        <item x="535"/>
        <item x="761"/>
        <item x="285"/>
        <item x="442"/>
        <item x="292"/>
        <item x="497"/>
        <item x="288"/>
        <item x="501"/>
        <item x="614"/>
        <item x="430"/>
        <item x="394"/>
        <item x="380"/>
        <item x="33"/>
        <item x="557"/>
        <item x="399"/>
        <item x="676"/>
        <item x="109"/>
        <item x="625"/>
        <item x="678"/>
        <item x="645"/>
        <item x="496"/>
        <item x="309"/>
        <item x="146"/>
        <item x="304"/>
        <item x="272"/>
        <item x="445"/>
        <item x="719"/>
        <item x="206"/>
        <item x="260"/>
        <item x="519"/>
        <item x="74"/>
        <item x="281"/>
        <item x="291"/>
        <item x="116"/>
        <item x="96"/>
        <item x="751"/>
        <item x="668"/>
        <item x="597"/>
        <item x="364"/>
        <item x="615"/>
        <item x="95"/>
        <item x="107"/>
        <item x="644"/>
        <item x="657"/>
        <item x="17"/>
        <item x="310"/>
        <item x="526"/>
        <item x="89"/>
        <item x="0"/>
        <item x="634"/>
        <item x="629"/>
        <item x="498"/>
        <item x="378"/>
        <item x="469"/>
        <item x="265"/>
        <item x="431"/>
        <item x="565"/>
        <item x="441"/>
        <item x="231"/>
        <item x="16"/>
        <item x="318"/>
        <item x="592"/>
        <item x="427"/>
        <item x="267"/>
        <item x="623"/>
        <item x="273"/>
        <item x="492"/>
        <item x="626"/>
        <item x="49"/>
        <item x="665"/>
        <item x="151"/>
        <item x="185"/>
        <item x="618"/>
        <item x="381"/>
        <item x="748"/>
        <item x="522"/>
        <item x="142"/>
        <item x="349"/>
        <item x="607"/>
        <item x="186"/>
        <item x="373"/>
        <item x="48"/>
        <item x="575"/>
        <item x="150"/>
        <item x="512"/>
        <item x="424"/>
        <item x="711"/>
        <item x="124"/>
        <item x="681"/>
        <item x="605"/>
        <item x="534"/>
        <item x="598"/>
        <item x="218"/>
        <item x="147"/>
        <item x="521"/>
        <item x="506"/>
        <item x="650"/>
        <item x="372"/>
        <item x="416"/>
        <item x="516"/>
        <item x="224"/>
        <item x="679"/>
        <item x="39"/>
        <item x="21"/>
        <item x="240"/>
        <item x="473"/>
        <item x="532"/>
        <item x="50"/>
        <item x="669"/>
        <item x="163"/>
        <item x="536"/>
        <item x="243"/>
        <item x="707"/>
        <item x="573"/>
        <item x="734"/>
        <item x="336"/>
        <item x="543"/>
        <item x="404"/>
        <item x="509"/>
        <item x="677"/>
        <item x="425"/>
        <item x="446"/>
        <item x="31"/>
        <item x="423"/>
        <item x="127"/>
        <item x="237"/>
        <item x="529"/>
        <item x="179"/>
        <item x="579"/>
        <item x="746"/>
        <item x="139"/>
        <item x="537"/>
        <item x="326"/>
        <item x="713"/>
        <item x="167"/>
        <item x="622"/>
        <item x="78"/>
        <item x="257"/>
        <item x="110"/>
        <item x="478"/>
        <item x="763"/>
        <item x="313"/>
        <item x="317"/>
        <item x="293"/>
        <item x="298"/>
        <item x="527"/>
        <item x="314"/>
        <item x="77"/>
        <item x="355"/>
        <item x="70"/>
        <item x="743"/>
        <item x="728"/>
        <item x="724"/>
        <item x="301"/>
        <item x="6"/>
        <item x="259"/>
        <item x="36"/>
        <item x="98"/>
        <item x="651"/>
        <item x="3"/>
        <item x="582"/>
        <item x="271"/>
        <item x="72"/>
        <item x="338"/>
        <item x="621"/>
        <item x="515"/>
        <item x="439"/>
        <item x="299"/>
        <item x="672"/>
        <item x="465"/>
        <item x="66"/>
        <item x="667"/>
        <item x="358"/>
        <item x="456"/>
        <item x="217"/>
        <item x="747"/>
        <item x="400"/>
        <item x="415"/>
        <item x="233"/>
        <item x="686"/>
        <item x="701"/>
        <item x="414"/>
        <item x="242"/>
        <item x="477"/>
        <item x="549"/>
        <item x="130"/>
        <item x="721"/>
        <item x="32"/>
        <item x="81"/>
        <item x="436"/>
        <item x="471"/>
        <item x="654"/>
        <item x="544"/>
        <item x="141"/>
        <item x="474"/>
        <item x="687"/>
        <item x="688"/>
        <item x="483"/>
        <item x="738"/>
        <item x="656"/>
        <item x="232"/>
        <item x="539"/>
        <item x="386"/>
        <item x="162"/>
        <item x="10"/>
        <item x="391"/>
        <item x="558"/>
        <item x="246"/>
        <item x="80"/>
        <item x="533"/>
        <item x="362"/>
        <item x="321"/>
        <item x="741"/>
        <item x="295"/>
        <item x="518"/>
        <item x="274"/>
        <item x="27"/>
        <item x="397"/>
        <item x="171"/>
        <item x="495"/>
        <item x="631"/>
        <item x="121"/>
        <item x="84"/>
        <item x="113"/>
        <item x="247"/>
        <item x="160"/>
        <item x="53"/>
        <item x="513"/>
        <item x="390"/>
        <item x="435"/>
        <item x="694"/>
        <item x="83"/>
        <item x="201"/>
        <item x="282"/>
        <item x="766"/>
        <item x="280"/>
        <item x="343"/>
        <item x="30"/>
        <item x="216"/>
        <item x="703"/>
        <item x="485"/>
        <item x="637"/>
        <item x="590"/>
        <item x="508"/>
        <item x="303"/>
        <item x="122"/>
        <item x="42"/>
        <item x="712"/>
        <item x="586"/>
        <item x="720"/>
        <item x="41"/>
        <item x="58"/>
        <item x="44"/>
        <item x="101"/>
        <item x="587"/>
        <item x="702"/>
        <item x="560"/>
        <item x="440"/>
        <item x="648"/>
        <item x="606"/>
        <item x="62"/>
        <item x="661"/>
        <item x="393"/>
        <item x="524"/>
        <item x="69"/>
        <item x="479"/>
        <item x="548"/>
        <item x="608"/>
        <item x="652"/>
        <item x="112"/>
        <item x="740"/>
        <item x="561"/>
        <item x="764"/>
        <item x="753"/>
        <item x="462"/>
        <item x="100"/>
        <item x="212"/>
        <item x="379"/>
        <item x="760"/>
        <item x="341"/>
        <item x="102"/>
        <item x="556"/>
        <item x="613"/>
        <item x="54"/>
        <item x="12"/>
        <item x="401"/>
        <item x="578"/>
        <item x="660"/>
        <item x="168"/>
        <item x="177"/>
        <item x="610"/>
        <item x="144"/>
        <item x="507"/>
        <item x="572"/>
        <item x="611"/>
        <item x="263"/>
        <item x="726"/>
        <item x="226"/>
        <item x="503"/>
        <item x="195"/>
        <item x="553"/>
        <item x="655"/>
        <item x="189"/>
        <item x="215"/>
        <item x="744"/>
        <item x="28"/>
        <item x="510"/>
        <item x="192"/>
        <item x="717"/>
        <item x="729"/>
        <item x="375"/>
        <item x="666"/>
        <item x="289"/>
        <item x="759"/>
        <item x="546"/>
        <item x="432"/>
        <item x="296"/>
        <item x="262"/>
        <item x="453"/>
        <item x="408"/>
        <item x="65"/>
        <item x="221"/>
        <item x="715"/>
        <item x="647"/>
        <item x="194"/>
        <item x="169"/>
        <item x="612"/>
        <item x="190"/>
        <item x="191"/>
        <item x="131"/>
        <item x="79"/>
        <item x="731"/>
        <item x="749"/>
        <item x="161"/>
        <item x="346"/>
        <item x="758"/>
        <item x="730"/>
        <item x="264"/>
        <item x="422"/>
        <item x="732"/>
        <item x="733"/>
        <item x="545"/>
        <item x="429"/>
        <item x="514"/>
        <item x="577"/>
        <item x="718"/>
        <item x="117"/>
        <item x="463"/>
        <item x="270"/>
        <item x="697"/>
        <item x="290"/>
        <item x="315"/>
        <item x="765"/>
        <item x="119"/>
        <item x="307"/>
        <item x="11"/>
        <item x="297"/>
        <item x="708"/>
        <item x="745"/>
        <item x="333"/>
        <item x="357"/>
        <item x="123"/>
        <item x="258"/>
        <item t="default"/>
      </items>
    </pivotField>
    <pivotField showAll="0"/>
    <pivotField showAll="0"/>
    <pivotField showAll="0"/>
    <pivotField showAll="0"/>
    <pivotField showAll="0">
      <items count="6">
        <item x="0"/>
        <item x="4"/>
        <item x="1"/>
        <item x="3"/>
        <item x="2"/>
        <item t="default"/>
      </items>
    </pivotField>
    <pivotField showAll="0"/>
    <pivotField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9">
        <item sd="0" x="0"/>
        <item sd="0" x="1"/>
        <item sd="0" x="2"/>
        <item sd="0" x="3"/>
        <item sd="0" x="4"/>
        <item sd="0" x="5"/>
        <item sd="0" x="6"/>
        <item sd="0" x="7"/>
        <item t="default"/>
      </items>
    </pivotField>
  </pivotFields>
  <rowFields count="4">
    <field x="36"/>
    <field x="35"/>
    <field x="34"/>
    <field x="2"/>
  </rowFields>
  <rowItems count="7">
    <i>
      <x v="1"/>
    </i>
    <i>
      <x v="2"/>
    </i>
    <i>
      <x v="3"/>
    </i>
    <i>
      <x v="4"/>
    </i>
    <i>
      <x v="5"/>
    </i>
    <i>
      <x v="6"/>
    </i>
    <i t="grand">
      <x/>
    </i>
  </rowItems>
  <colItems count="1">
    <i/>
  </colItems>
  <dataFields count="1">
    <dataField name="Count of Order_ID" fld="0" subtotal="count" baseField="0" baseItem="0"/>
  </dataFields>
  <chartFormats count="1">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8B620F2-D70A-489D-91C3-D12BB81D073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5" firstHeaderRow="1" firstDataRow="1" firstDataCol="1"/>
  <pivotFields count="37">
    <pivotField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pivotField showAll="0">
      <items count="4">
        <item x="1"/>
        <item x="0"/>
        <item x="2"/>
        <item t="default"/>
      </items>
    </pivotField>
    <pivotField showAll="0">
      <items count="6">
        <item x="3"/>
        <item x="0"/>
        <item x="4"/>
        <item x="1"/>
        <item x="2"/>
        <item t="default"/>
      </items>
    </pivotField>
    <pivotField showAll="0">
      <items count="9">
        <item x="7"/>
        <item x="2"/>
        <item x="3"/>
        <item x="5"/>
        <item x="1"/>
        <item x="6"/>
        <item x="4"/>
        <item x="0"/>
        <item t="default"/>
      </items>
    </pivotField>
    <pivotField showAll="0">
      <items count="9">
        <item x="2"/>
        <item x="5"/>
        <item x="1"/>
        <item x="6"/>
        <item x="7"/>
        <item x="0"/>
        <item x="4"/>
        <item x="3"/>
        <item t="default"/>
      </items>
    </pivotField>
    <pivotField showAll="0"/>
    <pivotField axis="axisRow" showAll="0">
      <items count="4">
        <item x="1"/>
        <item x="0"/>
        <item x="2"/>
        <item t="default"/>
      </items>
    </pivotField>
    <pivotField showAll="0"/>
    <pivotField showAll="0"/>
    <pivotField showAll="0"/>
    <pivotField showAll="0"/>
    <pivotField showAll="0"/>
    <pivotField showAll="0"/>
    <pivotField showAll="0">
      <items count="6">
        <item x="0"/>
        <item x="4"/>
        <item x="1"/>
        <item x="3"/>
        <item x="2"/>
        <item t="default"/>
      </items>
    </pivotField>
    <pivotField showAll="0"/>
    <pivotField showAll="0">
      <items count="5">
        <item x="0"/>
        <item x="2"/>
        <item x="1"/>
        <item x="3"/>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9"/>
  </rowFields>
  <rowItems count="4">
    <i>
      <x/>
    </i>
    <i>
      <x v="1"/>
    </i>
    <i>
      <x v="2"/>
    </i>
    <i t="grand">
      <x/>
    </i>
  </rowItems>
  <colItems count="1">
    <i/>
  </colItems>
  <dataFields count="1">
    <dataField name="Sum of Total_Cost" fld="2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44D9DD-E7EA-44C1-B76B-6107B1AEABC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O1:O2" firstHeaderRow="1" firstDataRow="1" firstDataCol="0"/>
  <pivotFields count="37">
    <pivotField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pivotField showAll="0">
      <items count="4">
        <item x="1"/>
        <item x="0"/>
        <item x="2"/>
        <item t="default"/>
      </items>
    </pivotField>
    <pivotField showAll="0">
      <items count="6">
        <item x="3"/>
        <item x="0"/>
        <item x="4"/>
        <item x="1"/>
        <item x="2"/>
        <item t="default"/>
      </items>
    </pivotField>
    <pivotField showAll="0">
      <items count="9">
        <item x="7"/>
        <item x="2"/>
        <item x="3"/>
        <item x="5"/>
        <item x="1"/>
        <item x="6"/>
        <item x="4"/>
        <item x="0"/>
        <item t="default"/>
      </items>
    </pivotField>
    <pivotField showAll="0">
      <items count="9">
        <item x="2"/>
        <item x="5"/>
        <item x="1"/>
        <item x="6"/>
        <item x="7"/>
        <item x="0"/>
        <item x="4"/>
        <item x="3"/>
        <item t="default"/>
      </items>
    </pivotField>
    <pivotField showAll="0"/>
    <pivotField showAll="0">
      <items count="4">
        <item x="1"/>
        <item x="0"/>
        <item x="2"/>
        <item t="default"/>
      </items>
    </pivotField>
    <pivotField showAll="0"/>
    <pivotField showAll="0"/>
    <pivotField showAll="0"/>
    <pivotField showAll="0"/>
    <pivotField dataField="1" showAll="0"/>
    <pivotField showAll="0"/>
    <pivotField showAll="0">
      <items count="6">
        <item x="0"/>
        <item x="4"/>
        <item x="1"/>
        <item x="3"/>
        <item x="2"/>
        <item t="default"/>
      </items>
    </pivotField>
    <pivotField showAll="0"/>
    <pivotField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dataFields count="1">
    <dataField name="Total Sales Revenue" fld="14" baseField="0" baseItem="0" numFmtId="165"/>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AB00DBE-8CE4-4CE2-816A-3565519EC27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S1:S2" firstHeaderRow="1" firstDataRow="1" firstDataCol="0"/>
  <pivotFields count="37">
    <pivotField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pivotField showAll="0">
      <items count="4">
        <item x="1"/>
        <item x="0"/>
        <item x="2"/>
        <item t="default"/>
      </items>
    </pivotField>
    <pivotField showAll="0">
      <items count="6">
        <item x="3"/>
        <item x="0"/>
        <item x="4"/>
        <item x="1"/>
        <item x="2"/>
        <item t="default"/>
      </items>
    </pivotField>
    <pivotField showAll="0">
      <items count="9">
        <item x="7"/>
        <item x="2"/>
        <item x="3"/>
        <item x="5"/>
        <item x="1"/>
        <item x="6"/>
        <item x="4"/>
        <item x="0"/>
        <item t="default"/>
      </items>
    </pivotField>
    <pivotField showAll="0">
      <items count="9">
        <item x="2"/>
        <item x="5"/>
        <item x="1"/>
        <item x="6"/>
        <item x="7"/>
        <item x="0"/>
        <item x="4"/>
        <item x="3"/>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items count="6">
        <item x="0"/>
        <item x="4"/>
        <item x="1"/>
        <item x="3"/>
        <item x="2"/>
        <item t="default"/>
      </items>
    </pivotField>
    <pivotField showAll="0"/>
    <pivotField showAll="0">
      <items count="5">
        <item x="0"/>
        <item x="2"/>
        <item x="1"/>
        <item x="3"/>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dataFields count="1">
    <dataField name="Transportation Cost" fld="26"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E5ED55A-8EA7-4411-951D-23B001FD08E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M1:M2" firstHeaderRow="1" firstDataRow="1" firstDataCol="0"/>
  <pivotFields count="37">
    <pivotField dataField="1"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pivotField showAll="0">
      <items count="4">
        <item x="1"/>
        <item x="0"/>
        <item x="2"/>
        <item t="default"/>
      </items>
    </pivotField>
    <pivotField showAll="0">
      <items count="6">
        <item x="3"/>
        <item x="0"/>
        <item x="4"/>
        <item x="1"/>
        <item x="2"/>
        <item t="default"/>
      </items>
    </pivotField>
    <pivotField showAll="0">
      <items count="9">
        <item x="7"/>
        <item x="2"/>
        <item x="3"/>
        <item x="5"/>
        <item x="1"/>
        <item x="6"/>
        <item x="4"/>
        <item x="0"/>
        <item t="default"/>
      </items>
    </pivotField>
    <pivotField showAll="0">
      <items count="9">
        <item x="2"/>
        <item x="5"/>
        <item x="1"/>
        <item x="6"/>
        <item x="7"/>
        <item x="0"/>
        <item x="4"/>
        <item x="3"/>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items count="6">
        <item x="0"/>
        <item x="4"/>
        <item x="1"/>
        <item x="3"/>
        <item x="2"/>
        <item t="default"/>
      </items>
    </pivotField>
    <pivotField showAll="0"/>
    <pivotField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dataFields count="1">
    <dataField name="Total Ord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56B703A-F95F-483E-86D1-0FC6703CD58C}"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Q4:Q5" firstHeaderRow="1" firstDataRow="1" firstDataCol="0"/>
  <pivotFields count="37">
    <pivotField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pivotField showAll="0">
      <items count="4">
        <item x="1"/>
        <item x="0"/>
        <item x="2"/>
        <item t="default"/>
      </items>
    </pivotField>
    <pivotField showAll="0">
      <items count="6">
        <item x="3"/>
        <item x="0"/>
        <item x="4"/>
        <item x="1"/>
        <item x="2"/>
        <item t="default"/>
      </items>
    </pivotField>
    <pivotField showAll="0">
      <items count="9">
        <item x="7"/>
        <item x="2"/>
        <item x="3"/>
        <item x="5"/>
        <item x="1"/>
        <item x="6"/>
        <item x="4"/>
        <item x="0"/>
        <item t="default"/>
      </items>
    </pivotField>
    <pivotField showAll="0">
      <items count="9">
        <item x="2"/>
        <item x="5"/>
        <item x="1"/>
        <item x="6"/>
        <item x="7"/>
        <item x="0"/>
        <item x="4"/>
        <item x="3"/>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items count="6">
        <item x="0"/>
        <item x="4"/>
        <item x="1"/>
        <item x="3"/>
        <item x="2"/>
        <item t="default"/>
      </items>
    </pivotField>
    <pivotField showAll="0"/>
    <pivotField showAll="0">
      <items count="5">
        <item x="0"/>
        <item x="2"/>
        <item x="1"/>
        <item x="3"/>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dataFields count="1">
    <dataField name="Procurement Cost" fld="25" baseField="0" baseItem="0" numFmtId="165"/>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0A42602-035B-41C3-92A5-BFAC7AD25446}"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M14:O18" firstHeaderRow="0" firstDataRow="1" firstDataCol="1"/>
  <pivotFields count="37">
    <pivotField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pivotField showAll="0">
      <items count="4">
        <item x="1"/>
        <item x="0"/>
        <item x="2"/>
        <item t="default"/>
      </items>
    </pivotField>
    <pivotField showAll="0">
      <items count="6">
        <item x="3"/>
        <item x="0"/>
        <item x="4"/>
        <item x="1"/>
        <item x="2"/>
        <item t="default"/>
      </items>
    </pivotField>
    <pivotField showAll="0">
      <items count="9">
        <item x="7"/>
        <item x="2"/>
        <item x="3"/>
        <item x="5"/>
        <item x="1"/>
        <item x="6"/>
        <item x="4"/>
        <item x="0"/>
        <item t="default"/>
      </items>
    </pivotField>
    <pivotField showAll="0">
      <items count="9">
        <item x="2"/>
        <item x="5"/>
        <item x="1"/>
        <item x="6"/>
        <item x="7"/>
        <item x="0"/>
        <item x="4"/>
        <item x="3"/>
        <item t="default"/>
      </items>
    </pivotField>
    <pivotField showAll="0"/>
    <pivotField axis="axisRow" showAll="0">
      <items count="4">
        <item x="1"/>
        <item x="0"/>
        <item x="2"/>
        <item t="default"/>
      </items>
    </pivotField>
    <pivotField showAll="0"/>
    <pivotField showAll="0"/>
    <pivotField showAll="0"/>
    <pivotField showAll="0"/>
    <pivotField showAll="0"/>
    <pivotField showAll="0"/>
    <pivotField showAll="0">
      <items count="6">
        <item x="0"/>
        <item x="4"/>
        <item x="1"/>
        <item x="3"/>
        <item x="2"/>
        <item t="default"/>
      </items>
    </pivotField>
    <pivotField showAll="0"/>
    <pivotField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9"/>
  </rowFields>
  <rowItems count="4">
    <i>
      <x/>
    </i>
    <i>
      <x v="1"/>
    </i>
    <i>
      <x v="2"/>
    </i>
    <i t="grand">
      <x/>
    </i>
  </rowItems>
  <colFields count="1">
    <field x="-2"/>
  </colFields>
  <colItems count="2">
    <i>
      <x/>
    </i>
    <i i="1">
      <x v="1"/>
    </i>
  </colItems>
  <dataFields count="2">
    <dataField name="Forecasted Demand" fld="31" baseField="9" baseItem="0"/>
    <dataField name="Actual Demand" fld="32" baseField="9" baseItem="0"/>
  </dataFields>
  <chartFormats count="2">
    <chartFormat chart="28" format="4"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48691B2-9D0D-490D-9195-E6FCFD9F7CD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O4:O5" firstHeaderRow="1" firstDataRow="1" firstDataCol="0"/>
  <pivotFields count="37">
    <pivotField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pivotField showAll="0">
      <items count="4">
        <item x="1"/>
        <item x="0"/>
        <item x="2"/>
        <item t="default"/>
      </items>
    </pivotField>
    <pivotField showAll="0">
      <items count="6">
        <item x="3"/>
        <item x="0"/>
        <item x="4"/>
        <item x="1"/>
        <item x="2"/>
        <item t="default"/>
      </items>
    </pivotField>
    <pivotField showAll="0">
      <items count="9">
        <item x="7"/>
        <item x="2"/>
        <item x="3"/>
        <item x="5"/>
        <item x="1"/>
        <item x="6"/>
        <item x="4"/>
        <item x="0"/>
        <item t="default"/>
      </items>
    </pivotField>
    <pivotField showAll="0">
      <items count="9">
        <item x="2"/>
        <item x="5"/>
        <item x="1"/>
        <item x="6"/>
        <item x="7"/>
        <item x="0"/>
        <item x="4"/>
        <item x="3"/>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items count="6">
        <item x="0"/>
        <item x="4"/>
        <item x="1"/>
        <item x="3"/>
        <item x="2"/>
        <item t="default"/>
      </items>
    </pivotField>
    <pivotField showAll="0"/>
    <pivotField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dataFields count="1">
    <dataField name="Average Turnover Ratio " fld="33"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27D0116-EF26-4293-97DA-369F8D04FF7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J1:K7" firstHeaderRow="1" firstDataRow="1" firstDataCol="1"/>
  <pivotFields count="37">
    <pivotField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pivotField showAll="0">
      <items count="4">
        <item x="1"/>
        <item x="0"/>
        <item x="2"/>
        <item t="default"/>
      </items>
    </pivotField>
    <pivotField showAll="0">
      <items count="6">
        <item x="3"/>
        <item x="0"/>
        <item x="4"/>
        <item x="1"/>
        <item x="2"/>
        <item t="default"/>
      </items>
    </pivotField>
    <pivotField showAll="0">
      <items count="9">
        <item x="7"/>
        <item x="2"/>
        <item x="3"/>
        <item x="5"/>
        <item x="1"/>
        <item x="6"/>
        <item x="4"/>
        <item x="0"/>
        <item t="default"/>
      </items>
    </pivotField>
    <pivotField showAll="0">
      <items count="9">
        <item x="2"/>
        <item x="5"/>
        <item x="1"/>
        <item x="6"/>
        <item x="7"/>
        <item x="0"/>
        <item x="4"/>
        <item x="3"/>
        <item t="default"/>
      </items>
    </pivotField>
    <pivotField showAll="0"/>
    <pivotField showAll="0">
      <items count="4">
        <item x="1"/>
        <item x="0"/>
        <item x="2"/>
        <item t="default"/>
      </items>
    </pivotField>
    <pivotField showAll="0"/>
    <pivotField showAll="0"/>
    <pivotField showAll="0"/>
    <pivotField showAll="0"/>
    <pivotField showAll="0"/>
    <pivotField showAll="0"/>
    <pivotField axis="axisRow" showAll="0" sortType="ascending">
      <items count="6">
        <item x="0"/>
        <item x="4"/>
        <item x="1"/>
        <item x="3"/>
        <item x="2"/>
        <item t="default"/>
      </items>
      <autoSortScope>
        <pivotArea dataOnly="0" outline="0" fieldPosition="0">
          <references count="1">
            <reference field="4294967294" count="1" selected="0">
              <x v="0"/>
            </reference>
          </references>
        </pivotArea>
      </autoSortScope>
    </pivotField>
    <pivotField showAll="0"/>
    <pivotField showAll="0">
      <items count="5">
        <item x="0"/>
        <item x="2"/>
        <item x="1"/>
        <item x="3"/>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6"/>
  </rowFields>
  <rowItems count="6">
    <i>
      <x v="4"/>
    </i>
    <i>
      <x/>
    </i>
    <i>
      <x v="2"/>
    </i>
    <i>
      <x v="1"/>
    </i>
    <i>
      <x v="3"/>
    </i>
    <i t="grand">
      <x/>
    </i>
  </rowItems>
  <colItems count="1">
    <i/>
  </colItems>
  <dataFields count="1">
    <dataField name="Sum of Total_Cost" fld="2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2B3EDB9-B199-47A9-983F-7F7472B41E0C}"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P7:Q12" firstHeaderRow="1" firstDataRow="1" firstDataCol="1"/>
  <pivotFields count="37">
    <pivotField dataField="1"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pivotField showAll="0">
      <items count="4">
        <item x="1"/>
        <item x="0"/>
        <item x="2"/>
        <item t="default"/>
      </items>
    </pivotField>
    <pivotField showAll="0">
      <items count="6">
        <item x="3"/>
        <item x="0"/>
        <item x="4"/>
        <item x="1"/>
        <item x="2"/>
        <item t="default"/>
      </items>
    </pivotField>
    <pivotField showAll="0">
      <items count="9">
        <item x="7"/>
        <item x="2"/>
        <item x="3"/>
        <item x="5"/>
        <item x="1"/>
        <item x="6"/>
        <item x="4"/>
        <item x="0"/>
        <item t="default"/>
      </items>
    </pivotField>
    <pivotField showAll="0">
      <items count="9">
        <item x="2"/>
        <item x="5"/>
        <item x="1"/>
        <item x="6"/>
        <item x="7"/>
        <item x="0"/>
        <item x="4"/>
        <item x="3"/>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items count="6">
        <item x="0"/>
        <item x="4"/>
        <item x="1"/>
        <item x="3"/>
        <item x="2"/>
        <item t="default"/>
      </items>
    </pivotField>
    <pivotField showAll="0"/>
    <pivotField axis="axisRow"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18"/>
  </rowFields>
  <rowItems count="5">
    <i>
      <x/>
    </i>
    <i>
      <x v="1"/>
    </i>
    <i>
      <x v="2"/>
    </i>
    <i>
      <x v="3"/>
    </i>
    <i t="grand">
      <x/>
    </i>
  </rowItems>
  <colItems count="1">
    <i/>
  </colItems>
  <dataFields count="1">
    <dataField name="Count of Order_ID" fld="0" subtotal="count" baseField="0" baseItem="0"/>
  </dataFields>
  <chartFormats count="7">
    <chartFormat chart="14"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18" count="1" selected="0">
            <x v="0"/>
          </reference>
        </references>
      </pivotArea>
    </chartFormat>
    <chartFormat chart="23" format="8">
      <pivotArea type="data" outline="0" fieldPosition="0">
        <references count="2">
          <reference field="4294967294" count="1" selected="0">
            <x v="0"/>
          </reference>
          <reference field="18" count="1" selected="0">
            <x v="1"/>
          </reference>
        </references>
      </pivotArea>
    </chartFormat>
    <chartFormat chart="23" format="9">
      <pivotArea type="data" outline="0" fieldPosition="0">
        <references count="2">
          <reference field="4294967294" count="1" selected="0">
            <x v="0"/>
          </reference>
          <reference field="18" count="1" selected="0">
            <x v="2"/>
          </reference>
        </references>
      </pivotArea>
    </chartFormat>
    <chartFormat chart="23" format="10">
      <pivotArea type="data" outline="0" fieldPosition="0">
        <references count="2">
          <reference field="4294967294" count="1" selected="0">
            <x v="0"/>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AA6A7B1-4407-469C-BE30-562DCF5214A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M4:M5" firstHeaderRow="1" firstDataRow="1" firstDataCol="0"/>
  <pivotFields count="37">
    <pivotField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pivotField showAll="0">
      <items count="4">
        <item x="1"/>
        <item x="0"/>
        <item x="2"/>
        <item t="default"/>
      </items>
    </pivotField>
    <pivotField showAll="0">
      <items count="6">
        <item x="3"/>
        <item x="0"/>
        <item x="4"/>
        <item x="1"/>
        <item x="2"/>
        <item t="default"/>
      </items>
    </pivotField>
    <pivotField showAll="0">
      <items count="9">
        <item x="7"/>
        <item x="2"/>
        <item x="3"/>
        <item x="5"/>
        <item x="1"/>
        <item x="6"/>
        <item x="4"/>
        <item x="0"/>
        <item t="default"/>
      </items>
    </pivotField>
    <pivotField showAll="0">
      <items count="9">
        <item x="2"/>
        <item x="5"/>
        <item x="1"/>
        <item x="6"/>
        <item x="7"/>
        <item x="0"/>
        <item x="4"/>
        <item x="3"/>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items count="6">
        <item x="0"/>
        <item x="4"/>
        <item x="1"/>
        <item x="3"/>
        <item x="2"/>
        <item t="default"/>
      </items>
    </pivotField>
    <pivotField showAll="0"/>
    <pivotField showAll="0">
      <items count="5">
        <item x="0"/>
        <item x="2"/>
        <item x="1"/>
        <item x="3"/>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dataFields count="1">
    <dataField name="Stock On Hand"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7340592-03B7-4132-9277-B63EBF8DA583}"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M7:N11" firstHeaderRow="1" firstDataRow="1" firstDataCol="1"/>
  <pivotFields count="37">
    <pivotField dataField="1"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pivotField axis="axisRow" showAll="0">
      <items count="4">
        <item x="1"/>
        <item x="0"/>
        <item x="2"/>
        <item t="default"/>
      </items>
    </pivotField>
    <pivotField showAll="0">
      <items count="6">
        <item x="3"/>
        <item x="0"/>
        <item x="4"/>
        <item x="1"/>
        <item x="2"/>
        <item t="default"/>
      </items>
    </pivotField>
    <pivotField showAll="0">
      <items count="9">
        <item x="7"/>
        <item x="2"/>
        <item x="3"/>
        <item x="5"/>
        <item x="1"/>
        <item x="6"/>
        <item x="4"/>
        <item x="0"/>
        <item t="default"/>
      </items>
    </pivotField>
    <pivotField showAll="0">
      <items count="9">
        <item x="2"/>
        <item x="5"/>
        <item x="1"/>
        <item x="6"/>
        <item x="7"/>
        <item x="0"/>
        <item x="4"/>
        <item x="3"/>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items count="6">
        <item x="0"/>
        <item x="4"/>
        <item x="1"/>
        <item x="3"/>
        <item x="2"/>
        <item t="default"/>
      </items>
    </pivotField>
    <pivotField showAll="0"/>
    <pivotField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4"/>
  </rowFields>
  <rowItems count="4">
    <i>
      <x/>
    </i>
    <i>
      <x v="1"/>
    </i>
    <i>
      <x v="2"/>
    </i>
    <i t="grand">
      <x/>
    </i>
  </rowItems>
  <colItems count="1">
    <i/>
  </colItems>
  <dataFields count="1">
    <dataField name="Count of Order_ID" fld="0" subtotal="count" baseField="0" baseItem="0"/>
  </dataFields>
  <chartFormats count="4">
    <chartFormat chart="18" format="5" series="1">
      <pivotArea type="data" outline="0" fieldPosition="0">
        <references count="1">
          <reference field="4294967294" count="1" selected="0">
            <x v="0"/>
          </reference>
        </references>
      </pivotArea>
    </chartFormat>
    <chartFormat chart="18" format="6">
      <pivotArea type="data" outline="0" fieldPosition="0">
        <references count="2">
          <reference field="4294967294" count="1" selected="0">
            <x v="0"/>
          </reference>
          <reference field="4" count="1" selected="0">
            <x v="0"/>
          </reference>
        </references>
      </pivotArea>
    </chartFormat>
    <chartFormat chart="18" format="7">
      <pivotArea type="data" outline="0" fieldPosition="0">
        <references count="2">
          <reference field="4294967294" count="1" selected="0">
            <x v="0"/>
          </reference>
          <reference field="4" count="1" selected="0">
            <x v="1"/>
          </reference>
        </references>
      </pivotArea>
    </chartFormat>
    <chartFormat chart="18"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FB76570-4CC6-4C6E-83C2-713579169859}"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S7:S8" firstHeaderRow="1" firstDataRow="1" firstDataCol="0"/>
  <pivotFields count="37">
    <pivotField showAll="0"/>
    <pivotField showAll="0"/>
    <pivotField numFmtId="164" showAll="0">
      <items count="781">
        <item x="181"/>
        <item x="497"/>
        <item x="492"/>
        <item x="86"/>
        <item x="71"/>
        <item x="713"/>
        <item x="516"/>
        <item x="95"/>
        <item x="574"/>
        <item x="533"/>
        <item x="29"/>
        <item x="108"/>
        <item x="9"/>
        <item x="367"/>
        <item x="263"/>
        <item x="70"/>
        <item x="486"/>
        <item x="720"/>
        <item x="664"/>
        <item x="302"/>
        <item x="147"/>
        <item x="347"/>
        <item x="293"/>
        <item x="199"/>
        <item x="34"/>
        <item x="296"/>
        <item x="159"/>
        <item x="703"/>
        <item x="80"/>
        <item x="287"/>
        <item x="398"/>
        <item x="262"/>
        <item x="137"/>
        <item x="556"/>
        <item x="767"/>
        <item x="298"/>
        <item x="313"/>
        <item x="409"/>
        <item x="67"/>
        <item x="446"/>
        <item x="406"/>
        <item x="175"/>
        <item x="537"/>
        <item x="473"/>
        <item x="719"/>
        <item x="420"/>
        <item x="511"/>
        <item x="343"/>
        <item x="691"/>
        <item x="488"/>
        <item x="314"/>
        <item x="288"/>
        <item x="133"/>
        <item x="522"/>
        <item x="141"/>
        <item x="498"/>
        <item x="602"/>
        <item x="663"/>
        <item x="628"/>
        <item x="504"/>
        <item x="363"/>
        <item x="641"/>
        <item x="394"/>
        <item x="192"/>
        <item x="463"/>
        <item x="88"/>
        <item x="417"/>
        <item x="564"/>
        <item x="39"/>
        <item x="439"/>
        <item x="746"/>
        <item x="188"/>
        <item x="359"/>
        <item x="623"/>
        <item x="89"/>
        <item x="596"/>
        <item x="131"/>
        <item x="699"/>
        <item x="375"/>
        <item x="490"/>
        <item x="336"/>
        <item x="69"/>
        <item x="775"/>
        <item x="212"/>
        <item x="197"/>
        <item x="594"/>
        <item x="706"/>
        <item x="326"/>
        <item x="16"/>
        <item x="674"/>
        <item x="415"/>
        <item x="177"/>
        <item x="392"/>
        <item x="732"/>
        <item x="21"/>
        <item x="271"/>
        <item x="2"/>
        <item x="187"/>
        <item x="400"/>
        <item x="717"/>
        <item x="304"/>
        <item x="145"/>
        <item x="759"/>
        <item x="186"/>
        <item x="611"/>
        <item x="247"/>
        <item x="760"/>
        <item x="239"/>
        <item x="289"/>
        <item x="92"/>
        <item x="737"/>
        <item x="110"/>
        <item x="423"/>
        <item x="506"/>
        <item x="17"/>
        <item x="267"/>
        <item x="573"/>
        <item x="300"/>
        <item x="765"/>
        <item x="493"/>
        <item x="198"/>
        <item x="675"/>
        <item x="45"/>
        <item x="362"/>
        <item x="157"/>
        <item x="440"/>
        <item x="231"/>
        <item x="270"/>
        <item x="541"/>
        <item x="281"/>
        <item x="290"/>
        <item x="236"/>
        <item x="721"/>
        <item x="609"/>
        <item x="470"/>
        <item x="79"/>
        <item x="142"/>
        <item x="443"/>
        <item x="479"/>
        <item x="753"/>
        <item x="773"/>
        <item x="734"/>
        <item x="160"/>
        <item x="777"/>
        <item x="333"/>
        <item x="745"/>
        <item x="50"/>
        <item x="205"/>
        <item x="428"/>
        <item x="515"/>
        <item x="545"/>
        <item x="774"/>
        <item x="668"/>
        <item x="762"/>
        <item x="388"/>
        <item x="202"/>
        <item x="647"/>
        <item x="582"/>
        <item x="660"/>
        <item x="586"/>
        <item x="505"/>
        <item x="215"/>
        <item x="566"/>
        <item x="434"/>
        <item x="575"/>
        <item x="687"/>
        <item x="779"/>
        <item x="481"/>
        <item x="487"/>
        <item x="232"/>
        <item x="230"/>
        <item x="754"/>
        <item x="19"/>
        <item x="356"/>
        <item x="702"/>
        <item x="723"/>
        <item x="742"/>
        <item x="191"/>
        <item x="419"/>
        <item x="155"/>
        <item x="317"/>
        <item x="259"/>
        <item x="587"/>
        <item x="283"/>
        <item x="36"/>
        <item x="220"/>
        <item x="257"/>
        <item x="82"/>
        <item x="648"/>
        <item x="384"/>
        <item x="592"/>
        <item x="206"/>
        <item x="673"/>
        <item x="514"/>
        <item x="435"/>
        <item x="729"/>
        <item x="35"/>
        <item x="357"/>
        <item x="176"/>
        <item x="600"/>
        <item x="693"/>
        <item x="99"/>
        <item x="738"/>
        <item x="526"/>
        <item x="91"/>
        <item x="425"/>
        <item x="112"/>
        <item x="7"/>
        <item x="162"/>
        <item x="404"/>
        <item x="245"/>
        <item x="453"/>
        <item x="501"/>
        <item x="76"/>
        <item x="52"/>
        <item x="654"/>
        <item x="260"/>
        <item x="743"/>
        <item x="686"/>
        <item x="478"/>
        <item x="138"/>
        <item x="382"/>
        <item x="214"/>
        <item x="705"/>
        <item x="117"/>
        <item x="577"/>
        <item x="551"/>
        <item x="235"/>
        <item x="348"/>
        <item x="195"/>
        <item x="323"/>
        <item x="642"/>
        <item x="735"/>
        <item x="28"/>
        <item x="285"/>
        <item x="169"/>
        <item x="183"/>
        <item x="391"/>
        <item x="225"/>
        <item x="476"/>
        <item x="389"/>
        <item x="770"/>
        <item x="736"/>
        <item x="508"/>
        <item x="26"/>
        <item x="4"/>
        <item x="593"/>
        <item x="518"/>
        <item x="444"/>
        <item x="454"/>
        <item x="544"/>
        <item x="102"/>
        <item x="390"/>
        <item x="707"/>
        <item x="371"/>
        <item x="22"/>
        <item x="744"/>
        <item x="241"/>
        <item x="418"/>
        <item x="53"/>
        <item x="217"/>
        <item x="146"/>
        <item x="360"/>
        <item x="182"/>
        <item x="650"/>
        <item x="459"/>
        <item x="219"/>
        <item x="396"/>
        <item x="477"/>
        <item x="75"/>
        <item x="502"/>
        <item x="312"/>
        <item x="64"/>
        <item x="306"/>
        <item x="57"/>
        <item x="354"/>
        <item x="307"/>
        <item x="229"/>
        <item x="399"/>
        <item x="519"/>
        <item x="509"/>
        <item x="221"/>
        <item x="426"/>
        <item x="652"/>
        <item x="468"/>
        <item x="715"/>
        <item x="689"/>
        <item x="41"/>
        <item x="251"/>
        <item x="113"/>
        <item x="97"/>
        <item x="44"/>
        <item x="659"/>
        <item x="255"/>
        <item x="718"/>
        <item x="249"/>
        <item x="107"/>
        <item x="104"/>
        <item x="337"/>
        <item x="601"/>
        <item x="171"/>
        <item x="366"/>
        <item x="499"/>
        <item x="1"/>
        <item x="616"/>
        <item x="127"/>
        <item x="679"/>
        <item x="156"/>
        <item x="451"/>
        <item x="688"/>
        <item x="126"/>
        <item x="350"/>
        <item x="266"/>
        <item x="361"/>
        <item x="636"/>
        <item x="550"/>
        <item x="381"/>
        <item x="667"/>
        <item x="351"/>
        <item x="603"/>
        <item x="355"/>
        <item x="172"/>
        <item x="752"/>
        <item x="455"/>
        <item x="63"/>
        <item x="73"/>
        <item x="700"/>
        <item x="553"/>
        <item x="741"/>
        <item x="438"/>
        <item x="615"/>
        <item x="353"/>
        <item x="96"/>
        <item x="387"/>
        <item x="101"/>
        <item x="527"/>
        <item x="447"/>
        <item x="768"/>
        <item x="629"/>
        <item x="66"/>
        <item x="213"/>
        <item x="224"/>
        <item x="309"/>
        <item x="320"/>
        <item x="143"/>
        <item x="524"/>
        <item x="173"/>
        <item x="567"/>
        <item x="393"/>
        <item x="645"/>
        <item x="569"/>
        <item x="612"/>
        <item x="78"/>
        <item x="167"/>
        <item x="413"/>
        <item x="129"/>
        <item x="571"/>
        <item x="128"/>
        <item x="140"/>
        <item x="579"/>
        <item x="115"/>
        <item x="452"/>
        <item x="15"/>
        <item x="32"/>
        <item x="237"/>
        <item x="27"/>
        <item x="685"/>
        <item x="94"/>
        <item x="619"/>
        <item x="77"/>
        <item x="644"/>
        <item x="683"/>
        <item x="203"/>
        <item x="196"/>
        <item x="471"/>
        <item x="373"/>
        <item x="698"/>
        <item x="87"/>
        <item x="54"/>
        <item x="154"/>
        <item x="51"/>
        <item x="513"/>
        <item x="531"/>
        <item x="510"/>
        <item x="380"/>
        <item x="429"/>
        <item x="122"/>
        <item x="727"/>
        <item x="572"/>
        <item x="132"/>
        <item x="308"/>
        <item x="68"/>
        <item x="166"/>
        <item x="483"/>
        <item x="294"/>
        <item x="233"/>
        <item x="85"/>
        <item x="542"/>
        <item x="47"/>
        <item x="14"/>
        <item x="731"/>
        <item x="416"/>
        <item x="116"/>
        <item x="637"/>
        <item x="265"/>
        <item x="185"/>
        <item x="728"/>
        <item x="625"/>
        <item x="325"/>
        <item x="608"/>
        <item x="630"/>
        <item x="558"/>
        <item x="163"/>
        <item x="554"/>
        <item x="222"/>
        <item x="672"/>
        <item x="627"/>
        <item x="669"/>
        <item x="0"/>
        <item x="204"/>
        <item x="339"/>
        <item x="250"/>
        <item x="751"/>
        <item x="151"/>
        <item x="712"/>
        <item x="750"/>
        <item x="475"/>
        <item x="3"/>
        <item x="278"/>
        <item x="261"/>
        <item x="576"/>
        <item x="144"/>
        <item x="540"/>
        <item x="332"/>
        <item x="617"/>
        <item x="40"/>
        <item x="274"/>
        <item x="595"/>
        <item x="299"/>
        <item x="372"/>
        <item x="697"/>
        <item x="301"/>
        <item x="136"/>
        <item x="338"/>
        <item x="456"/>
        <item x="528"/>
        <item x="292"/>
        <item x="43"/>
        <item x="776"/>
        <item x="726"/>
        <item x="534"/>
        <item x="25"/>
        <item x="256"/>
        <item x="761"/>
        <item x="98"/>
        <item x="530"/>
        <item x="546"/>
        <item x="543"/>
        <item x="121"/>
        <item x="8"/>
        <item x="618"/>
        <item x="739"/>
        <item x="33"/>
        <item x="408"/>
        <item x="535"/>
        <item x="604"/>
        <item x="458"/>
        <item x="316"/>
        <item x="489"/>
        <item x="610"/>
        <item x="500"/>
        <item x="711"/>
        <item x="23"/>
        <item x="223"/>
        <item x="48"/>
        <item x="319"/>
        <item x="485"/>
        <item x="633"/>
        <item x="148"/>
        <item x="640"/>
        <item x="581"/>
        <item x="385"/>
        <item x="547"/>
        <item x="208"/>
        <item x="538"/>
        <item x="722"/>
        <item x="189"/>
        <item x="653"/>
        <item x="631"/>
        <item x="20"/>
        <item x="450"/>
        <item x="65"/>
        <item x="184"/>
        <item x="90"/>
        <item x="243"/>
        <item x="589"/>
        <item x="240"/>
        <item x="517"/>
        <item x="100"/>
        <item x="58"/>
        <item x="733"/>
        <item x="295"/>
        <item x="328"/>
        <item x="757"/>
        <item x="460"/>
        <item x="218"/>
        <item x="584"/>
        <item x="480"/>
        <item x="349"/>
        <item x="624"/>
        <item x="507"/>
        <item x="238"/>
        <item x="591"/>
        <item x="466"/>
        <item x="158"/>
        <item x="178"/>
        <item x="376"/>
        <item x="639"/>
        <item x="433"/>
        <item x="252"/>
        <item x="272"/>
        <item x="386"/>
        <item x="651"/>
        <item x="60"/>
        <item x="190"/>
        <item x="562"/>
        <item x="210"/>
        <item x="632"/>
        <item x="421"/>
        <item x="164"/>
        <item x="277"/>
        <item x="161"/>
        <item x="560"/>
        <item x="484"/>
        <item x="656"/>
        <item x="756"/>
        <item x="590"/>
        <item x="315"/>
        <item x="201"/>
        <item x="401"/>
        <item x="512"/>
        <item x="150"/>
        <item x="273"/>
        <item x="114"/>
        <item x="179"/>
        <item x="555"/>
        <item x="482"/>
        <item x="383"/>
        <item x="152"/>
        <item x="690"/>
        <item x="525"/>
        <item x="694"/>
        <item x="370"/>
        <item x="37"/>
        <item x="31"/>
        <item x="578"/>
        <item x="607"/>
        <item x="643"/>
        <item x="666"/>
        <item x="228"/>
        <item x="427"/>
        <item x="430"/>
        <item x="83"/>
        <item x="341"/>
        <item x="681"/>
        <item x="106"/>
        <item x="340"/>
        <item x="364"/>
        <item x="461"/>
        <item x="405"/>
        <item x="125"/>
        <item x="708"/>
        <item x="193"/>
        <item x="369"/>
        <item x="11"/>
        <item x="462"/>
        <item x="755"/>
        <item x="772"/>
        <item x="730"/>
        <item x="766"/>
        <item x="622"/>
        <item x="258"/>
        <item x="520"/>
        <item x="42"/>
        <item x="244"/>
        <item x="344"/>
        <item x="84"/>
        <item x="280"/>
        <item x="209"/>
        <item x="120"/>
        <item x="242"/>
        <item x="180"/>
        <item x="521"/>
        <item x="491"/>
        <item x="763"/>
        <item x="559"/>
        <item x="153"/>
        <item x="465"/>
        <item x="769"/>
        <item x="134"/>
        <item x="764"/>
        <item x="557"/>
        <item x="692"/>
        <item x="695"/>
        <item x="374"/>
        <item x="5"/>
        <item x="568"/>
        <item x="200"/>
        <item x="657"/>
        <item x="327"/>
        <item x="749"/>
        <item x="580"/>
        <item x="12"/>
        <item x="365"/>
        <item x="684"/>
        <item x="55"/>
        <item x="93"/>
        <item x="621"/>
        <item x="105"/>
        <item x="346"/>
        <item x="412"/>
        <item x="227"/>
        <item x="379"/>
        <item x="614"/>
        <item x="286"/>
        <item x="72"/>
        <item x="139"/>
        <item x="665"/>
        <item x="716"/>
        <item x="61"/>
        <item x="539"/>
        <item x="552"/>
        <item x="561"/>
        <item x="358"/>
        <item x="464"/>
        <item x="701"/>
        <item x="778"/>
        <item x="264"/>
        <item x="334"/>
        <item x="275"/>
        <item x="403"/>
        <item x="635"/>
        <item x="269"/>
        <item x="330"/>
        <item x="305"/>
        <item x="216"/>
        <item x="436"/>
        <item x="119"/>
        <item x="661"/>
        <item x="496"/>
        <item x="74"/>
        <item x="38"/>
        <item x="442"/>
        <item x="46"/>
        <item x="748"/>
        <item x="655"/>
        <item x="620"/>
        <item x="710"/>
        <item x="431"/>
        <item x="165"/>
        <item x="548"/>
        <item x="725"/>
        <item x="598"/>
        <item x="329"/>
        <item x="529"/>
        <item x="111"/>
        <item x="268"/>
        <item x="62"/>
        <item x="18"/>
        <item x="467"/>
        <item x="282"/>
        <item x="671"/>
        <item x="109"/>
        <item x="345"/>
        <item x="397"/>
        <item x="532"/>
        <item x="324"/>
        <item x="758"/>
        <item x="395"/>
        <item x="449"/>
        <item x="322"/>
        <item x="407"/>
        <item x="680"/>
        <item x="676"/>
        <item x="174"/>
        <item x="494"/>
        <item x="246"/>
        <item x="342"/>
        <item x="402"/>
        <item x="422"/>
        <item x="24"/>
        <item x="696"/>
        <item x="469"/>
        <item x="613"/>
        <item x="194"/>
        <item x="310"/>
        <item x="437"/>
        <item x="335"/>
        <item x="321"/>
        <item x="124"/>
        <item x="649"/>
        <item x="170"/>
        <item x="678"/>
        <item x="704"/>
        <item x="253"/>
        <item x="565"/>
        <item x="123"/>
        <item x="472"/>
        <item x="279"/>
        <item x="714"/>
        <item x="563"/>
        <item x="103"/>
        <item x="457"/>
        <item x="6"/>
        <item x="670"/>
        <item x="234"/>
        <item x="368"/>
        <item x="441"/>
        <item x="474"/>
        <item x="168"/>
        <item x="56"/>
        <item x="207"/>
        <item x="597"/>
        <item x="662"/>
        <item x="378"/>
        <item x="432"/>
        <item x="226"/>
        <item x="291"/>
        <item x="118"/>
        <item x="254"/>
        <item x="81"/>
        <item x="303"/>
        <item x="634"/>
        <item x="549"/>
        <item x="605"/>
        <item x="570"/>
        <item x="211"/>
        <item x="352"/>
        <item x="606"/>
        <item x="658"/>
        <item x="424"/>
        <item x="13"/>
        <item x="677"/>
        <item x="445"/>
        <item x="626"/>
        <item x="495"/>
        <item x="448"/>
        <item x="311"/>
        <item x="248"/>
        <item x="503"/>
        <item x="377"/>
        <item x="588"/>
        <item x="30"/>
        <item x="740"/>
        <item x="585"/>
        <item x="276"/>
        <item x="599"/>
        <item x="410"/>
        <item x="646"/>
        <item x="771"/>
        <item x="682"/>
        <item x="709"/>
        <item x="331"/>
        <item x="130"/>
        <item x="10"/>
        <item x="411"/>
        <item x="297"/>
        <item x="149"/>
        <item x="59"/>
        <item x="523"/>
        <item x="747"/>
        <item x="724"/>
        <item x="638"/>
        <item x="414"/>
        <item x="284"/>
        <item x="318"/>
        <item x="135"/>
        <item x="536"/>
        <item x="583"/>
        <item x="49"/>
        <item t="default"/>
      </items>
    </pivotField>
    <pivotField numFmtId="164" showAll="0"/>
    <pivotField showAll="0">
      <items count="4">
        <item x="1"/>
        <item x="0"/>
        <item x="2"/>
        <item t="default"/>
      </items>
    </pivotField>
    <pivotField showAll="0">
      <items count="6">
        <item x="3"/>
        <item x="0"/>
        <item x="4"/>
        <item x="1"/>
        <item x="2"/>
        <item t="default"/>
      </items>
    </pivotField>
    <pivotField showAll="0">
      <items count="9">
        <item x="7"/>
        <item x="2"/>
        <item x="3"/>
        <item x="5"/>
        <item x="1"/>
        <item x="6"/>
        <item x="4"/>
        <item x="0"/>
        <item t="default"/>
      </items>
    </pivotField>
    <pivotField showAll="0">
      <items count="9">
        <item x="2"/>
        <item x="5"/>
        <item x="1"/>
        <item x="6"/>
        <item x="7"/>
        <item x="0"/>
        <item x="4"/>
        <item x="3"/>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items count="6">
        <item x="0"/>
        <item x="4"/>
        <item x="1"/>
        <item x="3"/>
        <item x="2"/>
        <item t="default"/>
      </items>
    </pivotField>
    <pivotField showAll="0"/>
    <pivotField showAll="0">
      <items count="5">
        <item x="0"/>
        <item x="2"/>
        <item x="1"/>
        <item x="3"/>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dataFields count="1">
    <dataField name="Sum of Total_Cost" fld="27" baseField="0" baseItem="0" numFmtId="165"/>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6066749A-6ADB-419A-AE05-8B9806A1DF24}" sourceName="Ship_Mode">
  <pivotTables>
    <pivotTable tabId="2" name="PivotTable5"/>
    <pivotTable tabId="2" name="PivotTable1"/>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19"/>
    <pivotTable tabId="2" name="PivotTable2"/>
    <pivotTable tabId="2" name="PivotTable21"/>
    <pivotTable tabId="2" name="PivotTable22"/>
    <pivotTable tabId="2" name="PivotTable23"/>
    <pivotTable tabId="2" name="PivotTable3"/>
    <pivotTable tabId="2" name="PivotTable4"/>
    <pivotTable tabId="2" name="PivotTable8"/>
  </pivotTables>
  <data>
    <tabular pivotCacheId="822518946">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26B5907-990B-4F30-85A8-ADACC20E930F}" sourceName="Category">
  <pivotTables>
    <pivotTable tabId="2" name="PivotTable5"/>
    <pivotTable tabId="2" name="PivotTable1"/>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19"/>
    <pivotTable tabId="2" name="PivotTable2"/>
    <pivotTable tabId="2" name="PivotTable21"/>
    <pivotTable tabId="2" name="PivotTable22"/>
    <pivotTable tabId="2" name="PivotTable23"/>
    <pivotTable tabId="2" name="PivotTable3"/>
    <pivotTable tabId="2" name="PivotTable4"/>
    <pivotTable tabId="2" name="PivotTable8"/>
  </pivotTables>
  <data>
    <tabular pivotCacheId="822518946">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 xr10:uid="{A0D50201-FDCF-4E3B-ADDF-B35F1B380090}" sourceName="Supplier_Name">
  <pivotTables>
    <pivotTable tabId="2" name="PivotTable5"/>
    <pivotTable tabId="2" name="PivotTable1"/>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19"/>
    <pivotTable tabId="2" name="PivotTable2"/>
    <pivotTable tabId="2" name="PivotTable21"/>
    <pivotTable tabId="2" name="PivotTable22"/>
    <pivotTable tabId="2" name="PivotTable23"/>
    <pivotTable tabId="2" name="PivotTable3"/>
    <pivotTable tabId="2" name="PivotTable4"/>
    <pivotTable tabId="2" name="PivotTable8"/>
  </pivotTables>
  <data>
    <tabular pivotCacheId="822518946">
      <items count="5">
        <i x="0" s="1"/>
        <i x="4" s="1"/>
        <i x="1"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3FA20CA-BCEA-469D-87FC-B7DA0B992B81}" sourceName="Region">
  <pivotTables>
    <pivotTable tabId="2" name="PivotTable5"/>
    <pivotTable tabId="2" name="PivotTable1"/>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19"/>
    <pivotTable tabId="2" name="PivotTable2"/>
    <pivotTable tabId="2" name="PivotTable21"/>
    <pivotTable tabId="2" name="PivotTable22"/>
    <pivotTable tabId="2" name="PivotTable23"/>
    <pivotTable tabId="2" name="PivotTable3"/>
    <pivotTable tabId="2" name="PivotTable4"/>
    <pivotTable tabId="2" name="PivotTable8"/>
  </pivotTables>
  <data>
    <tabular pivotCacheId="822518946">
      <items count="5">
        <i x="3" s="1"/>
        <i x="0" s="1"/>
        <i x="4"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DF891CC-C91B-41A0-8130-5829FE89BAAD}" sourceName="City">
  <pivotTables>
    <pivotTable tabId="2" name="PivotTable5"/>
    <pivotTable tabId="2" name="PivotTable1"/>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19"/>
    <pivotTable tabId="2" name="PivotTable2"/>
    <pivotTable tabId="2" name="PivotTable21"/>
    <pivotTable tabId="2" name="PivotTable22"/>
    <pivotTable tabId="2" name="PivotTable23"/>
    <pivotTable tabId="2" name="PivotTable3"/>
    <pivotTable tabId="2" name="PivotTable4"/>
    <pivotTable tabId="2" name="PivotTable8"/>
  </pivotTables>
  <data>
    <tabular pivotCacheId="822518946">
      <items count="8">
        <i x="2" s="1"/>
        <i x="5" s="1"/>
        <i x="1" s="1"/>
        <i x="6" s="1"/>
        <i x="7" s="1"/>
        <i x="0" s="1"/>
        <i x="4"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6145ADA-6D32-49BF-8250-9B03BC1078F2}" sourceName="Country">
  <pivotTables>
    <pivotTable tabId="2" name="PivotTable5"/>
    <pivotTable tabId="2" name="PivotTable1"/>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19"/>
    <pivotTable tabId="2" name="PivotTable2"/>
    <pivotTable tabId="2" name="PivotTable21"/>
    <pivotTable tabId="2" name="PivotTable22"/>
    <pivotTable tabId="2" name="PivotTable23"/>
    <pivotTable tabId="2" name="PivotTable3"/>
    <pivotTable tabId="2" name="PivotTable4"/>
    <pivotTable tabId="2" name="PivotTable8"/>
  </pivotTables>
  <data>
    <tabular pivotCacheId="822518946">
      <items count="8">
        <i x="7" s="1"/>
        <i x="2" s="1"/>
        <i x="3" s="1"/>
        <i x="5" s="1"/>
        <i x="1" s="1"/>
        <i x="6"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_Mode" xr10:uid="{F4269DD7-9ADF-4B8A-9080-3AB8A191745E}" cache="Slicer_Ship_Mode" caption="Ship_Mode" style="SlicerStyleLight6" rowHeight="234950"/>
  <slicer name="Category" xr10:uid="{41FCCB7F-C57C-4D3D-ABD1-750D82EC5ACD}" cache="Slicer_Category" caption="Category" style="SlicerStyleLight6" rowHeight="234950"/>
  <slicer name="Supplier_Name" xr10:uid="{035E073E-BDC5-498F-8DB0-B199EF3A1B0B}" cache="Slicer_Supplier_Name" caption="Supplier_Name" style="SlicerStyleLight6" rowHeight="234950"/>
  <slicer name="Region" xr10:uid="{75265ABF-192B-446D-9EEA-936810DAEA06}" cache="Slicer_Region" caption="Region" style="SlicerStyleLight6" rowHeight="234950"/>
  <slicer name="City" xr10:uid="{ED9A903A-136E-4F93-988E-36CE49019265}" cache="Slicer_City" caption="City" style="SlicerStyleLight6" rowHeight="234950"/>
  <slicer name="Country" xr10:uid="{9BD4991B-44D7-4CBD-A27B-5CE35FCAD4EF}" cache="Slicer_Country" caption="Country"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547AB3-95B0-4437-969C-B16C725CD953}" name="Supply_Chain" displayName="Supply_Chain" ref="A1:AG1001" totalsRowShown="0" headerRowDxfId="11">
  <autoFilter ref="A1:AG1001" xr:uid="{73547AB3-95B0-4437-969C-B16C725CD953}"/>
  <tableColumns count="33">
    <tableColumn id="1" xr3:uid="{5F4894EA-4410-42E5-8B36-DC8F9A95158F}" name="Order_ID"/>
    <tableColumn id="2" xr3:uid="{F86218C0-EA40-484F-9012-CA0B1E15AA06}" name="Customer_ID"/>
    <tableColumn id="3" xr3:uid="{4FB36584-D4B0-4108-BF67-136625A5A396}" name="Order_Date" dataDxfId="10"/>
    <tableColumn id="4" xr3:uid="{3E1E0D13-A934-4279-9F41-46687A743F8C}" name="Ship_Date" dataDxfId="9"/>
    <tableColumn id="5" xr3:uid="{C38273FB-1739-4499-BD2A-DE6D205D0744}" name="Ship_Mode"/>
    <tableColumn id="6" xr3:uid="{3F1D1C0B-8FEA-4FC1-AB07-2FB571BB7C99}" name="Region"/>
    <tableColumn id="7" xr3:uid="{B3B55B34-2C15-43AF-B20B-9CB11B00D5FF}" name="Country"/>
    <tableColumn id="8" xr3:uid="{5D55ACDA-2EEA-4430-BC8E-59379CD7A995}" name="City"/>
    <tableColumn id="9" xr3:uid="{87F5D886-8E5A-4E1F-B199-A74E68180486}" name="Product ID"/>
    <tableColumn id="10" xr3:uid="{2186F832-66C3-43C3-AA96-B0FD2A2BA8D6}" name="Category"/>
    <tableColumn id="11" xr3:uid="{74DCBA9D-3070-4188-8398-634D7A0342FB}" name="Sub-Category"/>
    <tableColumn id="12" xr3:uid="{AF0360E2-0938-4292-93CC-011DC81B2E87}" name="Product Name"/>
    <tableColumn id="13" xr3:uid="{3E86D82E-0C2E-464F-AC76-2E6B620B65D1}" name="Unit_Price"/>
    <tableColumn id="14" xr3:uid="{B1C173F5-170C-4A94-83F6-94BD0CBC87A9}" name="Quantity"/>
    <tableColumn id="32" xr3:uid="{7F6285A8-8F6F-4874-BF28-0E3EB3AE39FF}" name="Total_Sales_Rev" dataDxfId="8">
      <calculatedColumnFormula>Supply_Chain[[#This Row],[Unit_Price]]*Supply_Chain[[#This Row],[Quantity]]</calculatedColumnFormula>
    </tableColumn>
    <tableColumn id="15" xr3:uid="{13CC3314-2F74-4D30-92AE-3C87E2A1AFBE}" name="Supplier_ID"/>
    <tableColumn id="16" xr3:uid="{829C2423-D05A-403C-B582-BB8FA24F8E60}" name="Supplier_Name"/>
    <tableColumn id="17" xr3:uid="{B77C1A73-2156-4E42-A616-9A8BD5E441E7}" name="Warehouse_ID"/>
    <tableColumn id="18" xr3:uid="{E2B17E38-FCA1-405C-97BF-5BFEED3D9797}" name="Transport_Mode"/>
    <tableColumn id="19" xr3:uid="{F02EC4E6-679B-46DB-8929-4BA42C843587}" name="Carrier"/>
    <tableColumn id="20" xr3:uid="{647E9FBD-235E-445D-9433-C3D1AC12F0AE}" name="Route"/>
    <tableColumn id="21" xr3:uid="{D5AC20AE-3CAD-44A2-9C82-57DBE78E47BA}" name="Stock_On_Hand"/>
    <tableColumn id="22" xr3:uid="{F6DB05EF-F04D-4493-9D14-F3C5CC542DFA}" name="Reorder_Level"/>
    <tableColumn id="23" xr3:uid="{1A01FAE0-391A-40B9-9AF8-A4110C357825}" name="Lead_Time_Days"/>
    <tableColumn id="24" xr3:uid="{6802A9FD-6157-4CAC-9E7C-86122B57F96E}" name="Procurement_Cost"/>
    <tableColumn id="25" xr3:uid="{D4AE3BC4-16A6-408E-9310-8DC3D517376C}" name="Transportation_Cost"/>
    <tableColumn id="26" xr3:uid="{4F1E62AC-AEA0-4856-9E78-046F93C1A190}" name="Total_Cost" dataDxfId="7"/>
    <tableColumn id="27" xr3:uid="{A4BACD40-E72E-4502-A512-8BF81D072888}" name="Delivery_Status"/>
    <tableColumn id="28" xr3:uid="{6BA6F27A-2196-4609-80B8-1DB5A77182FA}" name="Delay_Days"/>
    <tableColumn id="29" xr3:uid="{EA09CC41-1982-49DF-AA20-4DC371B428E6}" name="Fill_Rate"/>
    <tableColumn id="30" xr3:uid="{47CB5DCE-0452-4C6E-BFFE-DEEE2A58ADA1}" name="Forecast_Demand"/>
    <tableColumn id="31" xr3:uid="{A4345523-0D4C-499B-A575-E0C516B679A4}" name="Actual_Demand"/>
    <tableColumn id="34" xr3:uid="{7694B396-15C7-42E2-864F-ACD610B1EDF5}" name="Inventory Turnover Ratio " dataDxfId="6">
      <calculatedColumnFormula>Supply_Chain[[#This Row],[Total_Cost]]/Supply_Chain[[#This Row],[Stock_On_Hand]]</calculatedColumnFormula>
    </tableColumn>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Madison">
  <a:themeElements>
    <a:clrScheme name="Madison">
      <a:dk1>
        <a:sysClr val="windowText" lastClr="000000"/>
      </a:dk1>
      <a:lt1>
        <a:sysClr val="window" lastClr="FFFFFF"/>
      </a:lt1>
      <a:dk2>
        <a:srgbClr val="1F2D29"/>
      </a:dk2>
      <a:lt2>
        <a:srgbClr val="C5FAEB"/>
      </a:lt2>
      <a:accent1>
        <a:srgbClr val="A1D68B"/>
      </a:accent1>
      <a:accent2>
        <a:srgbClr val="5EC795"/>
      </a:accent2>
      <a:accent3>
        <a:srgbClr val="4DADCF"/>
      </a:accent3>
      <a:accent4>
        <a:srgbClr val="CDB756"/>
      </a:accent4>
      <a:accent5>
        <a:srgbClr val="E29C36"/>
      </a:accent5>
      <a:accent6>
        <a:srgbClr val="8EC0C1"/>
      </a:accent6>
      <a:hlink>
        <a:srgbClr val="6D9D9B"/>
      </a:hlink>
      <a:folHlink>
        <a:srgbClr val="6D8583"/>
      </a:folHlink>
    </a:clrScheme>
    <a:fontScheme name="Madison">
      <a:majorFont>
        <a:latin typeface="Arial" panose="020B0604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panose="020B0604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Madison">
      <a:fillStyleLst>
        <a:solidFill>
          <a:schemeClr val="phClr"/>
        </a:solidFill>
        <a:gradFill rotWithShape="1">
          <a:gsLst>
            <a:gs pos="0">
              <a:schemeClr val="phClr">
                <a:tint val="48000"/>
                <a:alpha val="88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4000"/>
                <a:satMod val="130000"/>
                <a:lumMod val="92000"/>
              </a:schemeClr>
            </a:gs>
            <a:gs pos="100000">
              <a:schemeClr val="phClr">
                <a:shade val="76000"/>
                <a:satMod val="130000"/>
                <a:lumMod val="88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blipFill rotWithShape="1">
          <a:blip xmlns:r="http://schemas.openxmlformats.org/officeDocument/2006/relationships" r:embed="rId1"/>
          <a:stretch/>
        </a:blipFill>
      </a:bgFillStyleLst>
    </a:fmtScheme>
  </a:themeElements>
  <a:objectDefaults/>
  <a:extraClrSchemeLst/>
  <a:extLst>
    <a:ext uri="{05A4C25C-085E-4340-85A3-A5531E510DB2}">
      <thm15:themeFamily xmlns:thm15="http://schemas.microsoft.com/office/thememl/2012/main" name="Madison" id="{025CB5FB-2DD3-45EE-B6F0-CC461540EB19}" vid="{6AC10936-2DFC-4054-9ADF-B5E2C5F86190}"/>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0195"/>
  <sheetViews>
    <sheetView topLeftCell="P1" workbookViewId="0">
      <selection activeCell="R21" sqref="R21"/>
    </sheetView>
  </sheetViews>
  <sheetFormatPr defaultRowHeight="13.8" x14ac:dyDescent="0.25"/>
  <cols>
    <col min="1" max="1" width="12.8984375" customWidth="1"/>
    <col min="2" max="2" width="16.296875" customWidth="1"/>
    <col min="3" max="4" width="18" customWidth="1"/>
    <col min="5" max="5" width="15" customWidth="1"/>
    <col min="6" max="6" width="12.796875" customWidth="1"/>
    <col min="7" max="7" width="12.09765625" customWidth="1"/>
    <col min="8" max="8" width="10" customWidth="1"/>
    <col min="9" max="9" width="16.296875" customWidth="1"/>
    <col min="10" max="10" width="13" customWidth="1"/>
    <col min="11" max="11" width="14.59765625" customWidth="1"/>
    <col min="12" max="12" width="90.09765625" customWidth="1"/>
    <col min="13" max="13" width="14" customWidth="1"/>
    <col min="14" max="14" width="12.69921875" customWidth="1"/>
    <col min="15" max="15" width="19" customWidth="1"/>
    <col min="16" max="16" width="15" customWidth="1"/>
    <col min="17" max="17" width="18.3984375" customWidth="1"/>
    <col min="18" max="18" width="17.796875" customWidth="1"/>
    <col min="19" max="19" width="19.59765625" customWidth="1"/>
    <col min="20" max="20" width="10.8984375" customWidth="1"/>
    <col min="21" max="21" width="20" customWidth="1"/>
    <col min="22" max="22" width="19" customWidth="1"/>
    <col min="23" max="23" width="17.5" customWidth="1"/>
    <col min="24" max="24" width="19.59765625" customWidth="1"/>
    <col min="25" max="25" width="21.09765625" customWidth="1"/>
    <col min="26" max="26" width="22.69921875" customWidth="1"/>
    <col min="27" max="27" width="14.296875" style="9" customWidth="1"/>
    <col min="28" max="28" width="18.5" customWidth="1"/>
    <col min="29" max="29" width="15" customWidth="1"/>
    <col min="30" max="30" width="12.3984375" customWidth="1"/>
    <col min="31" max="31" width="20.59765625" customWidth="1"/>
    <col min="32" max="32" width="18.8984375" customWidth="1"/>
    <col min="33" max="33" width="27.296875" style="11" customWidth="1"/>
  </cols>
  <sheetData>
    <row r="1" spans="1:33" ht="14.4" x14ac:dyDescent="0.25">
      <c r="A1" s="2" t="s">
        <v>0</v>
      </c>
      <c r="B1" s="2" t="s">
        <v>1</v>
      </c>
      <c r="C1" s="2" t="s">
        <v>2</v>
      </c>
      <c r="D1" s="2" t="s">
        <v>3</v>
      </c>
      <c r="E1" s="2" t="s">
        <v>4</v>
      </c>
      <c r="F1" s="2" t="s">
        <v>5</v>
      </c>
      <c r="G1" s="2" t="s">
        <v>6</v>
      </c>
      <c r="H1" s="2" t="s">
        <v>7</v>
      </c>
      <c r="I1" s="3" t="s">
        <v>2738</v>
      </c>
      <c r="J1" s="3" t="s">
        <v>8</v>
      </c>
      <c r="K1" s="3" t="s">
        <v>3520</v>
      </c>
      <c r="L1" s="3" t="s">
        <v>3538</v>
      </c>
      <c r="M1" s="2" t="s">
        <v>9</v>
      </c>
      <c r="N1" s="2" t="s">
        <v>10</v>
      </c>
      <c r="O1" s="10" t="s">
        <v>4317</v>
      </c>
      <c r="P1" s="2" t="s">
        <v>11</v>
      </c>
      <c r="Q1" s="2" t="s">
        <v>12</v>
      </c>
      <c r="R1" s="2" t="s">
        <v>13</v>
      </c>
      <c r="S1" s="2" t="s">
        <v>14</v>
      </c>
      <c r="T1" s="2" t="s">
        <v>15</v>
      </c>
      <c r="U1" s="2" t="s">
        <v>16</v>
      </c>
      <c r="V1" s="2" t="s">
        <v>17</v>
      </c>
      <c r="W1" s="2" t="s">
        <v>18</v>
      </c>
      <c r="X1" s="2" t="s">
        <v>19</v>
      </c>
      <c r="Y1" s="2" t="s">
        <v>20</v>
      </c>
      <c r="Z1" s="2" t="s">
        <v>21</v>
      </c>
      <c r="AA1" s="8" t="s">
        <v>22</v>
      </c>
      <c r="AB1" s="2" t="s">
        <v>23</v>
      </c>
      <c r="AC1" s="2" t="s">
        <v>24</v>
      </c>
      <c r="AD1" s="2" t="s">
        <v>25</v>
      </c>
      <c r="AE1" s="2" t="s">
        <v>26</v>
      </c>
      <c r="AF1" s="2" t="s">
        <v>27</v>
      </c>
      <c r="AG1" s="12" t="s">
        <v>4321</v>
      </c>
    </row>
    <row r="2" spans="1:33" x14ac:dyDescent="0.25">
      <c r="A2" t="s">
        <v>28</v>
      </c>
      <c r="B2" t="s">
        <v>29</v>
      </c>
      <c r="C2" s="1">
        <v>44823</v>
      </c>
      <c r="D2" s="1">
        <v>44160</v>
      </c>
      <c r="E2" t="s">
        <v>30</v>
      </c>
      <c r="F2" t="s">
        <v>31</v>
      </c>
      <c r="G2" t="s">
        <v>32</v>
      </c>
      <c r="H2" t="s">
        <v>33</v>
      </c>
      <c r="I2" s="3" t="s">
        <v>2739</v>
      </c>
      <c r="J2" s="3" t="s">
        <v>3518</v>
      </c>
      <c r="K2" s="3" t="s">
        <v>3521</v>
      </c>
      <c r="L2" s="3" t="s">
        <v>3539</v>
      </c>
      <c r="M2">
        <v>373.69</v>
      </c>
      <c r="N2">
        <v>55</v>
      </c>
      <c r="O2">
        <f>Supply_Chain[[#This Row],[Unit_Price]]*Supply_Chain[[#This Row],[Quantity]]</f>
        <v>20552.95</v>
      </c>
      <c r="P2" t="s">
        <v>34</v>
      </c>
      <c r="Q2" t="s">
        <v>35</v>
      </c>
      <c r="R2" t="s">
        <v>36</v>
      </c>
      <c r="S2" t="s">
        <v>37</v>
      </c>
      <c r="T2" t="s">
        <v>38</v>
      </c>
      <c r="U2" t="s">
        <v>39</v>
      </c>
      <c r="V2">
        <v>4259</v>
      </c>
      <c r="W2">
        <v>214</v>
      </c>
      <c r="X2">
        <v>9</v>
      </c>
      <c r="Y2">
        <v>1474.56</v>
      </c>
      <c r="Z2">
        <v>406.15</v>
      </c>
      <c r="AA2" s="9">
        <v>1880.71</v>
      </c>
      <c r="AB2" t="s">
        <v>40</v>
      </c>
      <c r="AC2">
        <v>8</v>
      </c>
      <c r="AD2">
        <v>93.39</v>
      </c>
      <c r="AE2">
        <v>341</v>
      </c>
      <c r="AF2">
        <v>291</v>
      </c>
      <c r="AG2" s="11">
        <f>Supply_Chain[[#This Row],[Total_Cost]]/Supply_Chain[[#This Row],[Stock_On_Hand]]</f>
        <v>0.44158487907959615</v>
      </c>
    </row>
    <row r="3" spans="1:33" x14ac:dyDescent="0.25">
      <c r="A3" t="s">
        <v>41</v>
      </c>
      <c r="B3" t="s">
        <v>42</v>
      </c>
      <c r="C3" s="1">
        <v>44555</v>
      </c>
      <c r="D3" s="1">
        <v>44119</v>
      </c>
      <c r="E3" t="s">
        <v>43</v>
      </c>
      <c r="F3" t="s">
        <v>44</v>
      </c>
      <c r="G3" t="s">
        <v>45</v>
      </c>
      <c r="H3" t="s">
        <v>46</v>
      </c>
      <c r="I3" s="3" t="s">
        <v>2740</v>
      </c>
      <c r="J3" s="3" t="s">
        <v>3518</v>
      </c>
      <c r="K3" s="3" t="s">
        <v>3522</v>
      </c>
      <c r="L3" s="3" t="s">
        <v>3540</v>
      </c>
      <c r="M3">
        <v>264.69</v>
      </c>
      <c r="N3">
        <v>3</v>
      </c>
      <c r="O3">
        <f>Supply_Chain[[#This Row],[Unit_Price]]*Supply_Chain[[#This Row],[Quantity]]</f>
        <v>794.06999999999994</v>
      </c>
      <c r="P3" t="s">
        <v>47</v>
      </c>
      <c r="Q3" t="s">
        <v>48</v>
      </c>
      <c r="R3" t="s">
        <v>49</v>
      </c>
      <c r="S3" t="s">
        <v>50</v>
      </c>
      <c r="T3" t="s">
        <v>38</v>
      </c>
      <c r="U3" t="s">
        <v>51</v>
      </c>
      <c r="V3">
        <v>1173</v>
      </c>
      <c r="W3">
        <v>386</v>
      </c>
      <c r="X3">
        <v>24</v>
      </c>
      <c r="Y3">
        <v>1874.56</v>
      </c>
      <c r="Z3">
        <v>421.77</v>
      </c>
      <c r="AA3" s="9">
        <v>2296.33</v>
      </c>
      <c r="AB3" t="s">
        <v>52</v>
      </c>
      <c r="AC3">
        <v>0</v>
      </c>
      <c r="AD3">
        <v>95.29</v>
      </c>
      <c r="AE3">
        <v>482</v>
      </c>
      <c r="AF3">
        <v>477</v>
      </c>
      <c r="AG3" s="11">
        <f>Supply_Chain[[#This Row],[Total_Cost]]/Supply_Chain[[#This Row],[Stock_On_Hand]]</f>
        <v>1.9576555839727194</v>
      </c>
    </row>
    <row r="4" spans="1:33" x14ac:dyDescent="0.25">
      <c r="A4" t="s">
        <v>53</v>
      </c>
      <c r="B4" t="s">
        <v>54</v>
      </c>
      <c r="C4" s="1">
        <v>44045</v>
      </c>
      <c r="D4" s="1">
        <v>45123</v>
      </c>
      <c r="E4" t="s">
        <v>55</v>
      </c>
      <c r="F4" t="s">
        <v>44</v>
      </c>
      <c r="G4" t="s">
        <v>56</v>
      </c>
      <c r="H4" t="s">
        <v>57</v>
      </c>
      <c r="I4" s="3" t="s">
        <v>2741</v>
      </c>
      <c r="J4" s="3" t="s">
        <v>3518</v>
      </c>
      <c r="K4" s="3" t="s">
        <v>3523</v>
      </c>
      <c r="L4" s="3" t="s">
        <v>3541</v>
      </c>
      <c r="M4">
        <v>497.44</v>
      </c>
      <c r="N4">
        <v>80</v>
      </c>
      <c r="O4">
        <f>Supply_Chain[[#This Row],[Unit_Price]]*Supply_Chain[[#This Row],[Quantity]]</f>
        <v>39795.199999999997</v>
      </c>
      <c r="P4" t="s">
        <v>58</v>
      </c>
      <c r="Q4" t="s">
        <v>35</v>
      </c>
      <c r="R4" t="s">
        <v>59</v>
      </c>
      <c r="S4" t="s">
        <v>37</v>
      </c>
      <c r="T4" t="s">
        <v>60</v>
      </c>
      <c r="U4" t="s">
        <v>61</v>
      </c>
      <c r="V4">
        <v>588</v>
      </c>
      <c r="W4">
        <v>398</v>
      </c>
      <c r="X4">
        <v>27</v>
      </c>
      <c r="Y4">
        <v>439.67</v>
      </c>
      <c r="Z4">
        <v>289.19</v>
      </c>
      <c r="AA4" s="9">
        <v>728.86</v>
      </c>
      <c r="AB4" t="s">
        <v>52</v>
      </c>
      <c r="AC4">
        <v>0</v>
      </c>
      <c r="AD4">
        <v>76.63</v>
      </c>
      <c r="AE4">
        <v>461</v>
      </c>
      <c r="AF4">
        <v>476</v>
      </c>
      <c r="AG4" s="11">
        <f>Supply_Chain[[#This Row],[Total_Cost]]/Supply_Chain[[#This Row],[Stock_On_Hand]]</f>
        <v>1.2395578231292517</v>
      </c>
    </row>
    <row r="5" spans="1:33" x14ac:dyDescent="0.25">
      <c r="A5" t="s">
        <v>62</v>
      </c>
      <c r="B5" t="s">
        <v>63</v>
      </c>
      <c r="C5" s="1">
        <v>44845</v>
      </c>
      <c r="D5" s="1">
        <v>44888</v>
      </c>
      <c r="E5" t="s">
        <v>43</v>
      </c>
      <c r="F5" t="s">
        <v>64</v>
      </c>
      <c r="G5" t="s">
        <v>65</v>
      </c>
      <c r="H5" t="s">
        <v>66</v>
      </c>
      <c r="I5" s="3" t="s">
        <v>2742</v>
      </c>
      <c r="J5" s="3" t="s">
        <v>3518</v>
      </c>
      <c r="K5" s="3" t="s">
        <v>3524</v>
      </c>
      <c r="L5" s="3" t="s">
        <v>3542</v>
      </c>
      <c r="M5">
        <v>266.87</v>
      </c>
      <c r="N5">
        <v>44</v>
      </c>
      <c r="O5">
        <f>Supply_Chain[[#This Row],[Unit_Price]]*Supply_Chain[[#This Row],[Quantity]]</f>
        <v>11742.28</v>
      </c>
      <c r="P5" t="s">
        <v>67</v>
      </c>
      <c r="Q5" t="s">
        <v>68</v>
      </c>
      <c r="R5" t="s">
        <v>69</v>
      </c>
      <c r="S5" t="s">
        <v>70</v>
      </c>
      <c r="T5" t="s">
        <v>71</v>
      </c>
      <c r="U5" t="s">
        <v>72</v>
      </c>
      <c r="V5">
        <v>4700</v>
      </c>
      <c r="W5">
        <v>381</v>
      </c>
      <c r="X5">
        <v>29</v>
      </c>
      <c r="Y5">
        <v>1378.1</v>
      </c>
      <c r="Z5">
        <v>321.73</v>
      </c>
      <c r="AA5" s="9">
        <v>1699.83</v>
      </c>
      <c r="AB5" t="s">
        <v>52</v>
      </c>
      <c r="AC5">
        <v>0</v>
      </c>
      <c r="AD5">
        <v>85.24</v>
      </c>
      <c r="AE5">
        <v>150</v>
      </c>
      <c r="AF5">
        <v>198</v>
      </c>
      <c r="AG5" s="11">
        <f>Supply_Chain[[#This Row],[Total_Cost]]/Supply_Chain[[#This Row],[Stock_On_Hand]]</f>
        <v>0.36166595744680852</v>
      </c>
    </row>
    <row r="6" spans="1:33" x14ac:dyDescent="0.25">
      <c r="A6" t="s">
        <v>73</v>
      </c>
      <c r="B6" t="s">
        <v>74</v>
      </c>
      <c r="C6" s="1">
        <v>44403</v>
      </c>
      <c r="D6" s="1">
        <v>45340</v>
      </c>
      <c r="E6" t="s">
        <v>55</v>
      </c>
      <c r="F6" t="s">
        <v>75</v>
      </c>
      <c r="G6" t="s">
        <v>76</v>
      </c>
      <c r="H6" t="s">
        <v>46</v>
      </c>
      <c r="I6" s="3" t="s">
        <v>2743</v>
      </c>
      <c r="J6" s="3" t="s">
        <v>3518</v>
      </c>
      <c r="K6" s="3" t="s">
        <v>3525</v>
      </c>
      <c r="L6" s="3" t="s">
        <v>3543</v>
      </c>
      <c r="M6">
        <v>360.94</v>
      </c>
      <c r="N6">
        <v>18</v>
      </c>
      <c r="O6">
        <f>Supply_Chain[[#This Row],[Unit_Price]]*Supply_Chain[[#This Row],[Quantity]]</f>
        <v>6496.92</v>
      </c>
      <c r="P6" t="s">
        <v>77</v>
      </c>
      <c r="Q6" t="s">
        <v>48</v>
      </c>
      <c r="R6" t="s">
        <v>78</v>
      </c>
      <c r="S6" t="s">
        <v>70</v>
      </c>
      <c r="T6" t="s">
        <v>79</v>
      </c>
      <c r="U6" t="s">
        <v>80</v>
      </c>
      <c r="V6">
        <v>1795</v>
      </c>
      <c r="W6">
        <v>415</v>
      </c>
      <c r="X6">
        <v>27</v>
      </c>
      <c r="Y6">
        <v>861.29</v>
      </c>
      <c r="Z6">
        <v>351.29</v>
      </c>
      <c r="AA6" s="9">
        <v>1212.58</v>
      </c>
      <c r="AB6" t="s">
        <v>52</v>
      </c>
      <c r="AC6">
        <v>0</v>
      </c>
      <c r="AD6">
        <v>86.44</v>
      </c>
      <c r="AE6">
        <v>89</v>
      </c>
      <c r="AF6">
        <v>93</v>
      </c>
      <c r="AG6" s="11">
        <f>Supply_Chain[[#This Row],[Total_Cost]]/Supply_Chain[[#This Row],[Stock_On_Hand]]</f>
        <v>0.67553203342618384</v>
      </c>
    </row>
    <row r="7" spans="1:33" x14ac:dyDescent="0.25">
      <c r="A7" t="s">
        <v>81</v>
      </c>
      <c r="B7" t="s">
        <v>82</v>
      </c>
      <c r="C7" s="1">
        <v>45254</v>
      </c>
      <c r="D7" s="1">
        <v>44602</v>
      </c>
      <c r="E7" t="s">
        <v>43</v>
      </c>
      <c r="F7" t="s">
        <v>44</v>
      </c>
      <c r="G7" t="s">
        <v>83</v>
      </c>
      <c r="H7" t="s">
        <v>33</v>
      </c>
      <c r="I7" s="3" t="s">
        <v>2744</v>
      </c>
      <c r="J7" s="3" t="s">
        <v>84</v>
      </c>
      <c r="K7" s="3" t="s">
        <v>3526</v>
      </c>
      <c r="L7" s="3" t="s">
        <v>3544</v>
      </c>
      <c r="M7">
        <v>172.93</v>
      </c>
      <c r="N7">
        <v>35</v>
      </c>
      <c r="O7">
        <f>Supply_Chain[[#This Row],[Unit_Price]]*Supply_Chain[[#This Row],[Quantity]]</f>
        <v>6052.55</v>
      </c>
      <c r="P7" t="s">
        <v>85</v>
      </c>
      <c r="Q7" t="s">
        <v>86</v>
      </c>
      <c r="R7" t="s">
        <v>87</v>
      </c>
      <c r="S7" t="s">
        <v>50</v>
      </c>
      <c r="T7" t="s">
        <v>60</v>
      </c>
      <c r="U7" t="s">
        <v>88</v>
      </c>
      <c r="V7">
        <v>1159</v>
      </c>
      <c r="W7">
        <v>228</v>
      </c>
      <c r="X7">
        <v>13</v>
      </c>
      <c r="Y7">
        <v>690.34</v>
      </c>
      <c r="Z7">
        <v>410.07</v>
      </c>
      <c r="AA7" s="9">
        <v>1100.4100000000001</v>
      </c>
      <c r="AB7" t="s">
        <v>52</v>
      </c>
      <c r="AC7">
        <v>0</v>
      </c>
      <c r="AD7">
        <v>88.12</v>
      </c>
      <c r="AE7">
        <v>348</v>
      </c>
      <c r="AF7">
        <v>325</v>
      </c>
      <c r="AG7" s="11">
        <f>Supply_Chain[[#This Row],[Total_Cost]]/Supply_Chain[[#This Row],[Stock_On_Hand]]</f>
        <v>0.94944779982743754</v>
      </c>
    </row>
    <row r="8" spans="1:33" x14ac:dyDescent="0.25">
      <c r="A8" t="s">
        <v>89</v>
      </c>
      <c r="B8" t="s">
        <v>90</v>
      </c>
      <c r="C8" s="1">
        <v>45515</v>
      </c>
      <c r="D8" s="1">
        <v>45601</v>
      </c>
      <c r="E8" t="s">
        <v>55</v>
      </c>
      <c r="F8" t="s">
        <v>75</v>
      </c>
      <c r="G8" t="s">
        <v>91</v>
      </c>
      <c r="H8" t="s">
        <v>92</v>
      </c>
      <c r="I8" s="3" t="s">
        <v>2745</v>
      </c>
      <c r="J8" s="3" t="s">
        <v>3518</v>
      </c>
      <c r="K8" s="3" t="s">
        <v>3525</v>
      </c>
      <c r="L8" s="3" t="s">
        <v>3545</v>
      </c>
      <c r="M8">
        <v>103.93</v>
      </c>
      <c r="N8">
        <v>38</v>
      </c>
      <c r="O8">
        <f>Supply_Chain[[#This Row],[Unit_Price]]*Supply_Chain[[#This Row],[Quantity]]</f>
        <v>3949.34</v>
      </c>
      <c r="P8" t="s">
        <v>93</v>
      </c>
      <c r="Q8" t="s">
        <v>68</v>
      </c>
      <c r="R8" t="s">
        <v>94</v>
      </c>
      <c r="S8" t="s">
        <v>70</v>
      </c>
      <c r="T8" t="s">
        <v>71</v>
      </c>
      <c r="U8" t="s">
        <v>95</v>
      </c>
      <c r="V8">
        <v>3330</v>
      </c>
      <c r="W8">
        <v>425</v>
      </c>
      <c r="X8">
        <v>28</v>
      </c>
      <c r="Y8">
        <v>1828.88</v>
      </c>
      <c r="Z8">
        <v>314.18</v>
      </c>
      <c r="AA8" s="9">
        <v>2143.06</v>
      </c>
      <c r="AB8" t="s">
        <v>52</v>
      </c>
      <c r="AC8">
        <v>0</v>
      </c>
      <c r="AD8">
        <v>93.23</v>
      </c>
      <c r="AE8">
        <v>488</v>
      </c>
      <c r="AF8">
        <v>511</v>
      </c>
      <c r="AG8" s="11">
        <f>Supply_Chain[[#This Row],[Total_Cost]]/Supply_Chain[[#This Row],[Stock_On_Hand]]</f>
        <v>0.64356156156156152</v>
      </c>
    </row>
    <row r="9" spans="1:33" x14ac:dyDescent="0.25">
      <c r="A9" t="s">
        <v>96</v>
      </c>
      <c r="B9" t="s">
        <v>97</v>
      </c>
      <c r="C9" s="1">
        <v>44286</v>
      </c>
      <c r="D9" s="1">
        <v>44938</v>
      </c>
      <c r="E9" t="s">
        <v>55</v>
      </c>
      <c r="F9" t="s">
        <v>31</v>
      </c>
      <c r="G9" t="s">
        <v>65</v>
      </c>
      <c r="H9" t="s">
        <v>33</v>
      </c>
      <c r="I9" s="3" t="s">
        <v>2746</v>
      </c>
      <c r="J9" s="3" t="s">
        <v>3518</v>
      </c>
      <c r="K9" s="3" t="s">
        <v>3525</v>
      </c>
      <c r="L9" s="3" t="s">
        <v>3546</v>
      </c>
      <c r="M9">
        <v>130.35</v>
      </c>
      <c r="N9">
        <v>32</v>
      </c>
      <c r="O9">
        <f>Supply_Chain[[#This Row],[Unit_Price]]*Supply_Chain[[#This Row],[Quantity]]</f>
        <v>4171.2</v>
      </c>
      <c r="P9" t="s">
        <v>98</v>
      </c>
      <c r="Q9" t="s">
        <v>35</v>
      </c>
      <c r="R9" t="s">
        <v>99</v>
      </c>
      <c r="S9" t="s">
        <v>50</v>
      </c>
      <c r="T9" t="s">
        <v>100</v>
      </c>
      <c r="U9" t="s">
        <v>101</v>
      </c>
      <c r="V9">
        <v>4252</v>
      </c>
      <c r="W9">
        <v>229</v>
      </c>
      <c r="X9">
        <v>22</v>
      </c>
      <c r="Y9">
        <v>468.41</v>
      </c>
      <c r="Z9">
        <v>453.18</v>
      </c>
      <c r="AA9" s="9">
        <v>921.59</v>
      </c>
      <c r="AB9" t="s">
        <v>52</v>
      </c>
      <c r="AC9">
        <v>0</v>
      </c>
      <c r="AD9">
        <v>86.46</v>
      </c>
      <c r="AE9">
        <v>425</v>
      </c>
      <c r="AF9">
        <v>378</v>
      </c>
      <c r="AG9" s="11">
        <f>Supply_Chain[[#This Row],[Total_Cost]]/Supply_Chain[[#This Row],[Stock_On_Hand]]</f>
        <v>0.21674270931326436</v>
      </c>
    </row>
    <row r="10" spans="1:33" x14ac:dyDescent="0.25">
      <c r="A10" t="s">
        <v>102</v>
      </c>
      <c r="B10" t="s">
        <v>103</v>
      </c>
      <c r="C10" s="1">
        <v>44920</v>
      </c>
      <c r="D10" s="1">
        <v>45145</v>
      </c>
      <c r="E10" t="s">
        <v>43</v>
      </c>
      <c r="F10" t="s">
        <v>31</v>
      </c>
      <c r="G10" t="s">
        <v>65</v>
      </c>
      <c r="H10" t="s">
        <v>46</v>
      </c>
      <c r="I10" s="3" t="s">
        <v>2747</v>
      </c>
      <c r="J10" s="3" t="s">
        <v>3518</v>
      </c>
      <c r="K10" s="3" t="s">
        <v>3522</v>
      </c>
      <c r="L10" s="3" t="s">
        <v>3547</v>
      </c>
      <c r="M10">
        <v>45.53</v>
      </c>
      <c r="N10">
        <v>27</v>
      </c>
      <c r="O10">
        <f>Supply_Chain[[#This Row],[Unit_Price]]*Supply_Chain[[#This Row],[Quantity]]</f>
        <v>1229.31</v>
      </c>
      <c r="P10" t="s">
        <v>104</v>
      </c>
      <c r="Q10" t="s">
        <v>35</v>
      </c>
      <c r="R10" t="s">
        <v>105</v>
      </c>
      <c r="S10" t="s">
        <v>70</v>
      </c>
      <c r="T10" t="s">
        <v>100</v>
      </c>
      <c r="U10" t="s">
        <v>106</v>
      </c>
      <c r="V10">
        <v>1395</v>
      </c>
      <c r="W10">
        <v>419</v>
      </c>
      <c r="X10">
        <v>27</v>
      </c>
      <c r="Y10">
        <v>1249.0999999999999</v>
      </c>
      <c r="Z10">
        <v>147.27000000000001</v>
      </c>
      <c r="AA10" s="9">
        <v>1396.37</v>
      </c>
      <c r="AB10" t="s">
        <v>40</v>
      </c>
      <c r="AC10">
        <v>5</v>
      </c>
      <c r="AD10">
        <v>98.59</v>
      </c>
      <c r="AE10">
        <v>379</v>
      </c>
      <c r="AF10">
        <v>402</v>
      </c>
      <c r="AG10" s="11">
        <f>Supply_Chain[[#This Row],[Total_Cost]]/Supply_Chain[[#This Row],[Stock_On_Hand]]</f>
        <v>1.0009820788530466</v>
      </c>
    </row>
    <row r="11" spans="1:33" x14ac:dyDescent="0.25">
      <c r="A11" t="s">
        <v>107</v>
      </c>
      <c r="B11" t="s">
        <v>108</v>
      </c>
      <c r="C11" s="1">
        <v>43854</v>
      </c>
      <c r="D11" s="1">
        <v>44262</v>
      </c>
      <c r="E11" t="s">
        <v>43</v>
      </c>
      <c r="F11" t="s">
        <v>31</v>
      </c>
      <c r="G11" t="s">
        <v>83</v>
      </c>
      <c r="H11" t="s">
        <v>33</v>
      </c>
      <c r="I11" s="3" t="s">
        <v>2748</v>
      </c>
      <c r="J11" s="3" t="s">
        <v>3518</v>
      </c>
      <c r="K11" s="3" t="s">
        <v>3527</v>
      </c>
      <c r="L11" s="3" t="s">
        <v>3548</v>
      </c>
      <c r="M11">
        <v>65.62</v>
      </c>
      <c r="N11">
        <v>65</v>
      </c>
      <c r="O11">
        <f>Supply_Chain[[#This Row],[Unit_Price]]*Supply_Chain[[#This Row],[Quantity]]</f>
        <v>4265.3</v>
      </c>
      <c r="P11" t="s">
        <v>109</v>
      </c>
      <c r="Q11" t="s">
        <v>110</v>
      </c>
      <c r="R11" t="s">
        <v>111</v>
      </c>
      <c r="S11" t="s">
        <v>37</v>
      </c>
      <c r="T11" t="s">
        <v>100</v>
      </c>
      <c r="U11" t="s">
        <v>112</v>
      </c>
      <c r="V11">
        <v>1590</v>
      </c>
      <c r="W11">
        <v>246</v>
      </c>
      <c r="X11">
        <v>29</v>
      </c>
      <c r="Y11">
        <v>1632.88</v>
      </c>
      <c r="Z11">
        <v>415.97</v>
      </c>
      <c r="AA11" s="9">
        <v>2048.85</v>
      </c>
      <c r="AB11" t="s">
        <v>40</v>
      </c>
      <c r="AC11">
        <v>11</v>
      </c>
      <c r="AD11">
        <v>84.77</v>
      </c>
      <c r="AE11">
        <v>300</v>
      </c>
      <c r="AF11">
        <v>306</v>
      </c>
      <c r="AG11" s="11">
        <f>Supply_Chain[[#This Row],[Total_Cost]]/Supply_Chain[[#This Row],[Stock_On_Hand]]</f>
        <v>1.2885849056603773</v>
      </c>
    </row>
    <row r="12" spans="1:33" x14ac:dyDescent="0.25">
      <c r="A12" t="s">
        <v>113</v>
      </c>
      <c r="B12" t="s">
        <v>114</v>
      </c>
      <c r="C12" s="1">
        <v>43854</v>
      </c>
      <c r="D12" s="1">
        <v>44059</v>
      </c>
      <c r="E12" t="s">
        <v>30</v>
      </c>
      <c r="F12" t="s">
        <v>115</v>
      </c>
      <c r="G12" t="s">
        <v>32</v>
      </c>
      <c r="H12" t="s">
        <v>116</v>
      </c>
      <c r="I12" s="3" t="s">
        <v>2749</v>
      </c>
      <c r="J12" s="3" t="s">
        <v>3518</v>
      </c>
      <c r="K12" s="3" t="s">
        <v>3521</v>
      </c>
      <c r="L12" s="3" t="s">
        <v>3549</v>
      </c>
      <c r="M12">
        <v>309.55</v>
      </c>
      <c r="N12">
        <v>93</v>
      </c>
      <c r="O12">
        <f>Supply_Chain[[#This Row],[Unit_Price]]*Supply_Chain[[#This Row],[Quantity]]</f>
        <v>28788.15</v>
      </c>
      <c r="P12" t="s">
        <v>117</v>
      </c>
      <c r="Q12" t="s">
        <v>35</v>
      </c>
      <c r="R12" t="s">
        <v>118</v>
      </c>
      <c r="S12" t="s">
        <v>119</v>
      </c>
      <c r="T12" t="s">
        <v>60</v>
      </c>
      <c r="U12" t="s">
        <v>120</v>
      </c>
      <c r="V12">
        <v>2116</v>
      </c>
      <c r="W12">
        <v>291</v>
      </c>
      <c r="X12">
        <v>4</v>
      </c>
      <c r="Y12">
        <v>384.63</v>
      </c>
      <c r="Z12">
        <v>337.66</v>
      </c>
      <c r="AA12" s="9">
        <v>722.29</v>
      </c>
      <c r="AB12" t="s">
        <v>52</v>
      </c>
      <c r="AC12">
        <v>0</v>
      </c>
      <c r="AD12">
        <v>94.8</v>
      </c>
      <c r="AE12">
        <v>425</v>
      </c>
      <c r="AF12">
        <v>386</v>
      </c>
      <c r="AG12" s="11">
        <f>Supply_Chain[[#This Row],[Total_Cost]]/Supply_Chain[[#This Row],[Stock_On_Hand]]</f>
        <v>0.34134688090737236</v>
      </c>
    </row>
    <row r="13" spans="1:33" x14ac:dyDescent="0.25">
      <c r="A13" t="s">
        <v>121</v>
      </c>
      <c r="B13" t="s">
        <v>122</v>
      </c>
      <c r="C13" s="1">
        <v>45631</v>
      </c>
      <c r="D13" s="1">
        <v>44030</v>
      </c>
      <c r="E13" t="s">
        <v>43</v>
      </c>
      <c r="F13" t="s">
        <v>115</v>
      </c>
      <c r="G13" t="s">
        <v>65</v>
      </c>
      <c r="H13" t="s">
        <v>46</v>
      </c>
      <c r="I13" s="3" t="s">
        <v>2750</v>
      </c>
      <c r="J13" s="3" t="s">
        <v>3518</v>
      </c>
      <c r="K13" s="3" t="s">
        <v>3521</v>
      </c>
      <c r="L13" s="3" t="s">
        <v>3550</v>
      </c>
      <c r="M13">
        <v>186.56</v>
      </c>
      <c r="N13">
        <v>93</v>
      </c>
      <c r="O13">
        <f>Supply_Chain[[#This Row],[Unit_Price]]*Supply_Chain[[#This Row],[Quantity]]</f>
        <v>17350.080000000002</v>
      </c>
      <c r="P13" t="s">
        <v>123</v>
      </c>
      <c r="Q13" t="s">
        <v>35</v>
      </c>
      <c r="R13" t="s">
        <v>124</v>
      </c>
      <c r="S13" t="s">
        <v>50</v>
      </c>
      <c r="T13" t="s">
        <v>100</v>
      </c>
      <c r="U13" t="s">
        <v>125</v>
      </c>
      <c r="V13">
        <v>4911</v>
      </c>
      <c r="W13">
        <v>358</v>
      </c>
      <c r="X13">
        <v>18</v>
      </c>
      <c r="Y13">
        <v>706.31</v>
      </c>
      <c r="Z13">
        <v>293.54000000000002</v>
      </c>
      <c r="AA13" s="9">
        <v>999.84999999999991</v>
      </c>
      <c r="AB13" t="s">
        <v>52</v>
      </c>
      <c r="AC13">
        <v>0</v>
      </c>
      <c r="AD13">
        <v>70.02</v>
      </c>
      <c r="AE13">
        <v>257</v>
      </c>
      <c r="AF13">
        <v>257</v>
      </c>
      <c r="AG13" s="11">
        <f>Supply_Chain[[#This Row],[Total_Cost]]/Supply_Chain[[#This Row],[Stock_On_Hand]]</f>
        <v>0.20359397271431479</v>
      </c>
    </row>
    <row r="14" spans="1:33" x14ac:dyDescent="0.25">
      <c r="A14" t="s">
        <v>126</v>
      </c>
      <c r="B14" t="s">
        <v>127</v>
      </c>
      <c r="C14" s="1">
        <v>45194</v>
      </c>
      <c r="D14" s="1">
        <v>44024</v>
      </c>
      <c r="E14" t="s">
        <v>55</v>
      </c>
      <c r="F14" t="s">
        <v>64</v>
      </c>
      <c r="G14" t="s">
        <v>91</v>
      </c>
      <c r="H14" t="s">
        <v>128</v>
      </c>
      <c r="I14" s="3" t="s">
        <v>2751</v>
      </c>
      <c r="J14" s="3" t="s">
        <v>3519</v>
      </c>
      <c r="K14" s="3" t="s">
        <v>3528</v>
      </c>
      <c r="L14" s="3" t="s">
        <v>3551</v>
      </c>
      <c r="M14">
        <v>88.2</v>
      </c>
      <c r="N14">
        <v>91</v>
      </c>
      <c r="O14">
        <f>Supply_Chain[[#This Row],[Unit_Price]]*Supply_Chain[[#This Row],[Quantity]]</f>
        <v>8026.2</v>
      </c>
      <c r="P14" t="s">
        <v>129</v>
      </c>
      <c r="Q14" t="s">
        <v>86</v>
      </c>
      <c r="R14" t="s">
        <v>130</v>
      </c>
      <c r="S14" t="s">
        <v>70</v>
      </c>
      <c r="T14" t="s">
        <v>60</v>
      </c>
      <c r="U14" t="s">
        <v>131</v>
      </c>
      <c r="V14">
        <v>2805</v>
      </c>
      <c r="W14">
        <v>490</v>
      </c>
      <c r="X14">
        <v>2</v>
      </c>
      <c r="Y14">
        <v>1263.24</v>
      </c>
      <c r="Z14">
        <v>80.16</v>
      </c>
      <c r="AA14" s="9">
        <v>1343.4</v>
      </c>
      <c r="AB14" t="s">
        <v>52</v>
      </c>
      <c r="AC14">
        <v>0</v>
      </c>
      <c r="AD14">
        <v>76.64</v>
      </c>
      <c r="AE14">
        <v>428</v>
      </c>
      <c r="AF14">
        <v>434</v>
      </c>
      <c r="AG14" s="11">
        <f>Supply_Chain[[#This Row],[Total_Cost]]/Supply_Chain[[#This Row],[Stock_On_Hand]]</f>
        <v>0.47893048128342247</v>
      </c>
    </row>
    <row r="15" spans="1:33" x14ac:dyDescent="0.25">
      <c r="A15" t="s">
        <v>132</v>
      </c>
      <c r="B15" t="s">
        <v>133</v>
      </c>
      <c r="C15" s="1">
        <v>45272</v>
      </c>
      <c r="D15" s="1">
        <v>45403</v>
      </c>
      <c r="E15" t="s">
        <v>55</v>
      </c>
      <c r="F15" t="s">
        <v>64</v>
      </c>
      <c r="G15" t="s">
        <v>91</v>
      </c>
      <c r="H15" t="s">
        <v>92</v>
      </c>
      <c r="I15" s="3" t="s">
        <v>2752</v>
      </c>
      <c r="J15" s="3" t="s">
        <v>3519</v>
      </c>
      <c r="K15" s="3" t="s">
        <v>3528</v>
      </c>
      <c r="L15" s="3" t="s">
        <v>3552</v>
      </c>
      <c r="M15">
        <v>165.4</v>
      </c>
      <c r="N15">
        <v>55</v>
      </c>
      <c r="O15">
        <f>Supply_Chain[[#This Row],[Unit_Price]]*Supply_Chain[[#This Row],[Quantity]]</f>
        <v>9097</v>
      </c>
      <c r="P15" t="s">
        <v>134</v>
      </c>
      <c r="Q15" t="s">
        <v>48</v>
      </c>
      <c r="R15" t="s">
        <v>135</v>
      </c>
      <c r="S15" t="s">
        <v>37</v>
      </c>
      <c r="T15" t="s">
        <v>60</v>
      </c>
      <c r="U15" t="s">
        <v>136</v>
      </c>
      <c r="V15">
        <v>4728</v>
      </c>
      <c r="W15">
        <v>220</v>
      </c>
      <c r="X15">
        <v>26</v>
      </c>
      <c r="Y15">
        <v>1831.52</v>
      </c>
      <c r="Z15">
        <v>70.27</v>
      </c>
      <c r="AA15" s="9">
        <v>1901.79</v>
      </c>
      <c r="AB15" t="s">
        <v>40</v>
      </c>
      <c r="AC15">
        <v>10</v>
      </c>
      <c r="AD15">
        <v>91.19</v>
      </c>
      <c r="AE15">
        <v>252</v>
      </c>
      <c r="AF15">
        <v>222</v>
      </c>
      <c r="AG15" s="11">
        <f>Supply_Chain[[#This Row],[Total_Cost]]/Supply_Chain[[#This Row],[Stock_On_Hand]]</f>
        <v>0.40223984771573601</v>
      </c>
    </row>
    <row r="16" spans="1:33" x14ac:dyDescent="0.25">
      <c r="A16" t="s">
        <v>137</v>
      </c>
      <c r="B16" t="s">
        <v>138</v>
      </c>
      <c r="C16" s="1">
        <v>45585</v>
      </c>
      <c r="D16" s="1">
        <v>44435</v>
      </c>
      <c r="E16" t="s">
        <v>43</v>
      </c>
      <c r="F16" t="s">
        <v>44</v>
      </c>
      <c r="G16" t="s">
        <v>76</v>
      </c>
      <c r="H16" t="s">
        <v>116</v>
      </c>
      <c r="I16" s="3" t="s">
        <v>2753</v>
      </c>
      <c r="J16" s="3" t="s">
        <v>84</v>
      </c>
      <c r="K16" s="3" t="s">
        <v>3529</v>
      </c>
      <c r="L16" s="3" t="s">
        <v>3553</v>
      </c>
      <c r="M16">
        <v>20.3</v>
      </c>
      <c r="N16">
        <v>56</v>
      </c>
      <c r="O16">
        <f>Supply_Chain[[#This Row],[Unit_Price]]*Supply_Chain[[#This Row],[Quantity]]</f>
        <v>1136.8</v>
      </c>
      <c r="P16" t="s">
        <v>139</v>
      </c>
      <c r="Q16" t="s">
        <v>110</v>
      </c>
      <c r="R16" t="s">
        <v>140</v>
      </c>
      <c r="S16" t="s">
        <v>37</v>
      </c>
      <c r="T16" t="s">
        <v>60</v>
      </c>
      <c r="U16" t="s">
        <v>141</v>
      </c>
      <c r="V16">
        <v>3385</v>
      </c>
      <c r="W16">
        <v>274</v>
      </c>
      <c r="X16">
        <v>6</v>
      </c>
      <c r="Y16">
        <v>1243.6500000000001</v>
      </c>
      <c r="Z16">
        <v>168.46</v>
      </c>
      <c r="AA16" s="9">
        <v>1412.11</v>
      </c>
      <c r="AB16" t="s">
        <v>52</v>
      </c>
      <c r="AC16">
        <v>0</v>
      </c>
      <c r="AD16">
        <v>83.04</v>
      </c>
      <c r="AE16">
        <v>421</v>
      </c>
      <c r="AF16">
        <v>445</v>
      </c>
      <c r="AG16" s="11">
        <f>Supply_Chain[[#This Row],[Total_Cost]]/Supply_Chain[[#This Row],[Stock_On_Hand]]</f>
        <v>0.41716691285081237</v>
      </c>
    </row>
    <row r="17" spans="1:33" x14ac:dyDescent="0.25">
      <c r="A17" t="s">
        <v>142</v>
      </c>
      <c r="B17" t="s">
        <v>143</v>
      </c>
      <c r="C17" s="1">
        <v>44785</v>
      </c>
      <c r="D17" s="1">
        <v>45429</v>
      </c>
      <c r="E17" t="s">
        <v>43</v>
      </c>
      <c r="F17" t="s">
        <v>44</v>
      </c>
      <c r="G17" t="s">
        <v>45</v>
      </c>
      <c r="H17" t="s">
        <v>116</v>
      </c>
      <c r="I17" s="3" t="s">
        <v>2754</v>
      </c>
      <c r="J17" s="3" t="s">
        <v>3518</v>
      </c>
      <c r="K17" s="3" t="s">
        <v>3522</v>
      </c>
      <c r="L17" s="3" t="s">
        <v>3554</v>
      </c>
      <c r="M17">
        <v>94.21</v>
      </c>
      <c r="N17">
        <v>19</v>
      </c>
      <c r="O17">
        <f>Supply_Chain[[#This Row],[Unit_Price]]*Supply_Chain[[#This Row],[Quantity]]</f>
        <v>1789.9899999999998</v>
      </c>
      <c r="P17" t="s">
        <v>144</v>
      </c>
      <c r="Q17" t="s">
        <v>35</v>
      </c>
      <c r="R17" t="s">
        <v>145</v>
      </c>
      <c r="S17" t="s">
        <v>70</v>
      </c>
      <c r="T17" t="s">
        <v>79</v>
      </c>
      <c r="U17" t="s">
        <v>146</v>
      </c>
      <c r="V17">
        <v>551</v>
      </c>
      <c r="W17">
        <v>202</v>
      </c>
      <c r="X17">
        <v>20</v>
      </c>
      <c r="Y17">
        <v>245.11</v>
      </c>
      <c r="Z17">
        <v>180.68</v>
      </c>
      <c r="AA17" s="9">
        <v>425.79</v>
      </c>
      <c r="AB17" t="s">
        <v>52</v>
      </c>
      <c r="AC17">
        <v>0</v>
      </c>
      <c r="AD17">
        <v>93.23</v>
      </c>
      <c r="AE17">
        <v>199</v>
      </c>
      <c r="AF17">
        <v>218</v>
      </c>
      <c r="AG17" s="11">
        <f>Supply_Chain[[#This Row],[Total_Cost]]/Supply_Chain[[#This Row],[Stock_On_Hand]]</f>
        <v>0.77275862068965517</v>
      </c>
    </row>
    <row r="18" spans="1:33" x14ac:dyDescent="0.25">
      <c r="A18" t="s">
        <v>147</v>
      </c>
      <c r="B18" t="s">
        <v>148</v>
      </c>
      <c r="C18" s="1">
        <v>44688</v>
      </c>
      <c r="D18" s="1">
        <v>44554</v>
      </c>
      <c r="E18" t="s">
        <v>43</v>
      </c>
      <c r="F18" t="s">
        <v>64</v>
      </c>
      <c r="G18" t="s">
        <v>32</v>
      </c>
      <c r="H18" t="s">
        <v>57</v>
      </c>
      <c r="I18" s="3" t="s">
        <v>2755</v>
      </c>
      <c r="J18" s="3" t="s">
        <v>3518</v>
      </c>
      <c r="K18" s="3" t="s">
        <v>3525</v>
      </c>
      <c r="L18" s="3" t="s">
        <v>3555</v>
      </c>
      <c r="M18">
        <v>33</v>
      </c>
      <c r="N18">
        <v>16</v>
      </c>
      <c r="O18">
        <f>Supply_Chain[[#This Row],[Unit_Price]]*Supply_Chain[[#This Row],[Quantity]]</f>
        <v>528</v>
      </c>
      <c r="P18" t="s">
        <v>149</v>
      </c>
      <c r="Q18" t="s">
        <v>68</v>
      </c>
      <c r="R18" t="s">
        <v>135</v>
      </c>
      <c r="S18" t="s">
        <v>70</v>
      </c>
      <c r="T18" t="s">
        <v>71</v>
      </c>
      <c r="U18" t="s">
        <v>150</v>
      </c>
      <c r="V18">
        <v>2548</v>
      </c>
      <c r="W18">
        <v>53</v>
      </c>
      <c r="X18">
        <v>8</v>
      </c>
      <c r="Y18">
        <v>1545.99</v>
      </c>
      <c r="Z18">
        <v>22.39</v>
      </c>
      <c r="AA18" s="9">
        <v>1568.38</v>
      </c>
      <c r="AB18" t="s">
        <v>52</v>
      </c>
      <c r="AC18">
        <v>0</v>
      </c>
      <c r="AD18">
        <v>76.39</v>
      </c>
      <c r="AE18">
        <v>320</v>
      </c>
      <c r="AF18">
        <v>313</v>
      </c>
      <c r="AG18" s="11">
        <f>Supply_Chain[[#This Row],[Total_Cost]]/Supply_Chain[[#This Row],[Stock_On_Hand]]</f>
        <v>0.61553375196232341</v>
      </c>
    </row>
    <row r="19" spans="1:33" x14ac:dyDescent="0.25">
      <c r="A19" t="s">
        <v>151</v>
      </c>
      <c r="B19" t="s">
        <v>152</v>
      </c>
      <c r="C19" s="1">
        <v>44022</v>
      </c>
      <c r="D19" s="1">
        <v>45530</v>
      </c>
      <c r="E19" t="s">
        <v>55</v>
      </c>
      <c r="F19" t="s">
        <v>44</v>
      </c>
      <c r="G19" t="s">
        <v>91</v>
      </c>
      <c r="H19" t="s">
        <v>116</v>
      </c>
      <c r="I19" s="3" t="s">
        <v>2756</v>
      </c>
      <c r="J19" s="3" t="s">
        <v>3519</v>
      </c>
      <c r="K19" s="3" t="s">
        <v>3530</v>
      </c>
      <c r="L19" s="3" t="s">
        <v>3556</v>
      </c>
      <c r="M19">
        <v>397.89</v>
      </c>
      <c r="N19">
        <v>60</v>
      </c>
      <c r="O19">
        <f>Supply_Chain[[#This Row],[Unit_Price]]*Supply_Chain[[#This Row],[Quantity]]</f>
        <v>23873.399999999998</v>
      </c>
      <c r="P19" t="s">
        <v>153</v>
      </c>
      <c r="Q19" t="s">
        <v>48</v>
      </c>
      <c r="R19" t="s">
        <v>154</v>
      </c>
      <c r="S19" t="s">
        <v>37</v>
      </c>
      <c r="T19" t="s">
        <v>100</v>
      </c>
      <c r="U19" t="s">
        <v>155</v>
      </c>
      <c r="V19">
        <v>1899</v>
      </c>
      <c r="W19">
        <v>368</v>
      </c>
      <c r="X19">
        <v>1</v>
      </c>
      <c r="Y19">
        <v>1961.05</v>
      </c>
      <c r="Z19">
        <v>348.86</v>
      </c>
      <c r="AA19" s="9">
        <v>2309.91</v>
      </c>
      <c r="AB19" t="s">
        <v>52</v>
      </c>
      <c r="AC19">
        <v>0</v>
      </c>
      <c r="AD19">
        <v>92.39</v>
      </c>
      <c r="AE19">
        <v>263</v>
      </c>
      <c r="AF19">
        <v>226</v>
      </c>
      <c r="AG19" s="11">
        <f>Supply_Chain[[#This Row],[Total_Cost]]/Supply_Chain[[#This Row],[Stock_On_Hand]]</f>
        <v>1.2163823064770931</v>
      </c>
    </row>
    <row r="20" spans="1:33" x14ac:dyDescent="0.25">
      <c r="A20" t="s">
        <v>156</v>
      </c>
      <c r="B20" t="s">
        <v>157</v>
      </c>
      <c r="C20" s="1">
        <v>44082</v>
      </c>
      <c r="D20" s="1">
        <v>45056</v>
      </c>
      <c r="E20" t="s">
        <v>55</v>
      </c>
      <c r="F20" t="s">
        <v>115</v>
      </c>
      <c r="G20" t="s">
        <v>32</v>
      </c>
      <c r="H20" t="s">
        <v>92</v>
      </c>
      <c r="I20" s="3" t="s">
        <v>2757</v>
      </c>
      <c r="J20" s="3" t="s">
        <v>84</v>
      </c>
      <c r="K20" s="3" t="s">
        <v>3529</v>
      </c>
      <c r="L20" s="3" t="s">
        <v>3557</v>
      </c>
      <c r="M20">
        <v>127.64</v>
      </c>
      <c r="N20">
        <v>27</v>
      </c>
      <c r="O20">
        <f>Supply_Chain[[#This Row],[Unit_Price]]*Supply_Chain[[#This Row],[Quantity]]</f>
        <v>3446.28</v>
      </c>
      <c r="P20" t="s">
        <v>158</v>
      </c>
      <c r="Q20" t="s">
        <v>86</v>
      </c>
      <c r="R20" t="s">
        <v>118</v>
      </c>
      <c r="S20" t="s">
        <v>50</v>
      </c>
      <c r="T20" t="s">
        <v>79</v>
      </c>
      <c r="U20" t="s">
        <v>88</v>
      </c>
      <c r="V20">
        <v>2169</v>
      </c>
      <c r="W20">
        <v>153</v>
      </c>
      <c r="X20">
        <v>12</v>
      </c>
      <c r="Y20">
        <v>972.32</v>
      </c>
      <c r="Z20">
        <v>327.31</v>
      </c>
      <c r="AA20" s="9">
        <v>1299.6300000000001</v>
      </c>
      <c r="AB20" t="s">
        <v>52</v>
      </c>
      <c r="AC20">
        <v>0</v>
      </c>
      <c r="AD20">
        <v>74.36</v>
      </c>
      <c r="AE20">
        <v>356</v>
      </c>
      <c r="AF20">
        <v>350</v>
      </c>
      <c r="AG20" s="11">
        <f>Supply_Chain[[#This Row],[Total_Cost]]/Supply_Chain[[#This Row],[Stock_On_Hand]]</f>
        <v>0.59918395573997241</v>
      </c>
    </row>
    <row r="21" spans="1:33" x14ac:dyDescent="0.25">
      <c r="A21" t="s">
        <v>159</v>
      </c>
      <c r="B21" t="s">
        <v>160</v>
      </c>
      <c r="C21" s="1">
        <v>45394</v>
      </c>
      <c r="D21" s="1">
        <v>45350</v>
      </c>
      <c r="E21" t="s">
        <v>55</v>
      </c>
      <c r="F21" t="s">
        <v>44</v>
      </c>
      <c r="G21" t="s">
        <v>83</v>
      </c>
      <c r="H21" t="s">
        <v>92</v>
      </c>
      <c r="I21" s="3" t="s">
        <v>2758</v>
      </c>
      <c r="J21" s="3" t="s">
        <v>3518</v>
      </c>
      <c r="K21" s="3" t="s">
        <v>3523</v>
      </c>
      <c r="L21" s="3" t="s">
        <v>3558</v>
      </c>
      <c r="M21">
        <v>209.01</v>
      </c>
      <c r="N21">
        <v>84</v>
      </c>
      <c r="O21">
        <f>Supply_Chain[[#This Row],[Unit_Price]]*Supply_Chain[[#This Row],[Quantity]]</f>
        <v>17556.84</v>
      </c>
      <c r="P21" t="s">
        <v>161</v>
      </c>
      <c r="Q21" t="s">
        <v>110</v>
      </c>
      <c r="R21" t="s">
        <v>162</v>
      </c>
      <c r="S21" t="s">
        <v>70</v>
      </c>
      <c r="T21" t="s">
        <v>100</v>
      </c>
      <c r="U21" t="s">
        <v>163</v>
      </c>
      <c r="V21">
        <v>4885</v>
      </c>
      <c r="W21">
        <v>158</v>
      </c>
      <c r="X21">
        <v>1</v>
      </c>
      <c r="Y21">
        <v>1991.58</v>
      </c>
      <c r="Z21">
        <v>297.87</v>
      </c>
      <c r="AA21" s="9">
        <v>2289.4499999999998</v>
      </c>
      <c r="AB21" t="s">
        <v>52</v>
      </c>
      <c r="AC21">
        <v>0</v>
      </c>
      <c r="AD21">
        <v>80.67</v>
      </c>
      <c r="AE21">
        <v>456</v>
      </c>
      <c r="AF21">
        <v>477</v>
      </c>
      <c r="AG21" s="11">
        <f>Supply_Chain[[#This Row],[Total_Cost]]/Supply_Chain[[#This Row],[Stock_On_Hand]]</f>
        <v>0.46866939611054242</v>
      </c>
    </row>
    <row r="22" spans="1:33" x14ac:dyDescent="0.25">
      <c r="A22" t="s">
        <v>164</v>
      </c>
      <c r="B22" t="s">
        <v>165</v>
      </c>
      <c r="C22" s="1">
        <v>44207</v>
      </c>
      <c r="D22" s="1">
        <v>43911</v>
      </c>
      <c r="E22" t="s">
        <v>55</v>
      </c>
      <c r="F22" t="s">
        <v>64</v>
      </c>
      <c r="G22" t="s">
        <v>56</v>
      </c>
      <c r="H22" t="s">
        <v>166</v>
      </c>
      <c r="I22" s="3" t="s">
        <v>2759</v>
      </c>
      <c r="J22" s="3" t="s">
        <v>84</v>
      </c>
      <c r="K22" s="3" t="s">
        <v>3529</v>
      </c>
      <c r="L22" s="3" t="s">
        <v>3559</v>
      </c>
      <c r="M22">
        <v>173.65</v>
      </c>
      <c r="N22">
        <v>94</v>
      </c>
      <c r="O22">
        <f>Supply_Chain[[#This Row],[Unit_Price]]*Supply_Chain[[#This Row],[Quantity]]</f>
        <v>16323.1</v>
      </c>
      <c r="P22" t="s">
        <v>167</v>
      </c>
      <c r="Q22" t="s">
        <v>68</v>
      </c>
      <c r="R22" t="s">
        <v>162</v>
      </c>
      <c r="S22" t="s">
        <v>37</v>
      </c>
      <c r="T22" t="s">
        <v>71</v>
      </c>
      <c r="U22" t="s">
        <v>168</v>
      </c>
      <c r="V22">
        <v>3809</v>
      </c>
      <c r="W22">
        <v>442</v>
      </c>
      <c r="X22">
        <v>27</v>
      </c>
      <c r="Y22">
        <v>842.25</v>
      </c>
      <c r="Z22">
        <v>325.32</v>
      </c>
      <c r="AA22" s="9">
        <v>1167.57</v>
      </c>
      <c r="AB22" t="s">
        <v>52</v>
      </c>
      <c r="AC22">
        <v>0</v>
      </c>
      <c r="AD22">
        <v>81.75</v>
      </c>
      <c r="AE22">
        <v>298</v>
      </c>
      <c r="AF22">
        <v>300</v>
      </c>
      <c r="AG22" s="11">
        <f>Supply_Chain[[#This Row],[Total_Cost]]/Supply_Chain[[#This Row],[Stock_On_Hand]]</f>
        <v>0.30652927277500652</v>
      </c>
    </row>
    <row r="23" spans="1:33" x14ac:dyDescent="0.25">
      <c r="A23" t="s">
        <v>169</v>
      </c>
      <c r="B23" t="s">
        <v>170</v>
      </c>
      <c r="C23" s="1">
        <v>44995</v>
      </c>
      <c r="D23" s="1">
        <v>45601</v>
      </c>
      <c r="E23" t="s">
        <v>43</v>
      </c>
      <c r="F23" t="s">
        <v>75</v>
      </c>
      <c r="G23" t="s">
        <v>83</v>
      </c>
      <c r="H23" t="s">
        <v>92</v>
      </c>
      <c r="I23" s="3" t="s">
        <v>2760</v>
      </c>
      <c r="J23" s="3" t="s">
        <v>84</v>
      </c>
      <c r="K23" s="3" t="s">
        <v>3531</v>
      </c>
      <c r="L23" s="3" t="s">
        <v>3560</v>
      </c>
      <c r="M23">
        <v>118.26</v>
      </c>
      <c r="N23">
        <v>88</v>
      </c>
      <c r="O23">
        <f>Supply_Chain[[#This Row],[Unit_Price]]*Supply_Chain[[#This Row],[Quantity]]</f>
        <v>10406.880000000001</v>
      </c>
      <c r="P23" t="s">
        <v>171</v>
      </c>
      <c r="Q23" t="s">
        <v>110</v>
      </c>
      <c r="R23" t="s">
        <v>172</v>
      </c>
      <c r="S23" t="s">
        <v>50</v>
      </c>
      <c r="T23" t="s">
        <v>71</v>
      </c>
      <c r="U23" t="s">
        <v>125</v>
      </c>
      <c r="V23">
        <v>3553</v>
      </c>
      <c r="W23">
        <v>417</v>
      </c>
      <c r="X23">
        <v>25</v>
      </c>
      <c r="Y23">
        <v>1100.94</v>
      </c>
      <c r="Z23">
        <v>287.49</v>
      </c>
      <c r="AA23" s="9">
        <v>1388.43</v>
      </c>
      <c r="AB23" t="s">
        <v>40</v>
      </c>
      <c r="AC23">
        <v>5</v>
      </c>
      <c r="AD23">
        <v>94.24</v>
      </c>
      <c r="AE23">
        <v>466</v>
      </c>
      <c r="AF23">
        <v>491</v>
      </c>
      <c r="AG23" s="11">
        <f>Supply_Chain[[#This Row],[Total_Cost]]/Supply_Chain[[#This Row],[Stock_On_Hand]]</f>
        <v>0.39077680833098793</v>
      </c>
    </row>
    <row r="24" spans="1:33" x14ac:dyDescent="0.25">
      <c r="A24" t="s">
        <v>173</v>
      </c>
      <c r="B24" t="s">
        <v>174</v>
      </c>
      <c r="C24" s="1">
        <v>44043</v>
      </c>
      <c r="D24" s="1">
        <v>44021</v>
      </c>
      <c r="E24" t="s">
        <v>30</v>
      </c>
      <c r="F24" t="s">
        <v>115</v>
      </c>
      <c r="G24" t="s">
        <v>32</v>
      </c>
      <c r="H24" t="s">
        <v>66</v>
      </c>
      <c r="I24" s="3" t="s">
        <v>2761</v>
      </c>
      <c r="J24" s="3" t="s">
        <v>84</v>
      </c>
      <c r="K24" s="3" t="s">
        <v>3526</v>
      </c>
      <c r="L24" s="3" t="s">
        <v>3561</v>
      </c>
      <c r="M24">
        <v>282.82</v>
      </c>
      <c r="N24">
        <v>52</v>
      </c>
      <c r="O24">
        <f>Supply_Chain[[#This Row],[Unit_Price]]*Supply_Chain[[#This Row],[Quantity]]</f>
        <v>14706.64</v>
      </c>
      <c r="P24" t="s">
        <v>175</v>
      </c>
      <c r="Q24" t="s">
        <v>48</v>
      </c>
      <c r="R24" t="s">
        <v>176</v>
      </c>
      <c r="S24" t="s">
        <v>119</v>
      </c>
      <c r="T24" t="s">
        <v>79</v>
      </c>
      <c r="U24" t="s">
        <v>177</v>
      </c>
      <c r="V24">
        <v>2101</v>
      </c>
      <c r="W24">
        <v>169</v>
      </c>
      <c r="X24">
        <v>8</v>
      </c>
      <c r="Y24">
        <v>1318.04</v>
      </c>
      <c r="Z24">
        <v>448.9</v>
      </c>
      <c r="AA24" s="9">
        <v>1766.94</v>
      </c>
      <c r="AB24" t="s">
        <v>52</v>
      </c>
      <c r="AC24">
        <v>0</v>
      </c>
      <c r="AD24">
        <v>93.64</v>
      </c>
      <c r="AE24">
        <v>128</v>
      </c>
      <c r="AF24">
        <v>123</v>
      </c>
      <c r="AG24" s="11">
        <f>Supply_Chain[[#This Row],[Total_Cost]]/Supply_Chain[[#This Row],[Stock_On_Hand]]</f>
        <v>0.84099952403617328</v>
      </c>
    </row>
    <row r="25" spans="1:33" x14ac:dyDescent="0.25">
      <c r="A25" t="s">
        <v>178</v>
      </c>
      <c r="B25" t="s">
        <v>179</v>
      </c>
      <c r="C25" s="1">
        <v>44426</v>
      </c>
      <c r="D25" s="1">
        <v>44044</v>
      </c>
      <c r="E25" t="s">
        <v>55</v>
      </c>
      <c r="F25" t="s">
        <v>64</v>
      </c>
      <c r="G25" t="s">
        <v>32</v>
      </c>
      <c r="H25" t="s">
        <v>46</v>
      </c>
      <c r="I25" s="3" t="s">
        <v>2762</v>
      </c>
      <c r="J25" s="3" t="s">
        <v>3518</v>
      </c>
      <c r="K25" s="3" t="s">
        <v>3525</v>
      </c>
      <c r="L25" s="3" t="s">
        <v>3562</v>
      </c>
      <c r="M25">
        <v>332.15</v>
      </c>
      <c r="N25">
        <v>64</v>
      </c>
      <c r="O25">
        <f>Supply_Chain[[#This Row],[Unit_Price]]*Supply_Chain[[#This Row],[Quantity]]</f>
        <v>21257.599999999999</v>
      </c>
      <c r="P25" t="s">
        <v>180</v>
      </c>
      <c r="Q25" t="s">
        <v>35</v>
      </c>
      <c r="R25" t="s">
        <v>181</v>
      </c>
      <c r="S25" t="s">
        <v>70</v>
      </c>
      <c r="T25" t="s">
        <v>60</v>
      </c>
      <c r="U25" t="s">
        <v>182</v>
      </c>
      <c r="V25">
        <v>2108</v>
      </c>
      <c r="W25">
        <v>181</v>
      </c>
      <c r="X25">
        <v>5</v>
      </c>
      <c r="Y25">
        <v>596.41</v>
      </c>
      <c r="Z25">
        <v>250.91</v>
      </c>
      <c r="AA25" s="9">
        <v>847.31999999999994</v>
      </c>
      <c r="AB25" t="s">
        <v>52</v>
      </c>
      <c r="AC25">
        <v>0</v>
      </c>
      <c r="AD25">
        <v>70.77</v>
      </c>
      <c r="AE25">
        <v>316</v>
      </c>
      <c r="AF25">
        <v>343</v>
      </c>
      <c r="AG25" s="11">
        <f>Supply_Chain[[#This Row],[Total_Cost]]/Supply_Chain[[#This Row],[Stock_On_Hand]]</f>
        <v>0.40195445920303602</v>
      </c>
    </row>
    <row r="26" spans="1:33" x14ac:dyDescent="0.25">
      <c r="A26" t="s">
        <v>183</v>
      </c>
      <c r="B26" t="s">
        <v>184</v>
      </c>
      <c r="C26" s="1">
        <v>44942</v>
      </c>
      <c r="D26" s="1">
        <v>44607</v>
      </c>
      <c r="E26" t="s">
        <v>55</v>
      </c>
      <c r="F26" t="s">
        <v>64</v>
      </c>
      <c r="G26" t="s">
        <v>32</v>
      </c>
      <c r="H26" t="s">
        <v>128</v>
      </c>
      <c r="I26" s="3" t="s">
        <v>2763</v>
      </c>
      <c r="J26" s="3" t="s">
        <v>3518</v>
      </c>
      <c r="K26" s="3" t="s">
        <v>3522</v>
      </c>
      <c r="L26" s="3" t="s">
        <v>3563</v>
      </c>
      <c r="M26">
        <v>320.01</v>
      </c>
      <c r="N26">
        <v>42</v>
      </c>
      <c r="O26">
        <f>Supply_Chain[[#This Row],[Unit_Price]]*Supply_Chain[[#This Row],[Quantity]]</f>
        <v>13440.42</v>
      </c>
      <c r="P26" t="s">
        <v>185</v>
      </c>
      <c r="Q26" t="s">
        <v>86</v>
      </c>
      <c r="R26" t="s">
        <v>186</v>
      </c>
      <c r="S26" t="s">
        <v>50</v>
      </c>
      <c r="T26" t="s">
        <v>71</v>
      </c>
      <c r="U26" t="s">
        <v>187</v>
      </c>
      <c r="V26">
        <v>861</v>
      </c>
      <c r="W26">
        <v>169</v>
      </c>
      <c r="X26">
        <v>24</v>
      </c>
      <c r="Y26">
        <v>1865.44</v>
      </c>
      <c r="Z26">
        <v>442.41</v>
      </c>
      <c r="AA26" s="9">
        <v>2307.85</v>
      </c>
      <c r="AB26" t="s">
        <v>52</v>
      </c>
      <c r="AC26">
        <v>0</v>
      </c>
      <c r="AD26">
        <v>78.569999999999993</v>
      </c>
      <c r="AE26">
        <v>335</v>
      </c>
      <c r="AF26">
        <v>311</v>
      </c>
      <c r="AG26" s="11">
        <f>Supply_Chain[[#This Row],[Total_Cost]]/Supply_Chain[[#This Row],[Stock_On_Hand]]</f>
        <v>2.680429732868757</v>
      </c>
    </row>
    <row r="27" spans="1:33" x14ac:dyDescent="0.25">
      <c r="A27" t="s">
        <v>188</v>
      </c>
      <c r="B27" t="s">
        <v>189</v>
      </c>
      <c r="C27" s="1">
        <v>45441</v>
      </c>
      <c r="D27" s="1">
        <v>45625</v>
      </c>
      <c r="E27" t="s">
        <v>43</v>
      </c>
      <c r="F27" t="s">
        <v>31</v>
      </c>
      <c r="G27" t="s">
        <v>65</v>
      </c>
      <c r="H27" t="s">
        <v>46</v>
      </c>
      <c r="I27" s="3" t="s">
        <v>2764</v>
      </c>
      <c r="J27" s="3" t="s">
        <v>3518</v>
      </c>
      <c r="K27" s="3" t="s">
        <v>3522</v>
      </c>
      <c r="L27" s="3" t="s">
        <v>3564</v>
      </c>
      <c r="M27">
        <v>386.85</v>
      </c>
      <c r="N27">
        <v>93</v>
      </c>
      <c r="O27">
        <f>Supply_Chain[[#This Row],[Unit_Price]]*Supply_Chain[[#This Row],[Quantity]]</f>
        <v>35977.050000000003</v>
      </c>
      <c r="P27" t="s">
        <v>190</v>
      </c>
      <c r="Q27" t="s">
        <v>110</v>
      </c>
      <c r="R27" t="s">
        <v>87</v>
      </c>
      <c r="S27" t="s">
        <v>37</v>
      </c>
      <c r="T27" t="s">
        <v>79</v>
      </c>
      <c r="U27" t="s">
        <v>191</v>
      </c>
      <c r="V27">
        <v>1879</v>
      </c>
      <c r="W27">
        <v>64</v>
      </c>
      <c r="X27">
        <v>4</v>
      </c>
      <c r="Y27">
        <v>1019.67</v>
      </c>
      <c r="Z27">
        <v>486.56</v>
      </c>
      <c r="AA27" s="9">
        <v>1506.23</v>
      </c>
      <c r="AB27" t="s">
        <v>52</v>
      </c>
      <c r="AC27">
        <v>0</v>
      </c>
      <c r="AD27">
        <v>95.27</v>
      </c>
      <c r="AE27">
        <v>85</v>
      </c>
      <c r="AF27">
        <v>121</v>
      </c>
      <c r="AG27" s="11">
        <f>Supply_Chain[[#This Row],[Total_Cost]]/Supply_Chain[[#This Row],[Stock_On_Hand]]</f>
        <v>0.80161255987227253</v>
      </c>
    </row>
    <row r="28" spans="1:33" x14ac:dyDescent="0.25">
      <c r="A28" t="s">
        <v>192</v>
      </c>
      <c r="B28" t="s">
        <v>193</v>
      </c>
      <c r="C28" s="1">
        <v>44905</v>
      </c>
      <c r="D28" s="1">
        <v>44192</v>
      </c>
      <c r="E28" t="s">
        <v>55</v>
      </c>
      <c r="F28" t="s">
        <v>75</v>
      </c>
      <c r="G28" t="s">
        <v>83</v>
      </c>
      <c r="H28" t="s">
        <v>57</v>
      </c>
      <c r="I28" s="3" t="s">
        <v>2765</v>
      </c>
      <c r="J28" s="3" t="s">
        <v>3518</v>
      </c>
      <c r="K28" s="3" t="s">
        <v>3532</v>
      </c>
      <c r="L28" s="3" t="s">
        <v>3565</v>
      </c>
      <c r="M28">
        <v>145.83000000000001</v>
      </c>
      <c r="N28">
        <v>81</v>
      </c>
      <c r="O28">
        <f>Supply_Chain[[#This Row],[Unit_Price]]*Supply_Chain[[#This Row],[Quantity]]</f>
        <v>11812.230000000001</v>
      </c>
      <c r="P28" t="s">
        <v>194</v>
      </c>
      <c r="Q28" t="s">
        <v>35</v>
      </c>
      <c r="R28" t="s">
        <v>195</v>
      </c>
      <c r="S28" t="s">
        <v>50</v>
      </c>
      <c r="T28" t="s">
        <v>71</v>
      </c>
      <c r="U28" t="s">
        <v>196</v>
      </c>
      <c r="V28">
        <v>2241</v>
      </c>
      <c r="W28">
        <v>314</v>
      </c>
      <c r="X28">
        <v>14</v>
      </c>
      <c r="Y28">
        <v>1043.45</v>
      </c>
      <c r="Z28">
        <v>220.42</v>
      </c>
      <c r="AA28" s="9">
        <v>1263.8699999999999</v>
      </c>
      <c r="AB28" t="s">
        <v>52</v>
      </c>
      <c r="AC28">
        <v>0</v>
      </c>
      <c r="AD28">
        <v>81.22</v>
      </c>
      <c r="AE28">
        <v>325</v>
      </c>
      <c r="AF28">
        <v>287</v>
      </c>
      <c r="AG28" s="11">
        <f>Supply_Chain[[#This Row],[Total_Cost]]/Supply_Chain[[#This Row],[Stock_On_Hand]]</f>
        <v>0.56397590361445782</v>
      </c>
    </row>
    <row r="29" spans="1:33" x14ac:dyDescent="0.25">
      <c r="A29" t="s">
        <v>197</v>
      </c>
      <c r="B29" t="s">
        <v>198</v>
      </c>
      <c r="C29" s="1">
        <v>44397</v>
      </c>
      <c r="D29" s="1">
        <v>45630</v>
      </c>
      <c r="E29" t="s">
        <v>43</v>
      </c>
      <c r="F29" t="s">
        <v>115</v>
      </c>
      <c r="G29" t="s">
        <v>56</v>
      </c>
      <c r="H29" t="s">
        <v>128</v>
      </c>
      <c r="I29" s="3" t="s">
        <v>2766</v>
      </c>
      <c r="J29" s="3" t="s">
        <v>3518</v>
      </c>
      <c r="K29" s="3" t="s">
        <v>3532</v>
      </c>
      <c r="L29" s="3" t="s">
        <v>3566</v>
      </c>
      <c r="M29">
        <v>468.12</v>
      </c>
      <c r="N29">
        <v>82</v>
      </c>
      <c r="O29">
        <f>Supply_Chain[[#This Row],[Unit_Price]]*Supply_Chain[[#This Row],[Quantity]]</f>
        <v>38385.840000000004</v>
      </c>
      <c r="P29" t="s">
        <v>199</v>
      </c>
      <c r="Q29" t="s">
        <v>48</v>
      </c>
      <c r="R29" t="s">
        <v>118</v>
      </c>
      <c r="S29" t="s">
        <v>70</v>
      </c>
      <c r="T29" t="s">
        <v>71</v>
      </c>
      <c r="U29" t="s">
        <v>163</v>
      </c>
      <c r="V29">
        <v>4837</v>
      </c>
      <c r="W29">
        <v>267</v>
      </c>
      <c r="X29">
        <v>10</v>
      </c>
      <c r="Y29">
        <v>1473.47</v>
      </c>
      <c r="Z29">
        <v>10.39</v>
      </c>
      <c r="AA29" s="9">
        <v>1483.86</v>
      </c>
      <c r="AB29" t="s">
        <v>52</v>
      </c>
      <c r="AC29">
        <v>0</v>
      </c>
      <c r="AD29">
        <v>79.400000000000006</v>
      </c>
      <c r="AE29">
        <v>297</v>
      </c>
      <c r="AF29">
        <v>342</v>
      </c>
      <c r="AG29" s="11">
        <f>Supply_Chain[[#This Row],[Total_Cost]]/Supply_Chain[[#This Row],[Stock_On_Hand]]</f>
        <v>0.30677279305354554</v>
      </c>
    </row>
    <row r="30" spans="1:33" x14ac:dyDescent="0.25">
      <c r="A30" t="s">
        <v>200</v>
      </c>
      <c r="B30" t="s">
        <v>201</v>
      </c>
      <c r="C30" s="1">
        <v>44699</v>
      </c>
      <c r="D30" s="1">
        <v>43914</v>
      </c>
      <c r="E30" t="s">
        <v>55</v>
      </c>
      <c r="F30" t="s">
        <v>64</v>
      </c>
      <c r="G30" t="s">
        <v>32</v>
      </c>
      <c r="H30" t="s">
        <v>46</v>
      </c>
      <c r="I30" s="3" t="s">
        <v>2767</v>
      </c>
      <c r="J30" s="3" t="s">
        <v>3518</v>
      </c>
      <c r="K30" s="3" t="s">
        <v>3521</v>
      </c>
      <c r="L30" s="3" t="s">
        <v>3567</v>
      </c>
      <c r="M30">
        <v>242.57</v>
      </c>
      <c r="N30">
        <v>80</v>
      </c>
      <c r="O30">
        <f>Supply_Chain[[#This Row],[Unit_Price]]*Supply_Chain[[#This Row],[Quantity]]</f>
        <v>19405.599999999999</v>
      </c>
      <c r="P30" t="s">
        <v>202</v>
      </c>
      <c r="Q30" t="s">
        <v>68</v>
      </c>
      <c r="R30" t="s">
        <v>105</v>
      </c>
      <c r="S30" t="s">
        <v>70</v>
      </c>
      <c r="T30" t="s">
        <v>100</v>
      </c>
      <c r="U30" t="s">
        <v>203</v>
      </c>
      <c r="V30">
        <v>4069</v>
      </c>
      <c r="W30">
        <v>438</v>
      </c>
      <c r="X30">
        <v>29</v>
      </c>
      <c r="Y30">
        <v>1043.1099999999999</v>
      </c>
      <c r="Z30">
        <v>204.1</v>
      </c>
      <c r="AA30" s="9">
        <v>1247.21</v>
      </c>
      <c r="AB30" t="s">
        <v>52</v>
      </c>
      <c r="AC30">
        <v>0</v>
      </c>
      <c r="AD30">
        <v>83.57</v>
      </c>
      <c r="AE30">
        <v>121</v>
      </c>
      <c r="AF30">
        <v>161</v>
      </c>
      <c r="AG30" s="11">
        <f>Supply_Chain[[#This Row],[Total_Cost]]/Supply_Chain[[#This Row],[Stock_On_Hand]]</f>
        <v>0.30651511427869255</v>
      </c>
    </row>
    <row r="31" spans="1:33" x14ac:dyDescent="0.25">
      <c r="A31" t="s">
        <v>204</v>
      </c>
      <c r="B31" t="s">
        <v>205</v>
      </c>
      <c r="C31" s="1">
        <v>44368</v>
      </c>
      <c r="D31" s="1">
        <v>45078</v>
      </c>
      <c r="E31" t="s">
        <v>43</v>
      </c>
      <c r="F31" t="s">
        <v>64</v>
      </c>
      <c r="G31" t="s">
        <v>91</v>
      </c>
      <c r="H31" t="s">
        <v>46</v>
      </c>
      <c r="I31" s="3" t="s">
        <v>2768</v>
      </c>
      <c r="J31" s="3" t="s">
        <v>3518</v>
      </c>
      <c r="K31" s="3" t="s">
        <v>3524</v>
      </c>
      <c r="L31" s="3" t="s">
        <v>3568</v>
      </c>
      <c r="M31">
        <v>351.99</v>
      </c>
      <c r="N31">
        <v>13</v>
      </c>
      <c r="O31">
        <f>Supply_Chain[[#This Row],[Unit_Price]]*Supply_Chain[[#This Row],[Quantity]]</f>
        <v>4575.87</v>
      </c>
      <c r="P31" t="s">
        <v>206</v>
      </c>
      <c r="Q31" t="s">
        <v>48</v>
      </c>
      <c r="R31" t="s">
        <v>176</v>
      </c>
      <c r="S31" t="s">
        <v>70</v>
      </c>
      <c r="T31" t="s">
        <v>100</v>
      </c>
      <c r="U31" t="s">
        <v>207</v>
      </c>
      <c r="V31">
        <v>844</v>
      </c>
      <c r="W31">
        <v>135</v>
      </c>
      <c r="X31">
        <v>22</v>
      </c>
      <c r="Y31">
        <v>828.72</v>
      </c>
      <c r="Z31">
        <v>468.59</v>
      </c>
      <c r="AA31" s="9">
        <v>1297.31</v>
      </c>
      <c r="AB31" t="s">
        <v>40</v>
      </c>
      <c r="AC31">
        <v>1</v>
      </c>
      <c r="AD31">
        <v>93.61</v>
      </c>
      <c r="AE31">
        <v>69</v>
      </c>
      <c r="AF31">
        <v>22</v>
      </c>
      <c r="AG31" s="11">
        <f>Supply_Chain[[#This Row],[Total_Cost]]/Supply_Chain[[#This Row],[Stock_On_Hand]]</f>
        <v>1.5370971563981042</v>
      </c>
    </row>
    <row r="32" spans="1:33" x14ac:dyDescent="0.25">
      <c r="A32" t="s">
        <v>208</v>
      </c>
      <c r="B32" t="s">
        <v>209</v>
      </c>
      <c r="C32" s="1">
        <v>43849</v>
      </c>
      <c r="D32" s="1">
        <v>44295</v>
      </c>
      <c r="E32" t="s">
        <v>43</v>
      </c>
      <c r="F32" t="s">
        <v>115</v>
      </c>
      <c r="G32" t="s">
        <v>65</v>
      </c>
      <c r="H32" t="s">
        <v>66</v>
      </c>
      <c r="I32" s="3" t="s">
        <v>2769</v>
      </c>
      <c r="J32" s="3" t="s">
        <v>3518</v>
      </c>
      <c r="K32" s="3" t="s">
        <v>3524</v>
      </c>
      <c r="L32" s="3" t="s">
        <v>3569</v>
      </c>
      <c r="M32">
        <v>411.06</v>
      </c>
      <c r="N32">
        <v>7</v>
      </c>
      <c r="O32">
        <f>Supply_Chain[[#This Row],[Unit_Price]]*Supply_Chain[[#This Row],[Quantity]]</f>
        <v>2877.42</v>
      </c>
      <c r="P32" t="s">
        <v>210</v>
      </c>
      <c r="Q32" t="s">
        <v>110</v>
      </c>
      <c r="R32" t="s">
        <v>186</v>
      </c>
      <c r="S32" t="s">
        <v>70</v>
      </c>
      <c r="T32" t="s">
        <v>100</v>
      </c>
      <c r="U32" t="s">
        <v>51</v>
      </c>
      <c r="V32">
        <v>94</v>
      </c>
      <c r="W32">
        <v>201</v>
      </c>
      <c r="X32">
        <v>25</v>
      </c>
      <c r="Y32">
        <v>1488.94</v>
      </c>
      <c r="Z32">
        <v>168.71</v>
      </c>
      <c r="AA32" s="9">
        <v>1657.65</v>
      </c>
      <c r="AB32" t="s">
        <v>52</v>
      </c>
      <c r="AC32">
        <v>0</v>
      </c>
      <c r="AD32">
        <v>79.900000000000006</v>
      </c>
      <c r="AE32">
        <v>107</v>
      </c>
      <c r="AF32">
        <v>114</v>
      </c>
      <c r="AG32" s="11">
        <f>Supply_Chain[[#This Row],[Total_Cost]]/Supply_Chain[[#This Row],[Stock_On_Hand]]</f>
        <v>17.634574468085109</v>
      </c>
    </row>
    <row r="33" spans="1:33" x14ac:dyDescent="0.25">
      <c r="A33" t="s">
        <v>211</v>
      </c>
      <c r="B33" t="s">
        <v>212</v>
      </c>
      <c r="C33" s="1">
        <v>45603</v>
      </c>
      <c r="D33" s="1">
        <v>45516</v>
      </c>
      <c r="E33" t="s">
        <v>55</v>
      </c>
      <c r="F33" t="s">
        <v>75</v>
      </c>
      <c r="G33" t="s">
        <v>32</v>
      </c>
      <c r="H33" t="s">
        <v>92</v>
      </c>
      <c r="I33" s="3" t="s">
        <v>2770</v>
      </c>
      <c r="J33" s="3" t="s">
        <v>3519</v>
      </c>
      <c r="K33" s="3" t="s">
        <v>3530</v>
      </c>
      <c r="L33" s="3" t="s">
        <v>3570</v>
      </c>
      <c r="M33">
        <v>137.82</v>
      </c>
      <c r="N33">
        <v>54</v>
      </c>
      <c r="O33">
        <f>Supply_Chain[[#This Row],[Unit_Price]]*Supply_Chain[[#This Row],[Quantity]]</f>
        <v>7442.28</v>
      </c>
      <c r="P33" t="s">
        <v>213</v>
      </c>
      <c r="Q33" t="s">
        <v>35</v>
      </c>
      <c r="R33" t="s">
        <v>214</v>
      </c>
      <c r="S33" t="s">
        <v>50</v>
      </c>
      <c r="T33" t="s">
        <v>60</v>
      </c>
      <c r="U33" t="s">
        <v>215</v>
      </c>
      <c r="V33">
        <v>69</v>
      </c>
      <c r="W33">
        <v>344</v>
      </c>
      <c r="X33">
        <v>25</v>
      </c>
      <c r="Y33">
        <v>1967.45</v>
      </c>
      <c r="Z33">
        <v>375.64</v>
      </c>
      <c r="AA33" s="9">
        <v>2343.09</v>
      </c>
      <c r="AB33" t="s">
        <v>52</v>
      </c>
      <c r="AC33">
        <v>0</v>
      </c>
      <c r="AD33">
        <v>83.54</v>
      </c>
      <c r="AE33">
        <v>438</v>
      </c>
      <c r="AF33">
        <v>395</v>
      </c>
      <c r="AG33" s="11">
        <f>Supply_Chain[[#This Row],[Total_Cost]]/Supply_Chain[[#This Row],[Stock_On_Hand]]</f>
        <v>33.957826086956523</v>
      </c>
    </row>
    <row r="34" spans="1:33" x14ac:dyDescent="0.25">
      <c r="A34" t="s">
        <v>216</v>
      </c>
      <c r="B34" t="s">
        <v>217</v>
      </c>
      <c r="C34" s="1">
        <v>45146</v>
      </c>
      <c r="D34" s="1">
        <v>44514</v>
      </c>
      <c r="E34" t="s">
        <v>43</v>
      </c>
      <c r="F34" t="s">
        <v>115</v>
      </c>
      <c r="G34" t="s">
        <v>56</v>
      </c>
      <c r="H34" t="s">
        <v>57</v>
      </c>
      <c r="I34" s="3" t="s">
        <v>2771</v>
      </c>
      <c r="J34" s="3" t="s">
        <v>84</v>
      </c>
      <c r="K34" s="3" t="s">
        <v>3531</v>
      </c>
      <c r="L34" s="3" t="s">
        <v>3571</v>
      </c>
      <c r="M34">
        <v>300.33999999999997</v>
      </c>
      <c r="N34">
        <v>24</v>
      </c>
      <c r="O34">
        <f>Supply_Chain[[#This Row],[Unit_Price]]*Supply_Chain[[#This Row],[Quantity]]</f>
        <v>7208.16</v>
      </c>
      <c r="P34" t="s">
        <v>218</v>
      </c>
      <c r="Q34" t="s">
        <v>110</v>
      </c>
      <c r="R34" t="s">
        <v>186</v>
      </c>
      <c r="S34" t="s">
        <v>37</v>
      </c>
      <c r="T34" t="s">
        <v>100</v>
      </c>
      <c r="U34" t="s">
        <v>219</v>
      </c>
      <c r="V34">
        <v>4925</v>
      </c>
      <c r="W34">
        <v>263</v>
      </c>
      <c r="X34">
        <v>24</v>
      </c>
      <c r="Y34">
        <v>1282.05</v>
      </c>
      <c r="Z34">
        <v>333.53</v>
      </c>
      <c r="AA34" s="9">
        <v>1615.58</v>
      </c>
      <c r="AB34" t="s">
        <v>52</v>
      </c>
      <c r="AC34">
        <v>0</v>
      </c>
      <c r="AD34">
        <v>89.63</v>
      </c>
      <c r="AE34">
        <v>210</v>
      </c>
      <c r="AF34">
        <v>216</v>
      </c>
      <c r="AG34" s="11">
        <f>Supply_Chain[[#This Row],[Total_Cost]]/Supply_Chain[[#This Row],[Stock_On_Hand]]</f>
        <v>0.32803654822335027</v>
      </c>
    </row>
    <row r="35" spans="1:33" x14ac:dyDescent="0.25">
      <c r="A35" t="s">
        <v>220</v>
      </c>
      <c r="B35" t="s">
        <v>221</v>
      </c>
      <c r="C35" s="1">
        <v>44022</v>
      </c>
      <c r="D35" s="1">
        <v>45238</v>
      </c>
      <c r="E35" t="s">
        <v>55</v>
      </c>
      <c r="F35" t="s">
        <v>44</v>
      </c>
      <c r="G35" t="s">
        <v>32</v>
      </c>
      <c r="H35" t="s">
        <v>66</v>
      </c>
      <c r="I35" s="3" t="s">
        <v>2772</v>
      </c>
      <c r="J35" s="3" t="s">
        <v>3519</v>
      </c>
      <c r="K35" s="3" t="s">
        <v>3530</v>
      </c>
      <c r="L35" s="3" t="s">
        <v>3572</v>
      </c>
      <c r="M35">
        <v>216.49</v>
      </c>
      <c r="N35">
        <v>37</v>
      </c>
      <c r="O35">
        <f>Supply_Chain[[#This Row],[Unit_Price]]*Supply_Chain[[#This Row],[Quantity]]</f>
        <v>8010.13</v>
      </c>
      <c r="P35" t="s">
        <v>222</v>
      </c>
      <c r="Q35" t="s">
        <v>110</v>
      </c>
      <c r="R35" t="s">
        <v>105</v>
      </c>
      <c r="S35" t="s">
        <v>119</v>
      </c>
      <c r="T35" t="s">
        <v>79</v>
      </c>
      <c r="U35" t="s">
        <v>223</v>
      </c>
      <c r="V35">
        <v>3907</v>
      </c>
      <c r="W35">
        <v>302</v>
      </c>
      <c r="X35">
        <v>15</v>
      </c>
      <c r="Y35">
        <v>1106.1099999999999</v>
      </c>
      <c r="Z35">
        <v>27.21</v>
      </c>
      <c r="AA35" s="9">
        <v>1133.32</v>
      </c>
      <c r="AB35" t="s">
        <v>52</v>
      </c>
      <c r="AC35">
        <v>0</v>
      </c>
      <c r="AD35">
        <v>71.8</v>
      </c>
      <c r="AE35">
        <v>53</v>
      </c>
      <c r="AF35">
        <v>52</v>
      </c>
      <c r="AG35" s="11">
        <f>Supply_Chain[[#This Row],[Total_Cost]]/Supply_Chain[[#This Row],[Stock_On_Hand]]</f>
        <v>0.29007422574865627</v>
      </c>
    </row>
    <row r="36" spans="1:33" x14ac:dyDescent="0.25">
      <c r="A36" t="s">
        <v>224</v>
      </c>
      <c r="B36" t="s">
        <v>225</v>
      </c>
      <c r="C36" s="1">
        <v>44696</v>
      </c>
      <c r="D36" s="1">
        <v>44533</v>
      </c>
      <c r="E36" t="s">
        <v>55</v>
      </c>
      <c r="F36" t="s">
        <v>64</v>
      </c>
      <c r="G36" t="s">
        <v>65</v>
      </c>
      <c r="H36" t="s">
        <v>46</v>
      </c>
      <c r="I36" s="3" t="s">
        <v>2773</v>
      </c>
      <c r="J36" s="3" t="s">
        <v>84</v>
      </c>
      <c r="K36" s="3" t="s">
        <v>3529</v>
      </c>
      <c r="L36" s="3" t="s">
        <v>3573</v>
      </c>
      <c r="M36">
        <v>333.08</v>
      </c>
      <c r="N36">
        <v>75</v>
      </c>
      <c r="O36">
        <f>Supply_Chain[[#This Row],[Unit_Price]]*Supply_Chain[[#This Row],[Quantity]]</f>
        <v>24981</v>
      </c>
      <c r="P36" t="s">
        <v>226</v>
      </c>
      <c r="Q36" t="s">
        <v>35</v>
      </c>
      <c r="R36" t="s">
        <v>181</v>
      </c>
      <c r="S36" t="s">
        <v>119</v>
      </c>
      <c r="T36" t="s">
        <v>60</v>
      </c>
      <c r="U36" t="s">
        <v>227</v>
      </c>
      <c r="V36">
        <v>2211</v>
      </c>
      <c r="W36">
        <v>55</v>
      </c>
      <c r="X36">
        <v>11</v>
      </c>
      <c r="Y36">
        <v>578.38</v>
      </c>
      <c r="Z36">
        <v>28.73</v>
      </c>
      <c r="AA36" s="9">
        <v>607.11</v>
      </c>
      <c r="AB36" t="s">
        <v>40</v>
      </c>
      <c r="AC36">
        <v>9</v>
      </c>
      <c r="AD36">
        <v>94.51</v>
      </c>
      <c r="AE36">
        <v>319</v>
      </c>
      <c r="AF36">
        <v>343</v>
      </c>
      <c r="AG36" s="11">
        <f>Supply_Chain[[#This Row],[Total_Cost]]/Supply_Chain[[#This Row],[Stock_On_Hand]]</f>
        <v>0.27458616010854819</v>
      </c>
    </row>
    <row r="37" spans="1:33" x14ac:dyDescent="0.25">
      <c r="A37" t="s">
        <v>228</v>
      </c>
      <c r="B37" t="s">
        <v>229</v>
      </c>
      <c r="C37" s="1">
        <v>44924</v>
      </c>
      <c r="D37" s="1">
        <v>44760</v>
      </c>
      <c r="E37" t="s">
        <v>55</v>
      </c>
      <c r="F37" t="s">
        <v>115</v>
      </c>
      <c r="G37" t="s">
        <v>65</v>
      </c>
      <c r="H37" t="s">
        <v>46</v>
      </c>
      <c r="I37" s="3" t="s">
        <v>2774</v>
      </c>
      <c r="J37" s="3" t="s">
        <v>3518</v>
      </c>
      <c r="K37" s="3" t="s">
        <v>3522</v>
      </c>
      <c r="L37" s="3" t="s">
        <v>3574</v>
      </c>
      <c r="M37">
        <v>145.38</v>
      </c>
      <c r="N37">
        <v>1</v>
      </c>
      <c r="O37">
        <f>Supply_Chain[[#This Row],[Unit_Price]]*Supply_Chain[[#This Row],[Quantity]]</f>
        <v>145.38</v>
      </c>
      <c r="P37" t="s">
        <v>230</v>
      </c>
      <c r="Q37" t="s">
        <v>110</v>
      </c>
      <c r="R37" t="s">
        <v>231</v>
      </c>
      <c r="S37" t="s">
        <v>119</v>
      </c>
      <c r="T37" t="s">
        <v>71</v>
      </c>
      <c r="U37" t="s">
        <v>232</v>
      </c>
      <c r="V37">
        <v>3348</v>
      </c>
      <c r="W37">
        <v>136</v>
      </c>
      <c r="X37">
        <v>13</v>
      </c>
      <c r="Y37">
        <v>1821.62</v>
      </c>
      <c r="Z37">
        <v>340.54</v>
      </c>
      <c r="AA37" s="9">
        <v>2162.16</v>
      </c>
      <c r="AB37" t="s">
        <v>52</v>
      </c>
      <c r="AC37">
        <v>0</v>
      </c>
      <c r="AD37">
        <v>78.680000000000007</v>
      </c>
      <c r="AE37">
        <v>87</v>
      </c>
      <c r="AF37">
        <v>40</v>
      </c>
      <c r="AG37" s="11">
        <f>Supply_Chain[[#This Row],[Total_Cost]]/Supply_Chain[[#This Row],[Stock_On_Hand]]</f>
        <v>0.64580645161290318</v>
      </c>
    </row>
    <row r="38" spans="1:33" x14ac:dyDescent="0.25">
      <c r="A38" t="s">
        <v>233</v>
      </c>
      <c r="B38" t="s">
        <v>234</v>
      </c>
      <c r="C38" s="1">
        <v>43882</v>
      </c>
      <c r="D38" s="1">
        <v>44530</v>
      </c>
      <c r="E38" t="s">
        <v>55</v>
      </c>
      <c r="F38" t="s">
        <v>44</v>
      </c>
      <c r="G38" t="s">
        <v>76</v>
      </c>
      <c r="H38" t="s">
        <v>116</v>
      </c>
      <c r="I38" s="3" t="s">
        <v>2775</v>
      </c>
      <c r="J38" s="3" t="s">
        <v>3518</v>
      </c>
      <c r="K38" s="3" t="s">
        <v>3523</v>
      </c>
      <c r="L38" s="3" t="s">
        <v>3575</v>
      </c>
      <c r="M38">
        <v>480</v>
      </c>
      <c r="N38">
        <v>51</v>
      </c>
      <c r="O38">
        <f>Supply_Chain[[#This Row],[Unit_Price]]*Supply_Chain[[#This Row],[Quantity]]</f>
        <v>24480</v>
      </c>
      <c r="P38" t="s">
        <v>235</v>
      </c>
      <c r="Q38" t="s">
        <v>48</v>
      </c>
      <c r="R38" t="s">
        <v>236</v>
      </c>
      <c r="S38" t="s">
        <v>37</v>
      </c>
      <c r="T38" t="s">
        <v>100</v>
      </c>
      <c r="U38" t="s">
        <v>125</v>
      </c>
      <c r="V38">
        <v>1715</v>
      </c>
      <c r="W38">
        <v>134</v>
      </c>
      <c r="X38">
        <v>4</v>
      </c>
      <c r="Y38">
        <v>1113.7</v>
      </c>
      <c r="Z38">
        <v>465.86</v>
      </c>
      <c r="AA38" s="9">
        <v>1579.56</v>
      </c>
      <c r="AB38" t="s">
        <v>52</v>
      </c>
      <c r="AC38">
        <v>0</v>
      </c>
      <c r="AD38">
        <v>98.67</v>
      </c>
      <c r="AE38">
        <v>94</v>
      </c>
      <c r="AF38">
        <v>120</v>
      </c>
      <c r="AG38" s="11">
        <f>Supply_Chain[[#This Row],[Total_Cost]]/Supply_Chain[[#This Row],[Stock_On_Hand]]</f>
        <v>0.92102623906705539</v>
      </c>
    </row>
    <row r="39" spans="1:33" x14ac:dyDescent="0.25">
      <c r="A39" t="s">
        <v>237</v>
      </c>
      <c r="B39" t="s">
        <v>238</v>
      </c>
      <c r="C39" s="1">
        <v>44262</v>
      </c>
      <c r="D39" s="1">
        <v>44627</v>
      </c>
      <c r="E39" t="s">
        <v>43</v>
      </c>
      <c r="F39" t="s">
        <v>75</v>
      </c>
      <c r="G39" t="s">
        <v>76</v>
      </c>
      <c r="H39" t="s">
        <v>66</v>
      </c>
      <c r="I39" s="3" t="s">
        <v>2776</v>
      </c>
      <c r="J39" s="3" t="s">
        <v>3519</v>
      </c>
      <c r="K39" s="3" t="s">
        <v>3528</v>
      </c>
      <c r="L39" s="3" t="s">
        <v>3576</v>
      </c>
      <c r="M39">
        <v>470.66</v>
      </c>
      <c r="N39">
        <v>68</v>
      </c>
      <c r="O39">
        <f>Supply_Chain[[#This Row],[Unit_Price]]*Supply_Chain[[#This Row],[Quantity]]</f>
        <v>32004.880000000001</v>
      </c>
      <c r="P39" t="s">
        <v>239</v>
      </c>
      <c r="Q39" t="s">
        <v>35</v>
      </c>
      <c r="R39" t="s">
        <v>240</v>
      </c>
      <c r="S39" t="s">
        <v>70</v>
      </c>
      <c r="T39" t="s">
        <v>38</v>
      </c>
      <c r="U39" t="s">
        <v>241</v>
      </c>
      <c r="V39">
        <v>4201</v>
      </c>
      <c r="W39">
        <v>360</v>
      </c>
      <c r="X39">
        <v>28</v>
      </c>
      <c r="Y39">
        <v>606.94000000000005</v>
      </c>
      <c r="Z39">
        <v>164.04</v>
      </c>
      <c r="AA39" s="9">
        <v>770.98</v>
      </c>
      <c r="AB39" t="s">
        <v>40</v>
      </c>
      <c r="AC39">
        <v>7</v>
      </c>
      <c r="AD39">
        <v>70.42</v>
      </c>
      <c r="AE39">
        <v>286</v>
      </c>
      <c r="AF39">
        <v>243</v>
      </c>
      <c r="AG39" s="11">
        <f>Supply_Chain[[#This Row],[Total_Cost]]/Supply_Chain[[#This Row],[Stock_On_Hand]]</f>
        <v>0.18352297072125684</v>
      </c>
    </row>
    <row r="40" spans="1:33" x14ac:dyDescent="0.25">
      <c r="A40" t="s">
        <v>242</v>
      </c>
      <c r="B40" t="s">
        <v>243</v>
      </c>
      <c r="C40" s="1">
        <v>44229</v>
      </c>
      <c r="D40" s="1">
        <v>43895</v>
      </c>
      <c r="E40" t="s">
        <v>55</v>
      </c>
      <c r="F40" t="s">
        <v>31</v>
      </c>
      <c r="G40" t="s">
        <v>45</v>
      </c>
      <c r="H40" t="s">
        <v>33</v>
      </c>
      <c r="I40" s="3" t="s">
        <v>2777</v>
      </c>
      <c r="J40" s="3" t="s">
        <v>3518</v>
      </c>
      <c r="K40" s="3" t="s">
        <v>3533</v>
      </c>
      <c r="L40" s="3" t="s">
        <v>3577</v>
      </c>
      <c r="M40">
        <v>180</v>
      </c>
      <c r="N40">
        <v>67</v>
      </c>
      <c r="O40">
        <f>Supply_Chain[[#This Row],[Unit_Price]]*Supply_Chain[[#This Row],[Quantity]]</f>
        <v>12060</v>
      </c>
      <c r="P40" t="s">
        <v>244</v>
      </c>
      <c r="Q40" t="s">
        <v>35</v>
      </c>
      <c r="R40" t="s">
        <v>118</v>
      </c>
      <c r="S40" t="s">
        <v>50</v>
      </c>
      <c r="T40" t="s">
        <v>79</v>
      </c>
      <c r="U40" t="s">
        <v>215</v>
      </c>
      <c r="V40">
        <v>1642</v>
      </c>
      <c r="W40">
        <v>144</v>
      </c>
      <c r="X40">
        <v>2</v>
      </c>
      <c r="Y40">
        <v>1800.52</v>
      </c>
      <c r="Z40">
        <v>464.69</v>
      </c>
      <c r="AA40" s="9">
        <v>2265.21</v>
      </c>
      <c r="AB40" t="s">
        <v>40</v>
      </c>
      <c r="AC40">
        <v>13</v>
      </c>
      <c r="AD40">
        <v>74.709999999999994</v>
      </c>
      <c r="AE40">
        <v>255</v>
      </c>
      <c r="AF40">
        <v>255</v>
      </c>
      <c r="AG40" s="11">
        <f>Supply_Chain[[#This Row],[Total_Cost]]/Supply_Chain[[#This Row],[Stock_On_Hand]]</f>
        <v>1.379543239951279</v>
      </c>
    </row>
    <row r="41" spans="1:33" x14ac:dyDescent="0.25">
      <c r="A41" t="s">
        <v>245</v>
      </c>
      <c r="B41" t="s">
        <v>246</v>
      </c>
      <c r="C41" s="1">
        <v>45144</v>
      </c>
      <c r="D41" s="1">
        <v>44791</v>
      </c>
      <c r="E41" t="s">
        <v>55</v>
      </c>
      <c r="F41" t="s">
        <v>64</v>
      </c>
      <c r="G41" t="s">
        <v>247</v>
      </c>
      <c r="H41" t="s">
        <v>116</v>
      </c>
      <c r="I41" s="3" t="s">
        <v>2778</v>
      </c>
      <c r="J41" s="3" t="s">
        <v>84</v>
      </c>
      <c r="K41" s="3" t="s">
        <v>3531</v>
      </c>
      <c r="L41" s="3" t="s">
        <v>3578</v>
      </c>
      <c r="M41">
        <v>99.22</v>
      </c>
      <c r="N41">
        <v>60</v>
      </c>
      <c r="O41">
        <f>Supply_Chain[[#This Row],[Unit_Price]]*Supply_Chain[[#This Row],[Quantity]]</f>
        <v>5953.2</v>
      </c>
      <c r="P41" t="s">
        <v>123</v>
      </c>
      <c r="Q41" t="s">
        <v>86</v>
      </c>
      <c r="R41" t="s">
        <v>248</v>
      </c>
      <c r="S41" t="s">
        <v>70</v>
      </c>
      <c r="T41" t="s">
        <v>71</v>
      </c>
      <c r="U41" t="s">
        <v>249</v>
      </c>
      <c r="V41">
        <v>4384</v>
      </c>
      <c r="W41">
        <v>346</v>
      </c>
      <c r="X41">
        <v>21</v>
      </c>
      <c r="Y41">
        <v>1003.34</v>
      </c>
      <c r="Z41">
        <v>141.62</v>
      </c>
      <c r="AA41" s="9">
        <v>1144.96</v>
      </c>
      <c r="AB41" t="s">
        <v>52</v>
      </c>
      <c r="AC41">
        <v>0</v>
      </c>
      <c r="AD41">
        <v>76.63</v>
      </c>
      <c r="AE41">
        <v>433</v>
      </c>
      <c r="AF41">
        <v>448</v>
      </c>
      <c r="AG41" s="11">
        <f>Supply_Chain[[#This Row],[Total_Cost]]/Supply_Chain[[#This Row],[Stock_On_Hand]]</f>
        <v>0.26116788321167883</v>
      </c>
    </row>
    <row r="42" spans="1:33" x14ac:dyDescent="0.25">
      <c r="A42" t="s">
        <v>250</v>
      </c>
      <c r="B42" t="s">
        <v>251</v>
      </c>
      <c r="C42" s="1">
        <v>45372</v>
      </c>
      <c r="D42" s="1">
        <v>45633</v>
      </c>
      <c r="E42" t="s">
        <v>55</v>
      </c>
      <c r="F42" t="s">
        <v>64</v>
      </c>
      <c r="G42" t="s">
        <v>32</v>
      </c>
      <c r="H42" t="s">
        <v>128</v>
      </c>
      <c r="I42" s="3" t="s">
        <v>2779</v>
      </c>
      <c r="J42" s="3" t="s">
        <v>3518</v>
      </c>
      <c r="K42" s="3" t="s">
        <v>3522</v>
      </c>
      <c r="L42" s="3" t="s">
        <v>3579</v>
      </c>
      <c r="M42">
        <v>214.03</v>
      </c>
      <c r="N42">
        <v>46</v>
      </c>
      <c r="O42">
        <f>Supply_Chain[[#This Row],[Unit_Price]]*Supply_Chain[[#This Row],[Quantity]]</f>
        <v>9845.3799999999992</v>
      </c>
      <c r="P42" t="s">
        <v>252</v>
      </c>
      <c r="Q42" t="s">
        <v>110</v>
      </c>
      <c r="R42" t="s">
        <v>253</v>
      </c>
      <c r="S42" t="s">
        <v>70</v>
      </c>
      <c r="T42" t="s">
        <v>60</v>
      </c>
      <c r="U42" t="s">
        <v>88</v>
      </c>
      <c r="V42">
        <v>141</v>
      </c>
      <c r="W42">
        <v>93</v>
      </c>
      <c r="X42">
        <v>22</v>
      </c>
      <c r="Y42">
        <v>720.04</v>
      </c>
      <c r="Z42">
        <v>53.53</v>
      </c>
      <c r="AA42" s="9">
        <v>773.56999999999994</v>
      </c>
      <c r="AB42" t="s">
        <v>52</v>
      </c>
      <c r="AC42">
        <v>0</v>
      </c>
      <c r="AD42">
        <v>70.56</v>
      </c>
      <c r="AE42">
        <v>136</v>
      </c>
      <c r="AF42">
        <v>142</v>
      </c>
      <c r="AG42" s="11">
        <f>Supply_Chain[[#This Row],[Total_Cost]]/Supply_Chain[[#This Row],[Stock_On_Hand]]</f>
        <v>5.4863120567375878</v>
      </c>
    </row>
    <row r="43" spans="1:33" x14ac:dyDescent="0.25">
      <c r="A43" t="s">
        <v>254</v>
      </c>
      <c r="B43" t="s">
        <v>255</v>
      </c>
      <c r="C43" s="1">
        <v>43987</v>
      </c>
      <c r="D43" s="1">
        <v>45172</v>
      </c>
      <c r="E43" t="s">
        <v>55</v>
      </c>
      <c r="F43" t="s">
        <v>75</v>
      </c>
      <c r="G43" t="s">
        <v>247</v>
      </c>
      <c r="H43" t="s">
        <v>66</v>
      </c>
      <c r="I43" s="3" t="s">
        <v>2780</v>
      </c>
      <c r="J43" s="3" t="s">
        <v>3518</v>
      </c>
      <c r="K43" s="3" t="s">
        <v>3532</v>
      </c>
      <c r="L43" s="3" t="s">
        <v>3580</v>
      </c>
      <c r="M43">
        <v>101.7</v>
      </c>
      <c r="N43">
        <v>40</v>
      </c>
      <c r="O43">
        <f>Supply_Chain[[#This Row],[Unit_Price]]*Supply_Chain[[#This Row],[Quantity]]</f>
        <v>4068</v>
      </c>
      <c r="P43" t="s">
        <v>256</v>
      </c>
      <c r="Q43" t="s">
        <v>35</v>
      </c>
      <c r="R43" t="s">
        <v>130</v>
      </c>
      <c r="S43" t="s">
        <v>37</v>
      </c>
      <c r="T43" t="s">
        <v>60</v>
      </c>
      <c r="U43" t="s">
        <v>257</v>
      </c>
      <c r="V43">
        <v>2411</v>
      </c>
      <c r="W43">
        <v>281</v>
      </c>
      <c r="X43">
        <v>15</v>
      </c>
      <c r="Y43">
        <v>915.63</v>
      </c>
      <c r="Z43">
        <v>97.85</v>
      </c>
      <c r="AA43" s="9">
        <v>1013.48</v>
      </c>
      <c r="AB43" t="s">
        <v>52</v>
      </c>
      <c r="AC43">
        <v>0</v>
      </c>
      <c r="AD43">
        <v>79.010000000000005</v>
      </c>
      <c r="AE43">
        <v>411</v>
      </c>
      <c r="AF43">
        <v>389</v>
      </c>
      <c r="AG43" s="11">
        <f>Supply_Chain[[#This Row],[Total_Cost]]/Supply_Chain[[#This Row],[Stock_On_Hand]]</f>
        <v>0.42035669846536705</v>
      </c>
    </row>
    <row r="44" spans="1:33" x14ac:dyDescent="0.25">
      <c r="A44" t="s">
        <v>258</v>
      </c>
      <c r="B44" t="s">
        <v>259</v>
      </c>
      <c r="C44" s="1">
        <v>44861</v>
      </c>
      <c r="D44" s="1">
        <v>45582</v>
      </c>
      <c r="E44" t="s">
        <v>55</v>
      </c>
      <c r="F44" t="s">
        <v>75</v>
      </c>
      <c r="G44" t="s">
        <v>91</v>
      </c>
      <c r="H44" t="s">
        <v>66</v>
      </c>
      <c r="I44" s="3" t="s">
        <v>2781</v>
      </c>
      <c r="J44" s="3" t="s">
        <v>3518</v>
      </c>
      <c r="K44" s="3" t="s">
        <v>3521</v>
      </c>
      <c r="L44" s="3" t="s">
        <v>3581</v>
      </c>
      <c r="M44">
        <v>35.479999999999997</v>
      </c>
      <c r="N44">
        <v>88</v>
      </c>
      <c r="O44">
        <f>Supply_Chain[[#This Row],[Unit_Price]]*Supply_Chain[[#This Row],[Quantity]]</f>
        <v>3122.24</v>
      </c>
      <c r="P44" t="s">
        <v>260</v>
      </c>
      <c r="Q44" t="s">
        <v>35</v>
      </c>
      <c r="R44" t="s">
        <v>162</v>
      </c>
      <c r="S44" t="s">
        <v>37</v>
      </c>
      <c r="T44" t="s">
        <v>79</v>
      </c>
      <c r="U44" t="s">
        <v>163</v>
      </c>
      <c r="V44">
        <v>4523</v>
      </c>
      <c r="W44">
        <v>193</v>
      </c>
      <c r="X44">
        <v>25</v>
      </c>
      <c r="Y44">
        <v>1326.42</v>
      </c>
      <c r="Z44">
        <v>235.58</v>
      </c>
      <c r="AA44" s="9">
        <v>1562</v>
      </c>
      <c r="AB44" t="s">
        <v>52</v>
      </c>
      <c r="AC44">
        <v>0</v>
      </c>
      <c r="AD44">
        <v>79.67</v>
      </c>
      <c r="AE44">
        <v>306</v>
      </c>
      <c r="AF44">
        <v>256</v>
      </c>
      <c r="AG44" s="11">
        <f>Supply_Chain[[#This Row],[Total_Cost]]/Supply_Chain[[#This Row],[Stock_On_Hand]]</f>
        <v>0.34534600928587222</v>
      </c>
    </row>
    <row r="45" spans="1:33" x14ac:dyDescent="0.25">
      <c r="A45" t="s">
        <v>261</v>
      </c>
      <c r="B45" t="s">
        <v>262</v>
      </c>
      <c r="C45" s="1">
        <v>44505</v>
      </c>
      <c r="D45" s="1">
        <v>44454</v>
      </c>
      <c r="E45" t="s">
        <v>43</v>
      </c>
      <c r="F45" t="s">
        <v>75</v>
      </c>
      <c r="G45" t="s">
        <v>83</v>
      </c>
      <c r="H45" t="s">
        <v>116</v>
      </c>
      <c r="I45" s="3" t="s">
        <v>2782</v>
      </c>
      <c r="J45" s="3" t="s">
        <v>84</v>
      </c>
      <c r="K45" s="3" t="s">
        <v>3526</v>
      </c>
      <c r="L45" s="3" t="s">
        <v>3582</v>
      </c>
      <c r="M45">
        <v>10.63</v>
      </c>
      <c r="N45">
        <v>28</v>
      </c>
      <c r="O45">
        <f>Supply_Chain[[#This Row],[Unit_Price]]*Supply_Chain[[#This Row],[Quantity]]</f>
        <v>297.64000000000004</v>
      </c>
      <c r="P45" t="s">
        <v>263</v>
      </c>
      <c r="Q45" t="s">
        <v>48</v>
      </c>
      <c r="R45" t="s">
        <v>264</v>
      </c>
      <c r="S45" t="s">
        <v>119</v>
      </c>
      <c r="T45" t="s">
        <v>38</v>
      </c>
      <c r="U45" t="s">
        <v>265</v>
      </c>
      <c r="V45">
        <v>2820</v>
      </c>
      <c r="W45">
        <v>366</v>
      </c>
      <c r="X45">
        <v>12</v>
      </c>
      <c r="Y45">
        <v>212.88</v>
      </c>
      <c r="Z45">
        <v>153.52000000000001</v>
      </c>
      <c r="AA45" s="9">
        <v>366.4</v>
      </c>
      <c r="AB45" t="s">
        <v>52</v>
      </c>
      <c r="AC45">
        <v>0</v>
      </c>
      <c r="AD45">
        <v>75.5</v>
      </c>
      <c r="AE45">
        <v>233</v>
      </c>
      <c r="AF45">
        <v>185</v>
      </c>
      <c r="AG45" s="11">
        <f>Supply_Chain[[#This Row],[Total_Cost]]/Supply_Chain[[#This Row],[Stock_On_Hand]]</f>
        <v>0.12992907801418438</v>
      </c>
    </row>
    <row r="46" spans="1:33" x14ac:dyDescent="0.25">
      <c r="A46" t="s">
        <v>266</v>
      </c>
      <c r="B46" t="s">
        <v>267</v>
      </c>
      <c r="C46" s="1">
        <v>45212</v>
      </c>
      <c r="D46" s="1">
        <v>45358</v>
      </c>
      <c r="E46" t="s">
        <v>55</v>
      </c>
      <c r="F46" t="s">
        <v>75</v>
      </c>
      <c r="G46" t="s">
        <v>32</v>
      </c>
      <c r="H46" t="s">
        <v>33</v>
      </c>
      <c r="I46" s="3" t="s">
        <v>2783</v>
      </c>
      <c r="J46" s="3" t="s">
        <v>84</v>
      </c>
      <c r="K46" s="3" t="s">
        <v>3529</v>
      </c>
      <c r="L46" s="3" t="s">
        <v>3583</v>
      </c>
      <c r="M46">
        <v>463.15</v>
      </c>
      <c r="N46">
        <v>17</v>
      </c>
      <c r="O46">
        <f>Supply_Chain[[#This Row],[Unit_Price]]*Supply_Chain[[#This Row],[Quantity]]</f>
        <v>7873.5499999999993</v>
      </c>
      <c r="P46" t="s">
        <v>268</v>
      </c>
      <c r="Q46" t="s">
        <v>68</v>
      </c>
      <c r="R46" t="s">
        <v>269</v>
      </c>
      <c r="S46" t="s">
        <v>119</v>
      </c>
      <c r="T46" t="s">
        <v>79</v>
      </c>
      <c r="U46" t="s">
        <v>270</v>
      </c>
      <c r="V46">
        <v>4892</v>
      </c>
      <c r="W46">
        <v>165</v>
      </c>
      <c r="X46">
        <v>14</v>
      </c>
      <c r="Y46">
        <v>1330.81</v>
      </c>
      <c r="Z46">
        <v>261.88</v>
      </c>
      <c r="AA46" s="9">
        <v>1592.69</v>
      </c>
      <c r="AB46" t="s">
        <v>52</v>
      </c>
      <c r="AC46">
        <v>0</v>
      </c>
      <c r="AD46">
        <v>76.61</v>
      </c>
      <c r="AE46">
        <v>93</v>
      </c>
      <c r="AF46">
        <v>102</v>
      </c>
      <c r="AG46" s="11">
        <f>Supply_Chain[[#This Row],[Total_Cost]]/Supply_Chain[[#This Row],[Stock_On_Hand]]</f>
        <v>0.32557031888798038</v>
      </c>
    </row>
    <row r="47" spans="1:33" x14ac:dyDescent="0.25">
      <c r="A47" t="s">
        <v>271</v>
      </c>
      <c r="B47" t="s">
        <v>272</v>
      </c>
      <c r="C47" s="1">
        <v>44894</v>
      </c>
      <c r="D47" s="1">
        <v>44573</v>
      </c>
      <c r="E47" t="s">
        <v>43</v>
      </c>
      <c r="F47" t="s">
        <v>115</v>
      </c>
      <c r="G47" t="s">
        <v>83</v>
      </c>
      <c r="H47" t="s">
        <v>92</v>
      </c>
      <c r="I47" s="3" t="s">
        <v>2784</v>
      </c>
      <c r="J47" s="3" t="s">
        <v>84</v>
      </c>
      <c r="K47" s="3" t="s">
        <v>3529</v>
      </c>
      <c r="L47" s="3" t="s">
        <v>3584</v>
      </c>
      <c r="M47">
        <v>208.71</v>
      </c>
      <c r="N47">
        <v>61</v>
      </c>
      <c r="O47">
        <f>Supply_Chain[[#This Row],[Unit_Price]]*Supply_Chain[[#This Row],[Quantity]]</f>
        <v>12731.310000000001</v>
      </c>
      <c r="P47" t="s">
        <v>273</v>
      </c>
      <c r="Q47" t="s">
        <v>86</v>
      </c>
      <c r="R47" t="s">
        <v>145</v>
      </c>
      <c r="S47" t="s">
        <v>37</v>
      </c>
      <c r="T47" t="s">
        <v>60</v>
      </c>
      <c r="U47" t="s">
        <v>112</v>
      </c>
      <c r="V47">
        <v>4975</v>
      </c>
      <c r="W47">
        <v>368</v>
      </c>
      <c r="X47">
        <v>11</v>
      </c>
      <c r="Y47">
        <v>1868.54</v>
      </c>
      <c r="Z47">
        <v>45.52</v>
      </c>
      <c r="AA47" s="9">
        <v>1914.06</v>
      </c>
      <c r="AB47" t="s">
        <v>52</v>
      </c>
      <c r="AC47">
        <v>0</v>
      </c>
      <c r="AD47">
        <v>88.77</v>
      </c>
      <c r="AE47">
        <v>305</v>
      </c>
      <c r="AF47">
        <v>315</v>
      </c>
      <c r="AG47" s="11">
        <f>Supply_Chain[[#This Row],[Total_Cost]]/Supply_Chain[[#This Row],[Stock_On_Hand]]</f>
        <v>0.38473567839195977</v>
      </c>
    </row>
    <row r="48" spans="1:33" x14ac:dyDescent="0.25">
      <c r="A48" t="s">
        <v>274</v>
      </c>
      <c r="B48" t="s">
        <v>275</v>
      </c>
      <c r="C48" s="1">
        <v>44512</v>
      </c>
      <c r="D48" s="1">
        <v>45044</v>
      </c>
      <c r="E48" t="s">
        <v>55</v>
      </c>
      <c r="F48" t="s">
        <v>75</v>
      </c>
      <c r="G48" t="s">
        <v>76</v>
      </c>
      <c r="H48" t="s">
        <v>116</v>
      </c>
      <c r="I48" s="3" t="s">
        <v>2785</v>
      </c>
      <c r="J48" s="3" t="s">
        <v>84</v>
      </c>
      <c r="K48" s="3" t="s">
        <v>3529</v>
      </c>
      <c r="L48" s="3" t="s">
        <v>3585</v>
      </c>
      <c r="M48">
        <v>18.760000000000002</v>
      </c>
      <c r="N48">
        <v>44</v>
      </c>
      <c r="O48">
        <f>Supply_Chain[[#This Row],[Unit_Price]]*Supply_Chain[[#This Row],[Quantity]]</f>
        <v>825.44</v>
      </c>
      <c r="P48" t="s">
        <v>276</v>
      </c>
      <c r="Q48" t="s">
        <v>68</v>
      </c>
      <c r="R48" t="s">
        <v>277</v>
      </c>
      <c r="S48" t="s">
        <v>70</v>
      </c>
      <c r="T48" t="s">
        <v>60</v>
      </c>
      <c r="U48" t="s">
        <v>219</v>
      </c>
      <c r="V48">
        <v>4633</v>
      </c>
      <c r="W48">
        <v>97</v>
      </c>
      <c r="X48">
        <v>15</v>
      </c>
      <c r="Y48">
        <v>391.26</v>
      </c>
      <c r="Z48">
        <v>106.04</v>
      </c>
      <c r="AA48" s="9">
        <v>497.3</v>
      </c>
      <c r="AB48" t="s">
        <v>52</v>
      </c>
      <c r="AC48">
        <v>0</v>
      </c>
      <c r="AD48">
        <v>71.75</v>
      </c>
      <c r="AE48">
        <v>411</v>
      </c>
      <c r="AF48">
        <v>364</v>
      </c>
      <c r="AG48" s="11">
        <f>Supply_Chain[[#This Row],[Total_Cost]]/Supply_Chain[[#This Row],[Stock_On_Hand]]</f>
        <v>0.10733865745737103</v>
      </c>
    </row>
    <row r="49" spans="1:33" x14ac:dyDescent="0.25">
      <c r="A49" t="s">
        <v>278</v>
      </c>
      <c r="B49" t="s">
        <v>279</v>
      </c>
      <c r="C49" s="1">
        <v>44095</v>
      </c>
      <c r="D49" s="1">
        <v>45470</v>
      </c>
      <c r="E49" t="s">
        <v>43</v>
      </c>
      <c r="F49" t="s">
        <v>75</v>
      </c>
      <c r="G49" t="s">
        <v>91</v>
      </c>
      <c r="H49" t="s">
        <v>128</v>
      </c>
      <c r="I49" s="3" t="s">
        <v>2785</v>
      </c>
      <c r="J49" s="3" t="s">
        <v>84</v>
      </c>
      <c r="K49" s="3" t="s">
        <v>3529</v>
      </c>
      <c r="L49" s="3" t="s">
        <v>3585</v>
      </c>
      <c r="M49">
        <v>93.37</v>
      </c>
      <c r="N49">
        <v>86</v>
      </c>
      <c r="O49">
        <f>Supply_Chain[[#This Row],[Unit_Price]]*Supply_Chain[[#This Row],[Quantity]]</f>
        <v>8029.8200000000006</v>
      </c>
      <c r="P49" t="s">
        <v>280</v>
      </c>
      <c r="Q49" t="s">
        <v>35</v>
      </c>
      <c r="R49" t="s">
        <v>214</v>
      </c>
      <c r="S49" t="s">
        <v>37</v>
      </c>
      <c r="T49" t="s">
        <v>100</v>
      </c>
      <c r="U49" t="s">
        <v>223</v>
      </c>
      <c r="V49">
        <v>1142</v>
      </c>
      <c r="W49">
        <v>296</v>
      </c>
      <c r="X49">
        <v>23</v>
      </c>
      <c r="Y49">
        <v>1209.5</v>
      </c>
      <c r="Z49">
        <v>292.60000000000002</v>
      </c>
      <c r="AA49" s="9">
        <v>1502.1</v>
      </c>
      <c r="AB49" t="s">
        <v>52</v>
      </c>
      <c r="AC49">
        <v>0</v>
      </c>
      <c r="AD49">
        <v>94.7</v>
      </c>
      <c r="AE49">
        <v>398</v>
      </c>
      <c r="AF49">
        <v>410</v>
      </c>
      <c r="AG49" s="11">
        <f>Supply_Chain[[#This Row],[Total_Cost]]/Supply_Chain[[#This Row],[Stock_On_Hand]]</f>
        <v>1.315323992994746</v>
      </c>
    </row>
    <row r="50" spans="1:33" x14ac:dyDescent="0.25">
      <c r="A50" t="s">
        <v>281</v>
      </c>
      <c r="B50" t="s">
        <v>282</v>
      </c>
      <c r="C50" s="1">
        <v>45374</v>
      </c>
      <c r="D50" s="1">
        <v>44625</v>
      </c>
      <c r="E50" t="s">
        <v>55</v>
      </c>
      <c r="F50" t="s">
        <v>75</v>
      </c>
      <c r="G50" t="s">
        <v>32</v>
      </c>
      <c r="H50" t="s">
        <v>128</v>
      </c>
      <c r="I50" s="3" t="s">
        <v>2786</v>
      </c>
      <c r="J50" s="3" t="s">
        <v>3518</v>
      </c>
      <c r="K50" s="3" t="s">
        <v>3533</v>
      </c>
      <c r="L50" s="3" t="s">
        <v>3586</v>
      </c>
      <c r="M50">
        <v>365.29</v>
      </c>
      <c r="N50">
        <v>29</v>
      </c>
      <c r="O50">
        <f>Supply_Chain[[#This Row],[Unit_Price]]*Supply_Chain[[#This Row],[Quantity]]</f>
        <v>10593.41</v>
      </c>
      <c r="P50" t="s">
        <v>283</v>
      </c>
      <c r="Q50" t="s">
        <v>68</v>
      </c>
      <c r="R50" t="s">
        <v>111</v>
      </c>
      <c r="S50" t="s">
        <v>50</v>
      </c>
      <c r="T50" t="s">
        <v>71</v>
      </c>
      <c r="U50" t="s">
        <v>163</v>
      </c>
      <c r="V50">
        <v>4605</v>
      </c>
      <c r="W50">
        <v>112</v>
      </c>
      <c r="X50">
        <v>10</v>
      </c>
      <c r="Y50">
        <v>1592.91</v>
      </c>
      <c r="Z50">
        <v>57.77</v>
      </c>
      <c r="AA50" s="9">
        <v>1650.68</v>
      </c>
      <c r="AB50" t="s">
        <v>52</v>
      </c>
      <c r="AC50">
        <v>0</v>
      </c>
      <c r="AD50">
        <v>93.45</v>
      </c>
      <c r="AE50">
        <v>252</v>
      </c>
      <c r="AF50">
        <v>217</v>
      </c>
      <c r="AG50" s="11">
        <f>Supply_Chain[[#This Row],[Total_Cost]]/Supply_Chain[[#This Row],[Stock_On_Hand]]</f>
        <v>0.35845385450597178</v>
      </c>
    </row>
    <row r="51" spans="1:33" x14ac:dyDescent="0.25">
      <c r="A51" t="s">
        <v>284</v>
      </c>
      <c r="B51" t="s">
        <v>285</v>
      </c>
      <c r="C51" s="1">
        <v>44784</v>
      </c>
      <c r="D51" s="1">
        <v>44846</v>
      </c>
      <c r="E51" t="s">
        <v>43</v>
      </c>
      <c r="F51" t="s">
        <v>31</v>
      </c>
      <c r="G51" t="s">
        <v>32</v>
      </c>
      <c r="H51" t="s">
        <v>46</v>
      </c>
      <c r="I51" s="3" t="s">
        <v>2787</v>
      </c>
      <c r="J51" s="3" t="s">
        <v>3518</v>
      </c>
      <c r="K51" s="3" t="s">
        <v>3525</v>
      </c>
      <c r="L51" s="3" t="s">
        <v>3587</v>
      </c>
      <c r="M51">
        <v>110.25</v>
      </c>
      <c r="N51">
        <v>52</v>
      </c>
      <c r="O51">
        <f>Supply_Chain[[#This Row],[Unit_Price]]*Supply_Chain[[#This Row],[Quantity]]</f>
        <v>5733</v>
      </c>
      <c r="P51" t="s">
        <v>286</v>
      </c>
      <c r="Q51" t="s">
        <v>35</v>
      </c>
      <c r="R51" t="s">
        <v>172</v>
      </c>
      <c r="S51" t="s">
        <v>37</v>
      </c>
      <c r="T51" t="s">
        <v>100</v>
      </c>
      <c r="U51" t="s">
        <v>146</v>
      </c>
      <c r="V51">
        <v>2592</v>
      </c>
      <c r="W51">
        <v>140</v>
      </c>
      <c r="X51">
        <v>17</v>
      </c>
      <c r="Y51">
        <v>1427.44</v>
      </c>
      <c r="Z51">
        <v>305.92</v>
      </c>
      <c r="AA51" s="9">
        <v>1733.36</v>
      </c>
      <c r="AB51" t="s">
        <v>52</v>
      </c>
      <c r="AC51">
        <v>0</v>
      </c>
      <c r="AD51">
        <v>94.22</v>
      </c>
      <c r="AE51">
        <v>229</v>
      </c>
      <c r="AF51">
        <v>207</v>
      </c>
      <c r="AG51" s="11">
        <f>Supply_Chain[[#This Row],[Total_Cost]]/Supply_Chain[[#This Row],[Stock_On_Hand]]</f>
        <v>0.66873456790123453</v>
      </c>
    </row>
    <row r="52" spans="1:33" x14ac:dyDescent="0.25">
      <c r="A52" t="s">
        <v>287</v>
      </c>
      <c r="B52" t="s">
        <v>288</v>
      </c>
      <c r="C52" s="1">
        <v>44948</v>
      </c>
      <c r="D52" s="1">
        <v>44990</v>
      </c>
      <c r="E52" t="s">
        <v>43</v>
      </c>
      <c r="F52" t="s">
        <v>44</v>
      </c>
      <c r="G52" t="s">
        <v>56</v>
      </c>
      <c r="H52" t="s">
        <v>166</v>
      </c>
      <c r="I52" s="3" t="s">
        <v>2788</v>
      </c>
      <c r="J52" s="3" t="s">
        <v>3518</v>
      </c>
      <c r="K52" s="3" t="s">
        <v>3525</v>
      </c>
      <c r="L52" s="3" t="s">
        <v>3588</v>
      </c>
      <c r="M52">
        <v>205.05</v>
      </c>
      <c r="N52">
        <v>48</v>
      </c>
      <c r="O52">
        <f>Supply_Chain[[#This Row],[Unit_Price]]*Supply_Chain[[#This Row],[Quantity]]</f>
        <v>9842.4000000000015</v>
      </c>
      <c r="P52" t="s">
        <v>289</v>
      </c>
      <c r="Q52" t="s">
        <v>48</v>
      </c>
      <c r="R52" t="s">
        <v>290</v>
      </c>
      <c r="S52" t="s">
        <v>119</v>
      </c>
      <c r="T52" t="s">
        <v>71</v>
      </c>
      <c r="U52" t="s">
        <v>291</v>
      </c>
      <c r="V52">
        <v>4968</v>
      </c>
      <c r="W52">
        <v>316</v>
      </c>
      <c r="X52">
        <v>4</v>
      </c>
      <c r="Y52">
        <v>1153.44</v>
      </c>
      <c r="Z52">
        <v>179.71</v>
      </c>
      <c r="AA52" s="9">
        <v>1333.15</v>
      </c>
      <c r="AB52" t="s">
        <v>52</v>
      </c>
      <c r="AC52">
        <v>0</v>
      </c>
      <c r="AD52">
        <v>86.04</v>
      </c>
      <c r="AE52">
        <v>198</v>
      </c>
      <c r="AF52">
        <v>178</v>
      </c>
      <c r="AG52" s="11">
        <f>Supply_Chain[[#This Row],[Total_Cost]]/Supply_Chain[[#This Row],[Stock_On_Hand]]</f>
        <v>0.26834742351046703</v>
      </c>
    </row>
    <row r="53" spans="1:33" x14ac:dyDescent="0.25">
      <c r="A53" t="s">
        <v>292</v>
      </c>
      <c r="B53" t="s">
        <v>293</v>
      </c>
      <c r="C53" s="1">
        <v>45658</v>
      </c>
      <c r="D53" s="1">
        <v>44601</v>
      </c>
      <c r="E53" t="s">
        <v>30</v>
      </c>
      <c r="F53" t="s">
        <v>115</v>
      </c>
      <c r="G53" t="s">
        <v>32</v>
      </c>
      <c r="H53" t="s">
        <v>92</v>
      </c>
      <c r="I53" s="3" t="s">
        <v>2789</v>
      </c>
      <c r="J53" s="3" t="s">
        <v>3518</v>
      </c>
      <c r="K53" s="3" t="s">
        <v>3525</v>
      </c>
      <c r="L53" s="3" t="s">
        <v>3589</v>
      </c>
      <c r="M53">
        <v>216.53</v>
      </c>
      <c r="N53">
        <v>23</v>
      </c>
      <c r="O53">
        <f>Supply_Chain[[#This Row],[Unit_Price]]*Supply_Chain[[#This Row],[Quantity]]</f>
        <v>4980.1899999999996</v>
      </c>
      <c r="P53" t="s">
        <v>294</v>
      </c>
      <c r="Q53" t="s">
        <v>35</v>
      </c>
      <c r="R53" t="s">
        <v>248</v>
      </c>
      <c r="S53" t="s">
        <v>119</v>
      </c>
      <c r="T53" t="s">
        <v>100</v>
      </c>
      <c r="U53" t="s">
        <v>136</v>
      </c>
      <c r="V53">
        <v>4279</v>
      </c>
      <c r="W53">
        <v>344</v>
      </c>
      <c r="X53">
        <v>21</v>
      </c>
      <c r="Y53">
        <v>709.52</v>
      </c>
      <c r="Z53">
        <v>456.6</v>
      </c>
      <c r="AA53" s="9">
        <v>1166.1199999999999</v>
      </c>
      <c r="AB53" t="s">
        <v>52</v>
      </c>
      <c r="AC53">
        <v>0</v>
      </c>
      <c r="AD53">
        <v>90.13</v>
      </c>
      <c r="AE53">
        <v>400</v>
      </c>
      <c r="AF53">
        <v>380</v>
      </c>
      <c r="AG53" s="11">
        <f>Supply_Chain[[#This Row],[Total_Cost]]/Supply_Chain[[#This Row],[Stock_On_Hand]]</f>
        <v>0.2725216172002804</v>
      </c>
    </row>
    <row r="54" spans="1:33" x14ac:dyDescent="0.25">
      <c r="A54" t="s">
        <v>295</v>
      </c>
      <c r="B54" t="s">
        <v>296</v>
      </c>
      <c r="C54" s="1">
        <v>44154</v>
      </c>
      <c r="D54" s="1">
        <v>44773</v>
      </c>
      <c r="E54" t="s">
        <v>43</v>
      </c>
      <c r="F54" t="s">
        <v>64</v>
      </c>
      <c r="G54" t="s">
        <v>76</v>
      </c>
      <c r="H54" t="s">
        <v>92</v>
      </c>
      <c r="I54" s="3" t="s">
        <v>2790</v>
      </c>
      <c r="J54" s="3" t="s">
        <v>3518</v>
      </c>
      <c r="K54" s="3" t="s">
        <v>3522</v>
      </c>
      <c r="L54" s="3" t="s">
        <v>3590</v>
      </c>
      <c r="M54">
        <v>101.14</v>
      </c>
      <c r="N54">
        <v>62</v>
      </c>
      <c r="O54">
        <f>Supply_Chain[[#This Row],[Unit_Price]]*Supply_Chain[[#This Row],[Quantity]]</f>
        <v>6270.68</v>
      </c>
      <c r="P54" t="s">
        <v>149</v>
      </c>
      <c r="Q54" t="s">
        <v>68</v>
      </c>
      <c r="R54" t="s">
        <v>176</v>
      </c>
      <c r="S54" t="s">
        <v>37</v>
      </c>
      <c r="T54" t="s">
        <v>100</v>
      </c>
      <c r="U54" t="s">
        <v>297</v>
      </c>
      <c r="V54">
        <v>4009</v>
      </c>
      <c r="W54">
        <v>402</v>
      </c>
      <c r="X54">
        <v>4</v>
      </c>
      <c r="Y54">
        <v>1354.13</v>
      </c>
      <c r="Z54">
        <v>410.63</v>
      </c>
      <c r="AA54" s="9">
        <v>1764.76</v>
      </c>
      <c r="AB54" t="s">
        <v>52</v>
      </c>
      <c r="AC54">
        <v>0</v>
      </c>
      <c r="AD54">
        <v>93.56</v>
      </c>
      <c r="AE54">
        <v>201</v>
      </c>
      <c r="AF54">
        <v>202</v>
      </c>
      <c r="AG54" s="11">
        <f>Supply_Chain[[#This Row],[Total_Cost]]/Supply_Chain[[#This Row],[Stock_On_Hand]]</f>
        <v>0.44019955101022701</v>
      </c>
    </row>
    <row r="55" spans="1:33" x14ac:dyDescent="0.25">
      <c r="A55" t="s">
        <v>298</v>
      </c>
      <c r="B55" t="s">
        <v>299</v>
      </c>
      <c r="C55" s="1">
        <v>44739</v>
      </c>
      <c r="D55" s="1">
        <v>44202</v>
      </c>
      <c r="E55" t="s">
        <v>55</v>
      </c>
      <c r="F55" t="s">
        <v>64</v>
      </c>
      <c r="G55" t="s">
        <v>247</v>
      </c>
      <c r="H55" t="s">
        <v>46</v>
      </c>
      <c r="I55" s="3" t="s">
        <v>2791</v>
      </c>
      <c r="J55" s="3" t="s">
        <v>3518</v>
      </c>
      <c r="K55" s="3" t="s">
        <v>3522</v>
      </c>
      <c r="L55" s="3" t="s">
        <v>3591</v>
      </c>
      <c r="M55">
        <v>465.3</v>
      </c>
      <c r="N55">
        <v>45</v>
      </c>
      <c r="O55">
        <f>Supply_Chain[[#This Row],[Unit_Price]]*Supply_Chain[[#This Row],[Quantity]]</f>
        <v>20938.5</v>
      </c>
      <c r="P55" t="s">
        <v>300</v>
      </c>
      <c r="Q55" t="s">
        <v>110</v>
      </c>
      <c r="R55" t="s">
        <v>301</v>
      </c>
      <c r="S55" t="s">
        <v>119</v>
      </c>
      <c r="T55" t="s">
        <v>38</v>
      </c>
      <c r="U55" t="s">
        <v>302</v>
      </c>
      <c r="V55">
        <v>4235</v>
      </c>
      <c r="W55">
        <v>96</v>
      </c>
      <c r="X55">
        <v>15</v>
      </c>
      <c r="Y55">
        <v>1212.1099999999999</v>
      </c>
      <c r="Z55">
        <v>115.93</v>
      </c>
      <c r="AA55" s="9">
        <v>1328.04</v>
      </c>
      <c r="AB55" t="s">
        <v>52</v>
      </c>
      <c r="AC55">
        <v>0</v>
      </c>
      <c r="AD55">
        <v>72.56</v>
      </c>
      <c r="AE55">
        <v>353</v>
      </c>
      <c r="AF55">
        <v>308</v>
      </c>
      <c r="AG55" s="11">
        <f>Supply_Chain[[#This Row],[Total_Cost]]/Supply_Chain[[#This Row],[Stock_On_Hand]]</f>
        <v>0.31358677685950415</v>
      </c>
    </row>
    <row r="56" spans="1:33" x14ac:dyDescent="0.25">
      <c r="A56" t="s">
        <v>303</v>
      </c>
      <c r="B56" t="s">
        <v>304</v>
      </c>
      <c r="C56" s="1">
        <v>44310</v>
      </c>
      <c r="D56" s="1">
        <v>44737</v>
      </c>
      <c r="E56" t="s">
        <v>55</v>
      </c>
      <c r="F56" t="s">
        <v>75</v>
      </c>
      <c r="G56" t="s">
        <v>83</v>
      </c>
      <c r="H56" t="s">
        <v>92</v>
      </c>
      <c r="I56" s="3" t="s">
        <v>2792</v>
      </c>
      <c r="J56" s="3" t="s">
        <v>3518</v>
      </c>
      <c r="K56" s="3" t="s">
        <v>3522</v>
      </c>
      <c r="L56" s="3" t="s">
        <v>3592</v>
      </c>
      <c r="M56">
        <v>276.12</v>
      </c>
      <c r="N56">
        <v>14</v>
      </c>
      <c r="O56">
        <f>Supply_Chain[[#This Row],[Unit_Price]]*Supply_Chain[[#This Row],[Quantity]]</f>
        <v>3865.6800000000003</v>
      </c>
      <c r="P56" t="s">
        <v>305</v>
      </c>
      <c r="Q56" t="s">
        <v>110</v>
      </c>
      <c r="R56" t="s">
        <v>306</v>
      </c>
      <c r="S56" t="s">
        <v>50</v>
      </c>
      <c r="T56" t="s">
        <v>71</v>
      </c>
      <c r="U56" t="s">
        <v>120</v>
      </c>
      <c r="V56">
        <v>4843</v>
      </c>
      <c r="W56">
        <v>135</v>
      </c>
      <c r="X56">
        <v>12</v>
      </c>
      <c r="Y56">
        <v>225.58</v>
      </c>
      <c r="Z56">
        <v>162.09</v>
      </c>
      <c r="AA56" s="9">
        <v>387.67</v>
      </c>
      <c r="AB56" t="s">
        <v>52</v>
      </c>
      <c r="AC56">
        <v>0</v>
      </c>
      <c r="AD56">
        <v>72.78</v>
      </c>
      <c r="AE56">
        <v>128</v>
      </c>
      <c r="AF56">
        <v>95</v>
      </c>
      <c r="AG56" s="11">
        <f>Supply_Chain[[#This Row],[Total_Cost]]/Supply_Chain[[#This Row],[Stock_On_Hand]]</f>
        <v>8.0047491224447653E-2</v>
      </c>
    </row>
    <row r="57" spans="1:33" x14ac:dyDescent="0.25">
      <c r="A57" t="s">
        <v>307</v>
      </c>
      <c r="B57" t="s">
        <v>308</v>
      </c>
      <c r="C57" s="1">
        <v>44432</v>
      </c>
      <c r="D57" s="1">
        <v>43913</v>
      </c>
      <c r="E57" t="s">
        <v>43</v>
      </c>
      <c r="F57" t="s">
        <v>44</v>
      </c>
      <c r="G57" t="s">
        <v>45</v>
      </c>
      <c r="H57" t="s">
        <v>66</v>
      </c>
      <c r="I57" s="3" t="s">
        <v>2793</v>
      </c>
      <c r="J57" s="3" t="s">
        <v>3518</v>
      </c>
      <c r="K57" s="3" t="s">
        <v>3532</v>
      </c>
      <c r="L57" s="3" t="s">
        <v>3566</v>
      </c>
      <c r="M57">
        <v>325.14999999999998</v>
      </c>
      <c r="N57">
        <v>83</v>
      </c>
      <c r="O57">
        <f>Supply_Chain[[#This Row],[Unit_Price]]*Supply_Chain[[#This Row],[Quantity]]</f>
        <v>26987.449999999997</v>
      </c>
      <c r="P57" t="s">
        <v>309</v>
      </c>
      <c r="Q57" t="s">
        <v>110</v>
      </c>
      <c r="R57" t="s">
        <v>195</v>
      </c>
      <c r="S57" t="s">
        <v>119</v>
      </c>
      <c r="T57" t="s">
        <v>71</v>
      </c>
      <c r="U57" t="s">
        <v>310</v>
      </c>
      <c r="V57">
        <v>4036</v>
      </c>
      <c r="W57">
        <v>69</v>
      </c>
      <c r="X57">
        <v>10</v>
      </c>
      <c r="Y57">
        <v>1946.25</v>
      </c>
      <c r="Z57">
        <v>366.75</v>
      </c>
      <c r="AA57" s="9">
        <v>2313</v>
      </c>
      <c r="AB57" t="s">
        <v>52</v>
      </c>
      <c r="AC57">
        <v>0</v>
      </c>
      <c r="AD57">
        <v>86.74</v>
      </c>
      <c r="AE57">
        <v>486</v>
      </c>
      <c r="AF57">
        <v>490</v>
      </c>
      <c r="AG57" s="11">
        <f>Supply_Chain[[#This Row],[Total_Cost]]/Supply_Chain[[#This Row],[Stock_On_Hand]]</f>
        <v>0.57309217046580774</v>
      </c>
    </row>
    <row r="58" spans="1:33" x14ac:dyDescent="0.25">
      <c r="A58" t="s">
        <v>311</v>
      </c>
      <c r="B58" t="s">
        <v>312</v>
      </c>
      <c r="C58" s="1">
        <v>44737</v>
      </c>
      <c r="D58" s="1">
        <v>44450</v>
      </c>
      <c r="E58" t="s">
        <v>55</v>
      </c>
      <c r="F58" t="s">
        <v>44</v>
      </c>
      <c r="G58" t="s">
        <v>45</v>
      </c>
      <c r="H58" t="s">
        <v>33</v>
      </c>
      <c r="I58" s="3" t="s">
        <v>2794</v>
      </c>
      <c r="J58" s="3" t="s">
        <v>3518</v>
      </c>
      <c r="K58" s="3" t="s">
        <v>3521</v>
      </c>
      <c r="L58" s="3" t="s">
        <v>3593</v>
      </c>
      <c r="M58">
        <v>11.75</v>
      </c>
      <c r="N58">
        <v>81</v>
      </c>
      <c r="O58">
        <f>Supply_Chain[[#This Row],[Unit_Price]]*Supply_Chain[[#This Row],[Quantity]]</f>
        <v>951.75</v>
      </c>
      <c r="P58" t="s">
        <v>313</v>
      </c>
      <c r="Q58" t="s">
        <v>68</v>
      </c>
      <c r="R58" t="s">
        <v>111</v>
      </c>
      <c r="S58" t="s">
        <v>50</v>
      </c>
      <c r="T58" t="s">
        <v>79</v>
      </c>
      <c r="U58" t="s">
        <v>207</v>
      </c>
      <c r="V58">
        <v>4874</v>
      </c>
      <c r="W58">
        <v>145</v>
      </c>
      <c r="X58">
        <v>20</v>
      </c>
      <c r="Y58">
        <v>65.150000000000006</v>
      </c>
      <c r="Z58">
        <v>114.97</v>
      </c>
      <c r="AA58" s="9">
        <v>180.12</v>
      </c>
      <c r="AB58" t="s">
        <v>52</v>
      </c>
      <c r="AC58">
        <v>0</v>
      </c>
      <c r="AD58">
        <v>76.459999999999994</v>
      </c>
      <c r="AE58">
        <v>125</v>
      </c>
      <c r="AF58">
        <v>115</v>
      </c>
      <c r="AG58" s="11">
        <f>Supply_Chain[[#This Row],[Total_Cost]]/Supply_Chain[[#This Row],[Stock_On_Hand]]</f>
        <v>3.6955272876487484E-2</v>
      </c>
    </row>
    <row r="59" spans="1:33" x14ac:dyDescent="0.25">
      <c r="A59" t="s">
        <v>314</v>
      </c>
      <c r="B59" t="s">
        <v>315</v>
      </c>
      <c r="C59" s="1">
        <v>45280</v>
      </c>
      <c r="D59" s="1">
        <v>45462</v>
      </c>
      <c r="E59" t="s">
        <v>55</v>
      </c>
      <c r="F59" t="s">
        <v>44</v>
      </c>
      <c r="G59" t="s">
        <v>56</v>
      </c>
      <c r="H59" t="s">
        <v>166</v>
      </c>
      <c r="I59" s="3" t="s">
        <v>2795</v>
      </c>
      <c r="J59" s="3" t="s">
        <v>3518</v>
      </c>
      <c r="K59" s="3" t="s">
        <v>3524</v>
      </c>
      <c r="L59" s="3" t="s">
        <v>3594</v>
      </c>
      <c r="M59">
        <v>203.59</v>
      </c>
      <c r="N59">
        <v>55</v>
      </c>
      <c r="O59">
        <f>Supply_Chain[[#This Row],[Unit_Price]]*Supply_Chain[[#This Row],[Quantity]]</f>
        <v>11197.45</v>
      </c>
      <c r="P59" t="s">
        <v>202</v>
      </c>
      <c r="Q59" t="s">
        <v>68</v>
      </c>
      <c r="R59" t="s">
        <v>269</v>
      </c>
      <c r="S59" t="s">
        <v>50</v>
      </c>
      <c r="T59" t="s">
        <v>71</v>
      </c>
      <c r="U59" t="s">
        <v>316</v>
      </c>
      <c r="V59">
        <v>1329</v>
      </c>
      <c r="W59">
        <v>449</v>
      </c>
      <c r="X59">
        <v>29</v>
      </c>
      <c r="Y59">
        <v>1258.25</v>
      </c>
      <c r="Z59">
        <v>152.4</v>
      </c>
      <c r="AA59" s="9">
        <v>1410.65</v>
      </c>
      <c r="AB59" t="s">
        <v>52</v>
      </c>
      <c r="AC59">
        <v>0</v>
      </c>
      <c r="AD59">
        <v>90.85</v>
      </c>
      <c r="AE59">
        <v>456</v>
      </c>
      <c r="AF59">
        <v>455</v>
      </c>
      <c r="AG59" s="11">
        <f>Supply_Chain[[#This Row],[Total_Cost]]/Supply_Chain[[#This Row],[Stock_On_Hand]]</f>
        <v>1.0614371708051167</v>
      </c>
    </row>
    <row r="60" spans="1:33" x14ac:dyDescent="0.25">
      <c r="A60" t="s">
        <v>317</v>
      </c>
      <c r="B60" t="s">
        <v>318</v>
      </c>
      <c r="C60" s="1">
        <v>45543</v>
      </c>
      <c r="D60" s="1">
        <v>45197</v>
      </c>
      <c r="E60" t="s">
        <v>30</v>
      </c>
      <c r="F60" t="s">
        <v>44</v>
      </c>
      <c r="G60" t="s">
        <v>76</v>
      </c>
      <c r="H60" t="s">
        <v>116</v>
      </c>
      <c r="I60" s="3" t="s">
        <v>2796</v>
      </c>
      <c r="J60" s="3" t="s">
        <v>3518</v>
      </c>
      <c r="K60" s="3" t="s">
        <v>3524</v>
      </c>
      <c r="L60" s="3" t="s">
        <v>3595</v>
      </c>
      <c r="M60">
        <v>76.849999999999994</v>
      </c>
      <c r="N60">
        <v>10</v>
      </c>
      <c r="O60">
        <f>Supply_Chain[[#This Row],[Unit_Price]]*Supply_Chain[[#This Row],[Quantity]]</f>
        <v>768.5</v>
      </c>
      <c r="P60" t="s">
        <v>319</v>
      </c>
      <c r="Q60" t="s">
        <v>86</v>
      </c>
      <c r="R60" t="s">
        <v>145</v>
      </c>
      <c r="S60" t="s">
        <v>70</v>
      </c>
      <c r="T60" t="s">
        <v>60</v>
      </c>
      <c r="U60" t="s">
        <v>191</v>
      </c>
      <c r="V60">
        <v>2697</v>
      </c>
      <c r="W60">
        <v>484</v>
      </c>
      <c r="X60">
        <v>11</v>
      </c>
      <c r="Y60">
        <v>533.53</v>
      </c>
      <c r="Z60">
        <v>376.26</v>
      </c>
      <c r="AA60" s="9">
        <v>909.79</v>
      </c>
      <c r="AB60" t="s">
        <v>52</v>
      </c>
      <c r="AC60">
        <v>0</v>
      </c>
      <c r="AD60">
        <v>73.2</v>
      </c>
      <c r="AE60">
        <v>255</v>
      </c>
      <c r="AF60">
        <v>255</v>
      </c>
      <c r="AG60" s="11">
        <f>Supply_Chain[[#This Row],[Total_Cost]]/Supply_Chain[[#This Row],[Stock_On_Hand]]</f>
        <v>0.33733407489803485</v>
      </c>
    </row>
    <row r="61" spans="1:33" x14ac:dyDescent="0.25">
      <c r="A61" t="s">
        <v>320</v>
      </c>
      <c r="B61" t="s">
        <v>321</v>
      </c>
      <c r="C61" s="1">
        <v>44472</v>
      </c>
      <c r="D61" s="1">
        <v>45195</v>
      </c>
      <c r="E61" t="s">
        <v>55</v>
      </c>
      <c r="F61" t="s">
        <v>115</v>
      </c>
      <c r="G61" t="s">
        <v>91</v>
      </c>
      <c r="H61" t="s">
        <v>128</v>
      </c>
      <c r="I61" s="3" t="s">
        <v>2797</v>
      </c>
      <c r="J61" s="3" t="s">
        <v>3519</v>
      </c>
      <c r="K61" s="3" t="s">
        <v>3528</v>
      </c>
      <c r="L61" s="3" t="s">
        <v>3596</v>
      </c>
      <c r="M61">
        <v>105.66</v>
      </c>
      <c r="N61">
        <v>34</v>
      </c>
      <c r="O61">
        <f>Supply_Chain[[#This Row],[Unit_Price]]*Supply_Chain[[#This Row],[Quantity]]</f>
        <v>3592.44</v>
      </c>
      <c r="P61" t="s">
        <v>322</v>
      </c>
      <c r="Q61" t="s">
        <v>35</v>
      </c>
      <c r="R61" t="s">
        <v>323</v>
      </c>
      <c r="S61" t="s">
        <v>70</v>
      </c>
      <c r="T61" t="s">
        <v>100</v>
      </c>
      <c r="U61" t="s">
        <v>187</v>
      </c>
      <c r="V61">
        <v>1661</v>
      </c>
      <c r="W61">
        <v>358</v>
      </c>
      <c r="X61">
        <v>8</v>
      </c>
      <c r="Y61">
        <v>893.39</v>
      </c>
      <c r="Z61">
        <v>406.09</v>
      </c>
      <c r="AA61" s="9">
        <v>1299.48</v>
      </c>
      <c r="AB61" t="s">
        <v>52</v>
      </c>
      <c r="AC61">
        <v>0</v>
      </c>
      <c r="AD61">
        <v>76.42</v>
      </c>
      <c r="AE61">
        <v>483</v>
      </c>
      <c r="AF61">
        <v>511</v>
      </c>
      <c r="AG61" s="11">
        <f>Supply_Chain[[#This Row],[Total_Cost]]/Supply_Chain[[#This Row],[Stock_On_Hand]]</f>
        <v>0.78234798314268517</v>
      </c>
    </row>
    <row r="62" spans="1:33" x14ac:dyDescent="0.25">
      <c r="A62" t="s">
        <v>324</v>
      </c>
      <c r="B62" t="s">
        <v>325</v>
      </c>
      <c r="C62" s="1">
        <v>45013</v>
      </c>
      <c r="D62" s="1">
        <v>43904</v>
      </c>
      <c r="E62" t="s">
        <v>55</v>
      </c>
      <c r="F62" t="s">
        <v>75</v>
      </c>
      <c r="G62" t="s">
        <v>76</v>
      </c>
      <c r="H62" t="s">
        <v>92</v>
      </c>
      <c r="I62" s="3" t="s">
        <v>2798</v>
      </c>
      <c r="J62" s="3" t="s">
        <v>84</v>
      </c>
      <c r="K62" s="3" t="s">
        <v>3529</v>
      </c>
      <c r="L62" s="3" t="s">
        <v>3597</v>
      </c>
      <c r="M62">
        <v>476.68</v>
      </c>
      <c r="N62">
        <v>98</v>
      </c>
      <c r="O62">
        <f>Supply_Chain[[#This Row],[Unit_Price]]*Supply_Chain[[#This Row],[Quantity]]</f>
        <v>46714.64</v>
      </c>
      <c r="P62" t="s">
        <v>326</v>
      </c>
      <c r="Q62" t="s">
        <v>48</v>
      </c>
      <c r="R62" t="s">
        <v>327</v>
      </c>
      <c r="S62" t="s">
        <v>50</v>
      </c>
      <c r="T62" t="s">
        <v>38</v>
      </c>
      <c r="U62" t="s">
        <v>141</v>
      </c>
      <c r="V62">
        <v>4942</v>
      </c>
      <c r="W62">
        <v>55</v>
      </c>
      <c r="X62">
        <v>21</v>
      </c>
      <c r="Y62">
        <v>497.09</v>
      </c>
      <c r="Z62">
        <v>96.28</v>
      </c>
      <c r="AA62" s="9">
        <v>593.37</v>
      </c>
      <c r="AB62" t="s">
        <v>40</v>
      </c>
      <c r="AC62">
        <v>13</v>
      </c>
      <c r="AD62">
        <v>99.02</v>
      </c>
      <c r="AE62">
        <v>94</v>
      </c>
      <c r="AF62">
        <v>45</v>
      </c>
      <c r="AG62" s="11">
        <f>Supply_Chain[[#This Row],[Total_Cost]]/Supply_Chain[[#This Row],[Stock_On_Hand]]</f>
        <v>0.12006677458518819</v>
      </c>
    </row>
    <row r="63" spans="1:33" x14ac:dyDescent="0.25">
      <c r="A63" t="s">
        <v>328</v>
      </c>
      <c r="B63" t="s">
        <v>329</v>
      </c>
      <c r="C63" s="1">
        <v>45636</v>
      </c>
      <c r="D63" s="1">
        <v>44379</v>
      </c>
      <c r="E63" t="s">
        <v>55</v>
      </c>
      <c r="F63" t="s">
        <v>64</v>
      </c>
      <c r="G63" t="s">
        <v>32</v>
      </c>
      <c r="H63" t="s">
        <v>92</v>
      </c>
      <c r="I63" s="4" t="s">
        <v>2799</v>
      </c>
      <c r="J63" s="4" t="s">
        <v>84</v>
      </c>
      <c r="K63" s="4" t="s">
        <v>3529</v>
      </c>
      <c r="L63" s="4" t="s">
        <v>3598</v>
      </c>
      <c r="M63">
        <v>166.59</v>
      </c>
      <c r="N63">
        <v>85</v>
      </c>
      <c r="O63">
        <f>Supply_Chain[[#This Row],[Unit_Price]]*Supply_Chain[[#This Row],[Quantity]]</f>
        <v>14160.15</v>
      </c>
      <c r="P63" t="s">
        <v>330</v>
      </c>
      <c r="Q63" t="s">
        <v>68</v>
      </c>
      <c r="R63" t="s">
        <v>140</v>
      </c>
      <c r="S63" t="s">
        <v>50</v>
      </c>
      <c r="T63" t="s">
        <v>60</v>
      </c>
      <c r="U63" t="s">
        <v>331</v>
      </c>
      <c r="V63">
        <v>3485</v>
      </c>
      <c r="W63">
        <v>108</v>
      </c>
      <c r="X63">
        <v>14</v>
      </c>
      <c r="Y63">
        <v>978.84</v>
      </c>
      <c r="Z63">
        <v>473.11</v>
      </c>
      <c r="AA63" s="9">
        <v>1451.95</v>
      </c>
      <c r="AB63" t="s">
        <v>52</v>
      </c>
      <c r="AC63">
        <v>0</v>
      </c>
      <c r="AD63">
        <v>82.29</v>
      </c>
      <c r="AE63">
        <v>78</v>
      </c>
      <c r="AF63">
        <v>123</v>
      </c>
      <c r="AG63" s="11">
        <f>Supply_Chain[[#This Row],[Total_Cost]]/Supply_Chain[[#This Row],[Stock_On_Hand]]</f>
        <v>0.41662840746054519</v>
      </c>
    </row>
    <row r="64" spans="1:33" x14ac:dyDescent="0.25">
      <c r="A64" t="s">
        <v>332</v>
      </c>
      <c r="B64" t="s">
        <v>333</v>
      </c>
      <c r="C64" s="1">
        <v>45077</v>
      </c>
      <c r="D64" s="1">
        <v>45338</v>
      </c>
      <c r="E64" t="s">
        <v>55</v>
      </c>
      <c r="F64" t="s">
        <v>31</v>
      </c>
      <c r="G64" t="s">
        <v>32</v>
      </c>
      <c r="H64" t="s">
        <v>66</v>
      </c>
      <c r="I64" s="4" t="s">
        <v>2800</v>
      </c>
      <c r="J64" s="4" t="s">
        <v>84</v>
      </c>
      <c r="K64" s="4" t="s">
        <v>3529</v>
      </c>
      <c r="L64" s="4" t="s">
        <v>3599</v>
      </c>
      <c r="M64">
        <v>33.25</v>
      </c>
      <c r="N64">
        <v>10</v>
      </c>
      <c r="O64">
        <f>Supply_Chain[[#This Row],[Unit_Price]]*Supply_Chain[[#This Row],[Quantity]]</f>
        <v>332.5</v>
      </c>
      <c r="P64" t="s">
        <v>334</v>
      </c>
      <c r="Q64" t="s">
        <v>86</v>
      </c>
      <c r="R64" t="s">
        <v>140</v>
      </c>
      <c r="S64" t="s">
        <v>37</v>
      </c>
      <c r="T64" t="s">
        <v>100</v>
      </c>
      <c r="U64" t="s">
        <v>61</v>
      </c>
      <c r="V64">
        <v>147</v>
      </c>
      <c r="W64">
        <v>426</v>
      </c>
      <c r="X64">
        <v>14</v>
      </c>
      <c r="Y64">
        <v>1774.41</v>
      </c>
      <c r="Z64">
        <v>347.7</v>
      </c>
      <c r="AA64" s="9">
        <v>2122.11</v>
      </c>
      <c r="AB64" t="s">
        <v>52</v>
      </c>
      <c r="AC64">
        <v>0</v>
      </c>
      <c r="AD64">
        <v>90.92</v>
      </c>
      <c r="AE64">
        <v>479</v>
      </c>
      <c r="AF64">
        <v>523</v>
      </c>
      <c r="AG64" s="11">
        <f>Supply_Chain[[#This Row],[Total_Cost]]/Supply_Chain[[#This Row],[Stock_On_Hand]]</f>
        <v>14.436122448979592</v>
      </c>
    </row>
    <row r="65" spans="1:33" x14ac:dyDescent="0.25">
      <c r="A65" t="s">
        <v>335</v>
      </c>
      <c r="B65" t="s">
        <v>336</v>
      </c>
      <c r="C65" s="1">
        <v>45311</v>
      </c>
      <c r="D65" s="1">
        <v>45352</v>
      </c>
      <c r="E65" t="s">
        <v>43</v>
      </c>
      <c r="F65" t="s">
        <v>44</v>
      </c>
      <c r="G65" t="s">
        <v>76</v>
      </c>
      <c r="H65" t="s">
        <v>92</v>
      </c>
      <c r="I65" s="4" t="s">
        <v>2801</v>
      </c>
      <c r="J65" s="4" t="s">
        <v>84</v>
      </c>
      <c r="K65" s="4" t="s">
        <v>3529</v>
      </c>
      <c r="L65" s="4" t="s">
        <v>3600</v>
      </c>
      <c r="M65">
        <v>483.49</v>
      </c>
      <c r="N65">
        <v>59</v>
      </c>
      <c r="O65">
        <f>Supply_Chain[[#This Row],[Unit_Price]]*Supply_Chain[[#This Row],[Quantity]]</f>
        <v>28525.91</v>
      </c>
      <c r="P65" t="s">
        <v>337</v>
      </c>
      <c r="Q65" t="s">
        <v>68</v>
      </c>
      <c r="R65" t="s">
        <v>253</v>
      </c>
      <c r="S65" t="s">
        <v>119</v>
      </c>
      <c r="T65" t="s">
        <v>38</v>
      </c>
      <c r="U65" t="s">
        <v>338</v>
      </c>
      <c r="V65">
        <v>2253</v>
      </c>
      <c r="W65">
        <v>495</v>
      </c>
      <c r="X65">
        <v>1</v>
      </c>
      <c r="Y65">
        <v>1916.37</v>
      </c>
      <c r="Z65">
        <v>51.89</v>
      </c>
      <c r="AA65" s="9">
        <v>1968.26</v>
      </c>
      <c r="AB65" t="s">
        <v>52</v>
      </c>
      <c r="AC65">
        <v>0</v>
      </c>
      <c r="AD65">
        <v>85.52</v>
      </c>
      <c r="AE65">
        <v>124</v>
      </c>
      <c r="AF65">
        <v>99</v>
      </c>
      <c r="AG65" s="11">
        <f>Supply_Chain[[#This Row],[Total_Cost]]/Supply_Chain[[#This Row],[Stock_On_Hand]]</f>
        <v>0.8736173990235242</v>
      </c>
    </row>
    <row r="66" spans="1:33" x14ac:dyDescent="0.25">
      <c r="A66" t="s">
        <v>339</v>
      </c>
      <c r="B66" t="s">
        <v>340</v>
      </c>
      <c r="C66" s="1">
        <v>45393</v>
      </c>
      <c r="D66" s="1">
        <v>45446</v>
      </c>
      <c r="E66" t="s">
        <v>55</v>
      </c>
      <c r="F66" t="s">
        <v>44</v>
      </c>
      <c r="G66" t="s">
        <v>91</v>
      </c>
      <c r="H66" t="s">
        <v>33</v>
      </c>
      <c r="I66" s="4" t="s">
        <v>2802</v>
      </c>
      <c r="J66" s="4" t="s">
        <v>3518</v>
      </c>
      <c r="K66" s="4" t="s">
        <v>3521</v>
      </c>
      <c r="L66" s="4" t="s">
        <v>3601</v>
      </c>
      <c r="M66">
        <v>313.57</v>
      </c>
      <c r="N66">
        <v>23</v>
      </c>
      <c r="O66">
        <f>Supply_Chain[[#This Row],[Unit_Price]]*Supply_Chain[[#This Row],[Quantity]]</f>
        <v>7212.11</v>
      </c>
      <c r="P66" t="s">
        <v>313</v>
      </c>
      <c r="Q66" t="s">
        <v>35</v>
      </c>
      <c r="R66" t="s">
        <v>59</v>
      </c>
      <c r="S66" t="s">
        <v>119</v>
      </c>
      <c r="T66" t="s">
        <v>60</v>
      </c>
      <c r="U66" t="s">
        <v>163</v>
      </c>
      <c r="V66">
        <v>2488</v>
      </c>
      <c r="W66">
        <v>50</v>
      </c>
      <c r="X66">
        <v>28</v>
      </c>
      <c r="Y66">
        <v>1727.84</v>
      </c>
      <c r="Z66">
        <v>103.95</v>
      </c>
      <c r="AA66" s="9">
        <v>1831.79</v>
      </c>
      <c r="AB66" t="s">
        <v>52</v>
      </c>
      <c r="AC66">
        <v>0</v>
      </c>
      <c r="AD66">
        <v>84.33</v>
      </c>
      <c r="AE66">
        <v>335</v>
      </c>
      <c r="AF66">
        <v>343</v>
      </c>
      <c r="AG66" s="11">
        <f>Supply_Chain[[#This Row],[Total_Cost]]/Supply_Chain[[#This Row],[Stock_On_Hand]]</f>
        <v>0.73624999999999996</v>
      </c>
    </row>
    <row r="67" spans="1:33" x14ac:dyDescent="0.25">
      <c r="A67" t="s">
        <v>341</v>
      </c>
      <c r="B67" t="s">
        <v>342</v>
      </c>
      <c r="C67" s="1">
        <v>44610</v>
      </c>
      <c r="D67" s="1">
        <v>44786</v>
      </c>
      <c r="E67" t="s">
        <v>43</v>
      </c>
      <c r="F67" t="s">
        <v>64</v>
      </c>
      <c r="G67" t="s">
        <v>65</v>
      </c>
      <c r="H67" t="s">
        <v>116</v>
      </c>
      <c r="I67" s="4" t="s">
        <v>2803</v>
      </c>
      <c r="J67" s="4" t="s">
        <v>3519</v>
      </c>
      <c r="K67" s="4" t="s">
        <v>3528</v>
      </c>
      <c r="L67" s="4" t="s">
        <v>3602</v>
      </c>
      <c r="M67">
        <v>146.75</v>
      </c>
      <c r="N67">
        <v>43</v>
      </c>
      <c r="O67">
        <f>Supply_Chain[[#This Row],[Unit_Price]]*Supply_Chain[[#This Row],[Quantity]]</f>
        <v>6310.25</v>
      </c>
      <c r="P67" t="s">
        <v>343</v>
      </c>
      <c r="Q67" t="s">
        <v>68</v>
      </c>
      <c r="R67" t="s">
        <v>344</v>
      </c>
      <c r="S67" t="s">
        <v>119</v>
      </c>
      <c r="T67" t="s">
        <v>100</v>
      </c>
      <c r="U67" t="s">
        <v>338</v>
      </c>
      <c r="V67">
        <v>3200</v>
      </c>
      <c r="W67">
        <v>86</v>
      </c>
      <c r="X67">
        <v>20</v>
      </c>
      <c r="Y67">
        <v>1073.94</v>
      </c>
      <c r="Z67">
        <v>308.13</v>
      </c>
      <c r="AA67" s="9">
        <v>1382.07</v>
      </c>
      <c r="AB67" t="s">
        <v>52</v>
      </c>
      <c r="AC67">
        <v>0</v>
      </c>
      <c r="AD67">
        <v>98.94</v>
      </c>
      <c r="AE67">
        <v>386</v>
      </c>
      <c r="AF67">
        <v>384</v>
      </c>
      <c r="AG67" s="11">
        <f>Supply_Chain[[#This Row],[Total_Cost]]/Supply_Chain[[#This Row],[Stock_On_Hand]]</f>
        <v>0.43189687499999996</v>
      </c>
    </row>
    <row r="68" spans="1:33" x14ac:dyDescent="0.25">
      <c r="A68" t="s">
        <v>345</v>
      </c>
      <c r="B68" t="s">
        <v>346</v>
      </c>
      <c r="C68" s="1">
        <v>44465</v>
      </c>
      <c r="D68" s="1">
        <v>45051</v>
      </c>
      <c r="E68" t="s">
        <v>55</v>
      </c>
      <c r="F68" t="s">
        <v>31</v>
      </c>
      <c r="G68" t="s">
        <v>65</v>
      </c>
      <c r="H68" t="s">
        <v>66</v>
      </c>
      <c r="I68" s="3" t="s">
        <v>2804</v>
      </c>
      <c r="J68" s="3" t="s">
        <v>3518</v>
      </c>
      <c r="K68" s="3" t="s">
        <v>3527</v>
      </c>
      <c r="L68" s="3" t="s">
        <v>3603</v>
      </c>
      <c r="M68">
        <v>84.76</v>
      </c>
      <c r="N68">
        <v>32</v>
      </c>
      <c r="O68">
        <f>Supply_Chain[[#This Row],[Unit_Price]]*Supply_Chain[[#This Row],[Quantity]]</f>
        <v>2712.32</v>
      </c>
      <c r="P68" t="s">
        <v>322</v>
      </c>
      <c r="Q68" t="s">
        <v>86</v>
      </c>
      <c r="R68" t="s">
        <v>94</v>
      </c>
      <c r="S68" t="s">
        <v>70</v>
      </c>
      <c r="T68" t="s">
        <v>38</v>
      </c>
      <c r="U68" t="s">
        <v>196</v>
      </c>
      <c r="V68">
        <v>4423</v>
      </c>
      <c r="W68">
        <v>260</v>
      </c>
      <c r="X68">
        <v>29</v>
      </c>
      <c r="Y68">
        <v>451.29</v>
      </c>
      <c r="Z68">
        <v>370.49</v>
      </c>
      <c r="AA68" s="9">
        <v>821.78</v>
      </c>
      <c r="AB68" t="s">
        <v>40</v>
      </c>
      <c r="AC68">
        <v>7</v>
      </c>
      <c r="AD68">
        <v>70.27</v>
      </c>
      <c r="AE68">
        <v>170</v>
      </c>
      <c r="AF68">
        <v>146</v>
      </c>
      <c r="AG68" s="11">
        <f>Supply_Chain[[#This Row],[Total_Cost]]/Supply_Chain[[#This Row],[Stock_On_Hand]]</f>
        <v>0.18579697038209358</v>
      </c>
    </row>
    <row r="69" spans="1:33" x14ac:dyDescent="0.25">
      <c r="A69" t="s">
        <v>347</v>
      </c>
      <c r="B69" t="s">
        <v>348</v>
      </c>
      <c r="C69" s="1">
        <v>45001</v>
      </c>
      <c r="D69" s="1">
        <v>43923</v>
      </c>
      <c r="E69" t="s">
        <v>55</v>
      </c>
      <c r="F69" t="s">
        <v>44</v>
      </c>
      <c r="G69" t="s">
        <v>76</v>
      </c>
      <c r="H69" t="s">
        <v>166</v>
      </c>
      <c r="I69" s="3" t="s">
        <v>2805</v>
      </c>
      <c r="J69" s="3" t="s">
        <v>3518</v>
      </c>
      <c r="K69" s="3" t="s">
        <v>3521</v>
      </c>
      <c r="L69" s="3" t="s">
        <v>3604</v>
      </c>
      <c r="M69">
        <v>390.58</v>
      </c>
      <c r="N69">
        <v>13</v>
      </c>
      <c r="O69">
        <f>Supply_Chain[[#This Row],[Unit_Price]]*Supply_Chain[[#This Row],[Quantity]]</f>
        <v>5077.54</v>
      </c>
      <c r="P69" t="s">
        <v>349</v>
      </c>
      <c r="Q69" t="s">
        <v>86</v>
      </c>
      <c r="R69" t="s">
        <v>240</v>
      </c>
      <c r="S69" t="s">
        <v>37</v>
      </c>
      <c r="T69" t="s">
        <v>71</v>
      </c>
      <c r="U69" t="s">
        <v>215</v>
      </c>
      <c r="V69">
        <v>9</v>
      </c>
      <c r="W69">
        <v>470</v>
      </c>
      <c r="X69">
        <v>18</v>
      </c>
      <c r="Y69">
        <v>793.99</v>
      </c>
      <c r="Z69">
        <v>477.49</v>
      </c>
      <c r="AA69" s="9">
        <v>1271.48</v>
      </c>
      <c r="AB69" t="s">
        <v>52</v>
      </c>
      <c r="AC69">
        <v>0</v>
      </c>
      <c r="AD69">
        <v>91.78</v>
      </c>
      <c r="AE69">
        <v>133</v>
      </c>
      <c r="AF69">
        <v>89</v>
      </c>
      <c r="AG69" s="11">
        <f>Supply_Chain[[#This Row],[Total_Cost]]/Supply_Chain[[#This Row],[Stock_On_Hand]]</f>
        <v>141.27555555555557</v>
      </c>
    </row>
    <row r="70" spans="1:33" x14ac:dyDescent="0.25">
      <c r="A70" t="s">
        <v>350</v>
      </c>
      <c r="B70" t="s">
        <v>351</v>
      </c>
      <c r="C70" s="1">
        <v>44649</v>
      </c>
      <c r="D70" s="1">
        <v>44458</v>
      </c>
      <c r="E70" t="s">
        <v>30</v>
      </c>
      <c r="F70" t="s">
        <v>75</v>
      </c>
      <c r="G70" t="s">
        <v>76</v>
      </c>
      <c r="H70" t="s">
        <v>66</v>
      </c>
      <c r="I70" s="3" t="s">
        <v>2806</v>
      </c>
      <c r="J70" s="3" t="s">
        <v>84</v>
      </c>
      <c r="K70" s="3" t="s">
        <v>3531</v>
      </c>
      <c r="L70" s="3" t="s">
        <v>3605</v>
      </c>
      <c r="M70">
        <v>461.67</v>
      </c>
      <c r="N70">
        <v>17</v>
      </c>
      <c r="O70">
        <f>Supply_Chain[[#This Row],[Unit_Price]]*Supply_Chain[[#This Row],[Quantity]]</f>
        <v>7848.39</v>
      </c>
      <c r="P70" t="s">
        <v>352</v>
      </c>
      <c r="Q70" t="s">
        <v>35</v>
      </c>
      <c r="R70" t="s">
        <v>111</v>
      </c>
      <c r="S70" t="s">
        <v>70</v>
      </c>
      <c r="T70" t="s">
        <v>79</v>
      </c>
      <c r="U70" t="s">
        <v>223</v>
      </c>
      <c r="V70">
        <v>3119</v>
      </c>
      <c r="W70">
        <v>403</v>
      </c>
      <c r="X70">
        <v>19</v>
      </c>
      <c r="Y70">
        <v>1454.25</v>
      </c>
      <c r="Z70">
        <v>161.87</v>
      </c>
      <c r="AA70" s="9">
        <v>1616.12</v>
      </c>
      <c r="AB70" t="s">
        <v>52</v>
      </c>
      <c r="AC70">
        <v>0</v>
      </c>
      <c r="AD70">
        <v>96.67</v>
      </c>
      <c r="AE70">
        <v>479</v>
      </c>
      <c r="AF70">
        <v>460</v>
      </c>
      <c r="AG70" s="11">
        <f>Supply_Chain[[#This Row],[Total_Cost]]/Supply_Chain[[#This Row],[Stock_On_Hand]]</f>
        <v>0.51815325424815639</v>
      </c>
    </row>
    <row r="71" spans="1:33" x14ac:dyDescent="0.25">
      <c r="A71" t="s">
        <v>353</v>
      </c>
      <c r="B71" t="s">
        <v>354</v>
      </c>
      <c r="C71" s="1">
        <v>43911</v>
      </c>
      <c r="D71" s="1">
        <v>45117</v>
      </c>
      <c r="E71" t="s">
        <v>55</v>
      </c>
      <c r="F71" t="s">
        <v>75</v>
      </c>
      <c r="G71" t="s">
        <v>45</v>
      </c>
      <c r="H71" t="s">
        <v>116</v>
      </c>
      <c r="I71" s="3" t="s">
        <v>2807</v>
      </c>
      <c r="J71" s="3" t="s">
        <v>84</v>
      </c>
      <c r="K71" s="3" t="s">
        <v>3529</v>
      </c>
      <c r="L71" s="3" t="s">
        <v>3606</v>
      </c>
      <c r="M71">
        <v>179.86</v>
      </c>
      <c r="N71">
        <v>11</v>
      </c>
      <c r="O71">
        <f>Supply_Chain[[#This Row],[Unit_Price]]*Supply_Chain[[#This Row],[Quantity]]</f>
        <v>1978.46</v>
      </c>
      <c r="P71" t="s">
        <v>355</v>
      </c>
      <c r="Q71" t="s">
        <v>35</v>
      </c>
      <c r="R71" t="s">
        <v>111</v>
      </c>
      <c r="S71" t="s">
        <v>119</v>
      </c>
      <c r="T71" t="s">
        <v>71</v>
      </c>
      <c r="U71" t="s">
        <v>356</v>
      </c>
      <c r="V71">
        <v>3541</v>
      </c>
      <c r="W71">
        <v>355</v>
      </c>
      <c r="X71">
        <v>25</v>
      </c>
      <c r="Y71">
        <v>994.43</v>
      </c>
      <c r="Z71">
        <v>429.07</v>
      </c>
      <c r="AA71" s="9">
        <v>1423.5</v>
      </c>
      <c r="AB71" t="s">
        <v>52</v>
      </c>
      <c r="AC71">
        <v>0</v>
      </c>
      <c r="AD71">
        <v>97.89</v>
      </c>
      <c r="AE71">
        <v>122</v>
      </c>
      <c r="AF71">
        <v>144</v>
      </c>
      <c r="AG71" s="11">
        <f>Supply_Chain[[#This Row],[Total_Cost]]/Supply_Chain[[#This Row],[Stock_On_Hand]]</f>
        <v>0.4020050833097995</v>
      </c>
    </row>
    <row r="72" spans="1:33" x14ac:dyDescent="0.25">
      <c r="A72" t="s">
        <v>357</v>
      </c>
      <c r="B72" t="s">
        <v>358</v>
      </c>
      <c r="C72" s="1">
        <v>44768</v>
      </c>
      <c r="D72" s="1">
        <v>44710</v>
      </c>
      <c r="E72" t="s">
        <v>55</v>
      </c>
      <c r="F72" t="s">
        <v>64</v>
      </c>
      <c r="G72" t="s">
        <v>45</v>
      </c>
      <c r="H72" t="s">
        <v>128</v>
      </c>
      <c r="I72" s="3" t="s">
        <v>2808</v>
      </c>
      <c r="J72" s="3" t="s">
        <v>84</v>
      </c>
      <c r="K72" s="3" t="s">
        <v>3529</v>
      </c>
      <c r="L72" s="3" t="s">
        <v>3607</v>
      </c>
      <c r="M72">
        <v>113.1</v>
      </c>
      <c r="N72">
        <v>87</v>
      </c>
      <c r="O72">
        <f>Supply_Chain[[#This Row],[Unit_Price]]*Supply_Chain[[#This Row],[Quantity]]</f>
        <v>9839.6999999999989</v>
      </c>
      <c r="P72" t="s">
        <v>359</v>
      </c>
      <c r="Q72" t="s">
        <v>35</v>
      </c>
      <c r="R72" t="s">
        <v>360</v>
      </c>
      <c r="S72" t="s">
        <v>119</v>
      </c>
      <c r="T72" t="s">
        <v>71</v>
      </c>
      <c r="U72" t="s">
        <v>177</v>
      </c>
      <c r="V72">
        <v>1673</v>
      </c>
      <c r="W72">
        <v>493</v>
      </c>
      <c r="X72">
        <v>5</v>
      </c>
      <c r="Y72">
        <v>1386.02</v>
      </c>
      <c r="Z72">
        <v>317.89999999999998</v>
      </c>
      <c r="AA72" s="9">
        <v>1703.92</v>
      </c>
      <c r="AB72" t="s">
        <v>52</v>
      </c>
      <c r="AC72">
        <v>0</v>
      </c>
      <c r="AD72">
        <v>97.31</v>
      </c>
      <c r="AE72">
        <v>480</v>
      </c>
      <c r="AF72">
        <v>451</v>
      </c>
      <c r="AG72" s="11">
        <f>Supply_Chain[[#This Row],[Total_Cost]]/Supply_Chain[[#This Row],[Stock_On_Hand]]</f>
        <v>1.0184817692767485</v>
      </c>
    </row>
    <row r="73" spans="1:33" x14ac:dyDescent="0.25">
      <c r="A73" t="s">
        <v>361</v>
      </c>
      <c r="B73" t="s">
        <v>362</v>
      </c>
      <c r="C73" s="1">
        <v>44010</v>
      </c>
      <c r="D73" s="1">
        <v>45489</v>
      </c>
      <c r="E73" t="s">
        <v>55</v>
      </c>
      <c r="F73" t="s">
        <v>31</v>
      </c>
      <c r="G73" t="s">
        <v>91</v>
      </c>
      <c r="H73" t="s">
        <v>46</v>
      </c>
      <c r="I73" s="3" t="s">
        <v>2809</v>
      </c>
      <c r="J73" s="3" t="s">
        <v>3518</v>
      </c>
      <c r="K73" s="3" t="s">
        <v>3522</v>
      </c>
      <c r="L73" s="3" t="s">
        <v>3608</v>
      </c>
      <c r="M73">
        <v>129.01</v>
      </c>
      <c r="N73">
        <v>62</v>
      </c>
      <c r="O73">
        <f>Supply_Chain[[#This Row],[Unit_Price]]*Supply_Chain[[#This Row],[Quantity]]</f>
        <v>7998.619999999999</v>
      </c>
      <c r="P73" t="s">
        <v>363</v>
      </c>
      <c r="Q73" t="s">
        <v>86</v>
      </c>
      <c r="R73" t="s">
        <v>253</v>
      </c>
      <c r="S73" t="s">
        <v>37</v>
      </c>
      <c r="T73" t="s">
        <v>100</v>
      </c>
      <c r="U73" t="s">
        <v>177</v>
      </c>
      <c r="V73">
        <v>371</v>
      </c>
      <c r="W73">
        <v>180</v>
      </c>
      <c r="X73">
        <v>16</v>
      </c>
      <c r="Y73">
        <v>312.06</v>
      </c>
      <c r="Z73">
        <v>85.69</v>
      </c>
      <c r="AA73" s="9">
        <v>397.75</v>
      </c>
      <c r="AB73" t="s">
        <v>52</v>
      </c>
      <c r="AC73">
        <v>0</v>
      </c>
      <c r="AD73">
        <v>87.37</v>
      </c>
      <c r="AE73">
        <v>250</v>
      </c>
      <c r="AF73">
        <v>299</v>
      </c>
      <c r="AG73" s="11">
        <f>Supply_Chain[[#This Row],[Total_Cost]]/Supply_Chain[[#This Row],[Stock_On_Hand]]</f>
        <v>1.0721024258760108</v>
      </c>
    </row>
    <row r="74" spans="1:33" x14ac:dyDescent="0.25">
      <c r="A74" t="s">
        <v>364</v>
      </c>
      <c r="B74" t="s">
        <v>365</v>
      </c>
      <c r="C74" s="1">
        <v>43858</v>
      </c>
      <c r="D74" s="1">
        <v>44881</v>
      </c>
      <c r="E74" t="s">
        <v>43</v>
      </c>
      <c r="F74" t="s">
        <v>64</v>
      </c>
      <c r="G74" t="s">
        <v>32</v>
      </c>
      <c r="H74" t="s">
        <v>166</v>
      </c>
      <c r="I74" s="3" t="s">
        <v>2810</v>
      </c>
      <c r="J74" s="3" t="s">
        <v>3518</v>
      </c>
      <c r="K74" s="3" t="s">
        <v>3521</v>
      </c>
      <c r="L74" s="3" t="s">
        <v>3609</v>
      </c>
      <c r="M74">
        <v>294.23</v>
      </c>
      <c r="N74">
        <v>31</v>
      </c>
      <c r="O74">
        <f>Supply_Chain[[#This Row],[Unit_Price]]*Supply_Chain[[#This Row],[Quantity]]</f>
        <v>9121.130000000001</v>
      </c>
      <c r="P74" t="s">
        <v>366</v>
      </c>
      <c r="Q74" t="s">
        <v>48</v>
      </c>
      <c r="R74" t="s">
        <v>360</v>
      </c>
      <c r="S74" t="s">
        <v>119</v>
      </c>
      <c r="T74" t="s">
        <v>79</v>
      </c>
      <c r="U74" t="s">
        <v>207</v>
      </c>
      <c r="V74">
        <v>4004</v>
      </c>
      <c r="W74">
        <v>425</v>
      </c>
      <c r="X74">
        <v>6</v>
      </c>
      <c r="Y74">
        <v>627.67999999999995</v>
      </c>
      <c r="Z74">
        <v>329.71</v>
      </c>
      <c r="AA74" s="9">
        <v>957.38999999999987</v>
      </c>
      <c r="AB74" t="s">
        <v>52</v>
      </c>
      <c r="AC74">
        <v>0</v>
      </c>
      <c r="AD74">
        <v>90.19</v>
      </c>
      <c r="AE74">
        <v>267</v>
      </c>
      <c r="AF74">
        <v>238</v>
      </c>
      <c r="AG74" s="11">
        <f>Supply_Chain[[#This Row],[Total_Cost]]/Supply_Chain[[#This Row],[Stock_On_Hand]]</f>
        <v>0.23910839160839156</v>
      </c>
    </row>
    <row r="75" spans="1:33" x14ac:dyDescent="0.25">
      <c r="A75" t="s">
        <v>367</v>
      </c>
      <c r="B75" t="s">
        <v>368</v>
      </c>
      <c r="C75" s="1">
        <v>43987</v>
      </c>
      <c r="D75" s="1">
        <v>43932</v>
      </c>
      <c r="E75" t="s">
        <v>55</v>
      </c>
      <c r="F75" t="s">
        <v>44</v>
      </c>
      <c r="G75" t="s">
        <v>32</v>
      </c>
      <c r="H75" t="s">
        <v>33</v>
      </c>
      <c r="I75" s="3" t="s">
        <v>2811</v>
      </c>
      <c r="J75" s="3" t="s">
        <v>3518</v>
      </c>
      <c r="K75" s="3" t="s">
        <v>3521</v>
      </c>
      <c r="L75" s="3" t="s">
        <v>3610</v>
      </c>
      <c r="M75">
        <v>84.81</v>
      </c>
      <c r="N75">
        <v>76</v>
      </c>
      <c r="O75">
        <f>Supply_Chain[[#This Row],[Unit_Price]]*Supply_Chain[[#This Row],[Quantity]]</f>
        <v>6445.56</v>
      </c>
      <c r="P75" t="s">
        <v>190</v>
      </c>
      <c r="Q75" t="s">
        <v>86</v>
      </c>
      <c r="R75" t="s">
        <v>369</v>
      </c>
      <c r="S75" t="s">
        <v>70</v>
      </c>
      <c r="T75" t="s">
        <v>100</v>
      </c>
      <c r="U75" t="s">
        <v>370</v>
      </c>
      <c r="V75">
        <v>2204</v>
      </c>
      <c r="W75">
        <v>205</v>
      </c>
      <c r="X75">
        <v>26</v>
      </c>
      <c r="Y75">
        <v>1805.72</v>
      </c>
      <c r="Z75">
        <v>60.63</v>
      </c>
      <c r="AA75" s="9">
        <v>1866.35</v>
      </c>
      <c r="AB75" t="s">
        <v>40</v>
      </c>
      <c r="AC75">
        <v>10</v>
      </c>
      <c r="AD75">
        <v>91.14</v>
      </c>
      <c r="AE75">
        <v>449</v>
      </c>
      <c r="AF75">
        <v>441</v>
      </c>
      <c r="AG75" s="11">
        <f>Supply_Chain[[#This Row],[Total_Cost]]/Supply_Chain[[#This Row],[Stock_On_Hand]]</f>
        <v>0.84680127041742281</v>
      </c>
    </row>
    <row r="76" spans="1:33" x14ac:dyDescent="0.25">
      <c r="A76" t="s">
        <v>371</v>
      </c>
      <c r="B76" t="s">
        <v>372</v>
      </c>
      <c r="C76" s="1">
        <v>43836</v>
      </c>
      <c r="D76" s="1">
        <v>45257</v>
      </c>
      <c r="E76" t="s">
        <v>43</v>
      </c>
      <c r="F76" t="s">
        <v>75</v>
      </c>
      <c r="G76" t="s">
        <v>247</v>
      </c>
      <c r="H76" t="s">
        <v>116</v>
      </c>
      <c r="I76" s="3" t="s">
        <v>2812</v>
      </c>
      <c r="J76" s="3" t="s">
        <v>3518</v>
      </c>
      <c r="K76" s="3" t="s">
        <v>3524</v>
      </c>
      <c r="L76" s="3" t="s">
        <v>3611</v>
      </c>
      <c r="M76">
        <v>398.93</v>
      </c>
      <c r="N76">
        <v>37</v>
      </c>
      <c r="O76">
        <f>Supply_Chain[[#This Row],[Unit_Price]]*Supply_Chain[[#This Row],[Quantity]]</f>
        <v>14760.41</v>
      </c>
      <c r="P76" t="s">
        <v>373</v>
      </c>
      <c r="Q76" t="s">
        <v>86</v>
      </c>
      <c r="R76" t="s">
        <v>214</v>
      </c>
      <c r="S76" t="s">
        <v>119</v>
      </c>
      <c r="T76" t="s">
        <v>60</v>
      </c>
      <c r="U76" t="s">
        <v>215</v>
      </c>
      <c r="V76">
        <v>1456</v>
      </c>
      <c r="W76">
        <v>373</v>
      </c>
      <c r="X76">
        <v>24</v>
      </c>
      <c r="Y76">
        <v>1916.61</v>
      </c>
      <c r="Z76">
        <v>465.67</v>
      </c>
      <c r="AA76" s="9">
        <v>2382.2800000000002</v>
      </c>
      <c r="AB76" t="s">
        <v>52</v>
      </c>
      <c r="AC76">
        <v>0</v>
      </c>
      <c r="AD76">
        <v>87.17</v>
      </c>
      <c r="AE76">
        <v>75</v>
      </c>
      <c r="AF76">
        <v>94</v>
      </c>
      <c r="AG76" s="11">
        <f>Supply_Chain[[#This Row],[Total_Cost]]/Supply_Chain[[#This Row],[Stock_On_Hand]]</f>
        <v>1.6361813186813188</v>
      </c>
    </row>
    <row r="77" spans="1:33" x14ac:dyDescent="0.25">
      <c r="A77" t="s">
        <v>374</v>
      </c>
      <c r="B77" t="s">
        <v>375</v>
      </c>
      <c r="C77" s="1">
        <v>45301</v>
      </c>
      <c r="D77" s="1">
        <v>45063</v>
      </c>
      <c r="E77" t="s">
        <v>30</v>
      </c>
      <c r="F77" t="s">
        <v>115</v>
      </c>
      <c r="G77" t="s">
        <v>76</v>
      </c>
      <c r="H77" t="s">
        <v>57</v>
      </c>
      <c r="I77" s="3" t="s">
        <v>2813</v>
      </c>
      <c r="J77" s="3" t="s">
        <v>3519</v>
      </c>
      <c r="K77" s="3" t="s">
        <v>3528</v>
      </c>
      <c r="L77" s="3" t="s">
        <v>3612</v>
      </c>
      <c r="M77">
        <v>125.42</v>
      </c>
      <c r="N77">
        <v>55</v>
      </c>
      <c r="O77">
        <f>Supply_Chain[[#This Row],[Unit_Price]]*Supply_Chain[[#This Row],[Quantity]]</f>
        <v>6898.1</v>
      </c>
      <c r="P77" t="s">
        <v>376</v>
      </c>
      <c r="Q77" t="s">
        <v>86</v>
      </c>
      <c r="R77" t="s">
        <v>377</v>
      </c>
      <c r="S77" t="s">
        <v>37</v>
      </c>
      <c r="T77" t="s">
        <v>71</v>
      </c>
      <c r="U77" t="s">
        <v>378</v>
      </c>
      <c r="V77">
        <v>2429</v>
      </c>
      <c r="W77">
        <v>287</v>
      </c>
      <c r="X77">
        <v>10</v>
      </c>
      <c r="Y77">
        <v>1932.32</v>
      </c>
      <c r="Z77">
        <v>457.87</v>
      </c>
      <c r="AA77" s="9">
        <v>2390.19</v>
      </c>
      <c r="AB77" t="s">
        <v>52</v>
      </c>
      <c r="AC77">
        <v>0</v>
      </c>
      <c r="AD77">
        <v>73.22</v>
      </c>
      <c r="AE77">
        <v>458</v>
      </c>
      <c r="AF77">
        <v>460</v>
      </c>
      <c r="AG77" s="11">
        <f>Supply_Chain[[#This Row],[Total_Cost]]/Supply_Chain[[#This Row],[Stock_On_Hand]]</f>
        <v>0.98402223137093459</v>
      </c>
    </row>
    <row r="78" spans="1:33" x14ac:dyDescent="0.25">
      <c r="A78" t="s">
        <v>379</v>
      </c>
      <c r="B78" t="s">
        <v>380</v>
      </c>
      <c r="C78" s="1">
        <v>45631</v>
      </c>
      <c r="D78" s="1">
        <v>45112</v>
      </c>
      <c r="E78" t="s">
        <v>55</v>
      </c>
      <c r="F78" t="s">
        <v>44</v>
      </c>
      <c r="G78" t="s">
        <v>65</v>
      </c>
      <c r="H78" t="s">
        <v>33</v>
      </c>
      <c r="I78" s="3" t="s">
        <v>2814</v>
      </c>
      <c r="J78" s="3" t="s">
        <v>3519</v>
      </c>
      <c r="K78" s="3" t="s">
        <v>3528</v>
      </c>
      <c r="L78" s="3" t="s">
        <v>3613</v>
      </c>
      <c r="M78">
        <v>421.19</v>
      </c>
      <c r="N78">
        <v>94</v>
      </c>
      <c r="O78">
        <f>Supply_Chain[[#This Row],[Unit_Price]]*Supply_Chain[[#This Row],[Quantity]]</f>
        <v>39591.86</v>
      </c>
      <c r="P78" t="s">
        <v>381</v>
      </c>
      <c r="Q78" t="s">
        <v>68</v>
      </c>
      <c r="R78" t="s">
        <v>105</v>
      </c>
      <c r="S78" t="s">
        <v>119</v>
      </c>
      <c r="T78" t="s">
        <v>79</v>
      </c>
      <c r="U78" t="s">
        <v>146</v>
      </c>
      <c r="V78">
        <v>1882</v>
      </c>
      <c r="W78">
        <v>79</v>
      </c>
      <c r="X78">
        <v>2</v>
      </c>
      <c r="Y78">
        <v>317.02999999999997</v>
      </c>
      <c r="Z78">
        <v>51.07</v>
      </c>
      <c r="AA78" s="9">
        <v>368.1</v>
      </c>
      <c r="AB78" t="s">
        <v>52</v>
      </c>
      <c r="AC78">
        <v>0</v>
      </c>
      <c r="AD78">
        <v>97.46</v>
      </c>
      <c r="AE78">
        <v>174</v>
      </c>
      <c r="AF78">
        <v>196</v>
      </c>
      <c r="AG78" s="11">
        <f>Supply_Chain[[#This Row],[Total_Cost]]/Supply_Chain[[#This Row],[Stock_On_Hand]]</f>
        <v>0.19558979808714136</v>
      </c>
    </row>
    <row r="79" spans="1:33" x14ac:dyDescent="0.25">
      <c r="A79" t="s">
        <v>382</v>
      </c>
      <c r="B79" t="s">
        <v>383</v>
      </c>
      <c r="C79" s="1">
        <v>44618</v>
      </c>
      <c r="D79" s="1">
        <v>45568</v>
      </c>
      <c r="E79" t="s">
        <v>30</v>
      </c>
      <c r="F79" t="s">
        <v>75</v>
      </c>
      <c r="G79" t="s">
        <v>83</v>
      </c>
      <c r="H79" t="s">
        <v>46</v>
      </c>
      <c r="I79" s="3" t="s">
        <v>2815</v>
      </c>
      <c r="J79" s="3" t="s">
        <v>84</v>
      </c>
      <c r="K79" s="3" t="s">
        <v>3534</v>
      </c>
      <c r="L79" s="3" t="s">
        <v>3614</v>
      </c>
      <c r="M79">
        <v>477.18</v>
      </c>
      <c r="N79">
        <v>3</v>
      </c>
      <c r="O79">
        <f>Supply_Chain[[#This Row],[Unit_Price]]*Supply_Chain[[#This Row],[Quantity]]</f>
        <v>1431.54</v>
      </c>
      <c r="P79" t="s">
        <v>384</v>
      </c>
      <c r="Q79" t="s">
        <v>110</v>
      </c>
      <c r="R79" t="s">
        <v>248</v>
      </c>
      <c r="S79" t="s">
        <v>119</v>
      </c>
      <c r="T79" t="s">
        <v>71</v>
      </c>
      <c r="U79" t="s">
        <v>265</v>
      </c>
      <c r="V79">
        <v>3877</v>
      </c>
      <c r="W79">
        <v>192</v>
      </c>
      <c r="X79">
        <v>1</v>
      </c>
      <c r="Y79">
        <v>1855.28</v>
      </c>
      <c r="Z79">
        <v>50.64</v>
      </c>
      <c r="AA79" s="9">
        <v>1905.92</v>
      </c>
      <c r="AB79" t="s">
        <v>52</v>
      </c>
      <c r="AC79">
        <v>0</v>
      </c>
      <c r="AD79">
        <v>70.52</v>
      </c>
      <c r="AE79">
        <v>367</v>
      </c>
      <c r="AF79">
        <v>349</v>
      </c>
      <c r="AG79" s="11">
        <f>Supply_Chain[[#This Row],[Total_Cost]]/Supply_Chain[[#This Row],[Stock_On_Hand]]</f>
        <v>0.4915965953056487</v>
      </c>
    </row>
    <row r="80" spans="1:33" x14ac:dyDescent="0.25">
      <c r="A80" t="s">
        <v>385</v>
      </c>
      <c r="B80" t="s">
        <v>386</v>
      </c>
      <c r="C80" s="1">
        <v>45369</v>
      </c>
      <c r="D80" s="1">
        <v>43848</v>
      </c>
      <c r="E80" t="s">
        <v>43</v>
      </c>
      <c r="F80" t="s">
        <v>31</v>
      </c>
      <c r="G80" t="s">
        <v>247</v>
      </c>
      <c r="H80" t="s">
        <v>166</v>
      </c>
      <c r="I80" s="3" t="s">
        <v>2816</v>
      </c>
      <c r="J80" s="3" t="s">
        <v>3518</v>
      </c>
      <c r="K80" s="3" t="s">
        <v>3525</v>
      </c>
      <c r="L80" s="3" t="s">
        <v>3615</v>
      </c>
      <c r="M80">
        <v>337.18</v>
      </c>
      <c r="N80">
        <v>93</v>
      </c>
      <c r="O80">
        <f>Supply_Chain[[#This Row],[Unit_Price]]*Supply_Chain[[#This Row],[Quantity]]</f>
        <v>31357.74</v>
      </c>
      <c r="P80" t="s">
        <v>387</v>
      </c>
      <c r="Q80" t="s">
        <v>68</v>
      </c>
      <c r="R80" t="s">
        <v>388</v>
      </c>
      <c r="S80" t="s">
        <v>50</v>
      </c>
      <c r="T80" t="s">
        <v>100</v>
      </c>
      <c r="U80" t="s">
        <v>389</v>
      </c>
      <c r="V80">
        <v>2196</v>
      </c>
      <c r="W80">
        <v>82</v>
      </c>
      <c r="X80">
        <v>18</v>
      </c>
      <c r="Y80">
        <v>1393.52</v>
      </c>
      <c r="Z80">
        <v>460.58</v>
      </c>
      <c r="AA80" s="9">
        <v>1854.1</v>
      </c>
      <c r="AB80" t="s">
        <v>52</v>
      </c>
      <c r="AC80">
        <v>0</v>
      </c>
      <c r="AD80">
        <v>92.1</v>
      </c>
      <c r="AE80">
        <v>52</v>
      </c>
      <c r="AF80">
        <v>71</v>
      </c>
      <c r="AG80" s="11">
        <f>Supply_Chain[[#This Row],[Total_Cost]]/Supply_Chain[[#This Row],[Stock_On_Hand]]</f>
        <v>0.84430783242258645</v>
      </c>
    </row>
    <row r="81" spans="1:33" x14ac:dyDescent="0.25">
      <c r="A81" t="s">
        <v>390</v>
      </c>
      <c r="B81" t="s">
        <v>391</v>
      </c>
      <c r="C81" s="1">
        <v>44699</v>
      </c>
      <c r="D81" s="1">
        <v>43869</v>
      </c>
      <c r="E81" t="s">
        <v>43</v>
      </c>
      <c r="F81" t="s">
        <v>44</v>
      </c>
      <c r="G81" t="s">
        <v>76</v>
      </c>
      <c r="H81" t="s">
        <v>116</v>
      </c>
      <c r="I81" s="3" t="s">
        <v>2817</v>
      </c>
      <c r="J81" s="3" t="s">
        <v>3518</v>
      </c>
      <c r="K81" s="3" t="s">
        <v>3524</v>
      </c>
      <c r="L81" s="3" t="s">
        <v>3616</v>
      </c>
      <c r="M81">
        <v>494.42</v>
      </c>
      <c r="N81">
        <v>70</v>
      </c>
      <c r="O81">
        <f>Supply_Chain[[#This Row],[Unit_Price]]*Supply_Chain[[#This Row],[Quantity]]</f>
        <v>34609.4</v>
      </c>
      <c r="P81" t="s">
        <v>392</v>
      </c>
      <c r="Q81" t="s">
        <v>68</v>
      </c>
      <c r="R81" t="s">
        <v>59</v>
      </c>
      <c r="S81" t="s">
        <v>70</v>
      </c>
      <c r="T81" t="s">
        <v>100</v>
      </c>
      <c r="U81" t="s">
        <v>163</v>
      </c>
      <c r="V81">
        <v>2637</v>
      </c>
      <c r="W81">
        <v>382</v>
      </c>
      <c r="X81">
        <v>9</v>
      </c>
      <c r="Y81">
        <v>288.72000000000003</v>
      </c>
      <c r="Z81">
        <v>145.82</v>
      </c>
      <c r="AA81" s="9">
        <v>434.54</v>
      </c>
      <c r="AB81" t="s">
        <v>52</v>
      </c>
      <c r="AC81">
        <v>0</v>
      </c>
      <c r="AD81">
        <v>95.93</v>
      </c>
      <c r="AE81">
        <v>476</v>
      </c>
      <c r="AF81">
        <v>434</v>
      </c>
      <c r="AG81" s="11">
        <f>Supply_Chain[[#This Row],[Total_Cost]]/Supply_Chain[[#This Row],[Stock_On_Hand]]</f>
        <v>0.1647857413727721</v>
      </c>
    </row>
    <row r="82" spans="1:33" x14ac:dyDescent="0.25">
      <c r="A82" t="s">
        <v>393</v>
      </c>
      <c r="B82" t="s">
        <v>394</v>
      </c>
      <c r="C82" s="1">
        <v>44456</v>
      </c>
      <c r="D82" s="1">
        <v>45454</v>
      </c>
      <c r="E82" t="s">
        <v>55</v>
      </c>
      <c r="F82" t="s">
        <v>44</v>
      </c>
      <c r="G82" t="s">
        <v>65</v>
      </c>
      <c r="H82" t="s">
        <v>57</v>
      </c>
      <c r="I82" s="3" t="s">
        <v>2818</v>
      </c>
      <c r="J82" s="3" t="s">
        <v>3518</v>
      </c>
      <c r="K82" s="3" t="s">
        <v>3522</v>
      </c>
      <c r="L82" s="3" t="s">
        <v>3617</v>
      </c>
      <c r="M82">
        <v>318.36</v>
      </c>
      <c r="N82">
        <v>32</v>
      </c>
      <c r="O82">
        <f>Supply_Chain[[#This Row],[Unit_Price]]*Supply_Chain[[#This Row],[Quantity]]</f>
        <v>10187.52</v>
      </c>
      <c r="P82" t="s">
        <v>395</v>
      </c>
      <c r="Q82" t="s">
        <v>35</v>
      </c>
      <c r="R82" t="s">
        <v>236</v>
      </c>
      <c r="S82" t="s">
        <v>70</v>
      </c>
      <c r="T82" t="s">
        <v>79</v>
      </c>
      <c r="U82" t="s">
        <v>191</v>
      </c>
      <c r="V82">
        <v>2040</v>
      </c>
      <c r="W82">
        <v>449</v>
      </c>
      <c r="X82">
        <v>17</v>
      </c>
      <c r="Y82">
        <v>1988.88</v>
      </c>
      <c r="Z82">
        <v>48.76</v>
      </c>
      <c r="AA82" s="9">
        <v>2037.64</v>
      </c>
      <c r="AB82" t="s">
        <v>52</v>
      </c>
      <c r="AC82">
        <v>0</v>
      </c>
      <c r="AD82">
        <v>82.41</v>
      </c>
      <c r="AE82">
        <v>341</v>
      </c>
      <c r="AF82">
        <v>328</v>
      </c>
      <c r="AG82" s="11">
        <f>Supply_Chain[[#This Row],[Total_Cost]]/Supply_Chain[[#This Row],[Stock_On_Hand]]</f>
        <v>0.99884313725490204</v>
      </c>
    </row>
    <row r="83" spans="1:33" x14ac:dyDescent="0.25">
      <c r="A83" t="s">
        <v>396</v>
      </c>
      <c r="B83" t="s">
        <v>397</v>
      </c>
      <c r="C83" s="1">
        <v>44309</v>
      </c>
      <c r="D83" s="1">
        <v>45155</v>
      </c>
      <c r="E83" t="s">
        <v>55</v>
      </c>
      <c r="F83" t="s">
        <v>75</v>
      </c>
      <c r="G83" t="s">
        <v>32</v>
      </c>
      <c r="H83" t="s">
        <v>166</v>
      </c>
      <c r="I83" s="3" t="s">
        <v>2819</v>
      </c>
      <c r="J83" s="3" t="s">
        <v>3518</v>
      </c>
      <c r="K83" s="3" t="s">
        <v>3521</v>
      </c>
      <c r="L83" s="3" t="s">
        <v>3618</v>
      </c>
      <c r="M83">
        <v>66.62</v>
      </c>
      <c r="N83">
        <v>91</v>
      </c>
      <c r="O83">
        <f>Supply_Chain[[#This Row],[Unit_Price]]*Supply_Chain[[#This Row],[Quantity]]</f>
        <v>6062.42</v>
      </c>
      <c r="P83" t="s">
        <v>398</v>
      </c>
      <c r="Q83" t="s">
        <v>86</v>
      </c>
      <c r="R83" t="s">
        <v>253</v>
      </c>
      <c r="S83" t="s">
        <v>37</v>
      </c>
      <c r="T83" t="s">
        <v>71</v>
      </c>
      <c r="U83" t="s">
        <v>125</v>
      </c>
      <c r="V83">
        <v>322</v>
      </c>
      <c r="W83">
        <v>157</v>
      </c>
      <c r="X83">
        <v>13</v>
      </c>
      <c r="Y83">
        <v>482.06</v>
      </c>
      <c r="Z83">
        <v>470.6</v>
      </c>
      <c r="AA83" s="9">
        <v>952.66000000000008</v>
      </c>
      <c r="AB83" t="s">
        <v>52</v>
      </c>
      <c r="AC83">
        <v>0</v>
      </c>
      <c r="AD83">
        <v>96.56</v>
      </c>
      <c r="AE83">
        <v>428</v>
      </c>
      <c r="AF83">
        <v>400</v>
      </c>
      <c r="AG83" s="11">
        <f>Supply_Chain[[#This Row],[Total_Cost]]/Supply_Chain[[#This Row],[Stock_On_Hand]]</f>
        <v>2.9585714285714286</v>
      </c>
    </row>
    <row r="84" spans="1:33" x14ac:dyDescent="0.25">
      <c r="A84" t="s">
        <v>399</v>
      </c>
      <c r="B84" t="s">
        <v>400</v>
      </c>
      <c r="C84" s="1">
        <v>44710</v>
      </c>
      <c r="D84" s="1">
        <v>45026</v>
      </c>
      <c r="E84" t="s">
        <v>43</v>
      </c>
      <c r="F84" t="s">
        <v>44</v>
      </c>
      <c r="G84" t="s">
        <v>76</v>
      </c>
      <c r="H84" t="s">
        <v>116</v>
      </c>
      <c r="I84" s="3" t="s">
        <v>2820</v>
      </c>
      <c r="J84" s="3" t="s">
        <v>3518</v>
      </c>
      <c r="K84" s="3" t="s">
        <v>3524</v>
      </c>
      <c r="L84" s="3" t="s">
        <v>3619</v>
      </c>
      <c r="M84">
        <v>382.6</v>
      </c>
      <c r="N84">
        <v>58</v>
      </c>
      <c r="O84">
        <f>Supply_Chain[[#This Row],[Unit_Price]]*Supply_Chain[[#This Row],[Quantity]]</f>
        <v>22190.800000000003</v>
      </c>
      <c r="P84" t="s">
        <v>230</v>
      </c>
      <c r="Q84" t="s">
        <v>86</v>
      </c>
      <c r="R84" t="s">
        <v>253</v>
      </c>
      <c r="S84" t="s">
        <v>119</v>
      </c>
      <c r="T84" t="s">
        <v>100</v>
      </c>
      <c r="U84" t="s">
        <v>131</v>
      </c>
      <c r="V84">
        <v>4787</v>
      </c>
      <c r="W84">
        <v>251</v>
      </c>
      <c r="X84">
        <v>5</v>
      </c>
      <c r="Y84">
        <v>766.38</v>
      </c>
      <c r="Z84">
        <v>397.16</v>
      </c>
      <c r="AA84" s="9">
        <v>1163.54</v>
      </c>
      <c r="AB84" t="s">
        <v>52</v>
      </c>
      <c r="AC84">
        <v>0</v>
      </c>
      <c r="AD84">
        <v>98.72</v>
      </c>
      <c r="AE84">
        <v>159</v>
      </c>
      <c r="AF84">
        <v>199</v>
      </c>
      <c r="AG84" s="11">
        <f>Supply_Chain[[#This Row],[Total_Cost]]/Supply_Chain[[#This Row],[Stock_On_Hand]]</f>
        <v>0.24306246083141841</v>
      </c>
    </row>
    <row r="85" spans="1:33" x14ac:dyDescent="0.25">
      <c r="A85" t="s">
        <v>401</v>
      </c>
      <c r="B85" t="s">
        <v>402</v>
      </c>
      <c r="C85" s="1">
        <v>44670</v>
      </c>
      <c r="D85" s="1">
        <v>44860</v>
      </c>
      <c r="E85" t="s">
        <v>30</v>
      </c>
      <c r="F85" t="s">
        <v>44</v>
      </c>
      <c r="G85" t="s">
        <v>91</v>
      </c>
      <c r="H85" t="s">
        <v>92</v>
      </c>
      <c r="I85" s="3" t="s">
        <v>2821</v>
      </c>
      <c r="J85" s="3" t="s">
        <v>84</v>
      </c>
      <c r="K85" s="3" t="s">
        <v>3531</v>
      </c>
      <c r="L85" s="3" t="s">
        <v>3620</v>
      </c>
      <c r="M85">
        <v>265.38</v>
      </c>
      <c r="N85">
        <v>3</v>
      </c>
      <c r="O85">
        <f>Supply_Chain[[#This Row],[Unit_Price]]*Supply_Chain[[#This Row],[Quantity]]</f>
        <v>796.14</v>
      </c>
      <c r="P85" t="s">
        <v>403</v>
      </c>
      <c r="Q85" t="s">
        <v>110</v>
      </c>
      <c r="R85" t="s">
        <v>327</v>
      </c>
      <c r="S85" t="s">
        <v>119</v>
      </c>
      <c r="T85" t="s">
        <v>79</v>
      </c>
      <c r="U85" t="s">
        <v>291</v>
      </c>
      <c r="V85">
        <v>4928</v>
      </c>
      <c r="W85">
        <v>263</v>
      </c>
      <c r="X85">
        <v>16</v>
      </c>
      <c r="Y85">
        <v>230.38</v>
      </c>
      <c r="Z85">
        <v>481.69</v>
      </c>
      <c r="AA85" s="9">
        <v>712.06999999999994</v>
      </c>
      <c r="AB85" t="s">
        <v>40</v>
      </c>
      <c r="AC85">
        <v>8</v>
      </c>
      <c r="AD85">
        <v>71.47</v>
      </c>
      <c r="AE85">
        <v>64</v>
      </c>
      <c r="AF85">
        <v>85</v>
      </c>
      <c r="AG85" s="11">
        <f>Supply_Chain[[#This Row],[Total_Cost]]/Supply_Chain[[#This Row],[Stock_On_Hand]]</f>
        <v>0.14449472402597402</v>
      </c>
    </row>
    <row r="86" spans="1:33" x14ac:dyDescent="0.25">
      <c r="A86" t="s">
        <v>404</v>
      </c>
      <c r="B86" t="s">
        <v>405</v>
      </c>
      <c r="C86" s="1">
        <v>44132</v>
      </c>
      <c r="D86" s="1">
        <v>44985</v>
      </c>
      <c r="E86" t="s">
        <v>55</v>
      </c>
      <c r="F86" t="s">
        <v>64</v>
      </c>
      <c r="G86" t="s">
        <v>45</v>
      </c>
      <c r="H86" t="s">
        <v>66</v>
      </c>
      <c r="I86" s="3" t="s">
        <v>2822</v>
      </c>
      <c r="J86" s="3" t="s">
        <v>3519</v>
      </c>
      <c r="K86" s="3" t="s">
        <v>3530</v>
      </c>
      <c r="L86" s="3" t="s">
        <v>3621</v>
      </c>
      <c r="M86">
        <v>345.62</v>
      </c>
      <c r="N86">
        <v>94</v>
      </c>
      <c r="O86">
        <f>Supply_Chain[[#This Row],[Unit_Price]]*Supply_Chain[[#This Row],[Quantity]]</f>
        <v>32488.28</v>
      </c>
      <c r="P86" t="s">
        <v>406</v>
      </c>
      <c r="Q86" t="s">
        <v>110</v>
      </c>
      <c r="R86" t="s">
        <v>78</v>
      </c>
      <c r="S86" t="s">
        <v>70</v>
      </c>
      <c r="T86" t="s">
        <v>60</v>
      </c>
      <c r="U86" t="s">
        <v>106</v>
      </c>
      <c r="V86">
        <v>2578</v>
      </c>
      <c r="W86">
        <v>194</v>
      </c>
      <c r="X86">
        <v>20</v>
      </c>
      <c r="Y86">
        <v>740.63</v>
      </c>
      <c r="Z86">
        <v>466.35</v>
      </c>
      <c r="AA86" s="9">
        <v>1206.98</v>
      </c>
      <c r="AB86" t="s">
        <v>52</v>
      </c>
      <c r="AC86">
        <v>0</v>
      </c>
      <c r="AD86">
        <v>72.010000000000005</v>
      </c>
      <c r="AE86">
        <v>271</v>
      </c>
      <c r="AF86">
        <v>273</v>
      </c>
      <c r="AG86" s="11">
        <f>Supply_Chain[[#This Row],[Total_Cost]]/Supply_Chain[[#This Row],[Stock_On_Hand]]</f>
        <v>0.46818463925523662</v>
      </c>
    </row>
    <row r="87" spans="1:33" x14ac:dyDescent="0.25">
      <c r="A87" t="s">
        <v>407</v>
      </c>
      <c r="B87" t="s">
        <v>408</v>
      </c>
      <c r="C87" s="1">
        <v>43890</v>
      </c>
      <c r="D87" s="1">
        <v>44773</v>
      </c>
      <c r="E87" t="s">
        <v>55</v>
      </c>
      <c r="F87" t="s">
        <v>115</v>
      </c>
      <c r="G87" t="s">
        <v>32</v>
      </c>
      <c r="H87" t="s">
        <v>57</v>
      </c>
      <c r="I87" s="3" t="s">
        <v>2823</v>
      </c>
      <c r="J87" s="3" t="s">
        <v>3518</v>
      </c>
      <c r="K87" s="3" t="s">
        <v>3522</v>
      </c>
      <c r="L87" s="3" t="s">
        <v>3622</v>
      </c>
      <c r="M87">
        <v>202.34</v>
      </c>
      <c r="N87">
        <v>90</v>
      </c>
      <c r="O87">
        <f>Supply_Chain[[#This Row],[Unit_Price]]*Supply_Chain[[#This Row],[Quantity]]</f>
        <v>18210.599999999999</v>
      </c>
      <c r="P87" t="s">
        <v>409</v>
      </c>
      <c r="Q87" t="s">
        <v>110</v>
      </c>
      <c r="R87" t="s">
        <v>186</v>
      </c>
      <c r="S87" t="s">
        <v>119</v>
      </c>
      <c r="T87" t="s">
        <v>100</v>
      </c>
      <c r="U87" t="s">
        <v>88</v>
      </c>
      <c r="V87">
        <v>1813</v>
      </c>
      <c r="W87">
        <v>355</v>
      </c>
      <c r="X87">
        <v>18</v>
      </c>
      <c r="Y87">
        <v>1709.45</v>
      </c>
      <c r="Z87">
        <v>52.8</v>
      </c>
      <c r="AA87" s="9">
        <v>1762.25</v>
      </c>
      <c r="AB87" t="s">
        <v>52</v>
      </c>
      <c r="AC87">
        <v>0</v>
      </c>
      <c r="AD87">
        <v>77.23</v>
      </c>
      <c r="AE87">
        <v>150</v>
      </c>
      <c r="AF87">
        <v>173</v>
      </c>
      <c r="AG87" s="11">
        <f>Supply_Chain[[#This Row],[Total_Cost]]/Supply_Chain[[#This Row],[Stock_On_Hand]]</f>
        <v>0.97200772200772201</v>
      </c>
    </row>
    <row r="88" spans="1:33" x14ac:dyDescent="0.25">
      <c r="A88" t="s">
        <v>410</v>
      </c>
      <c r="B88" t="s">
        <v>411</v>
      </c>
      <c r="C88" s="1">
        <v>44512</v>
      </c>
      <c r="D88" s="1">
        <v>45145</v>
      </c>
      <c r="E88" t="s">
        <v>55</v>
      </c>
      <c r="F88" t="s">
        <v>115</v>
      </c>
      <c r="G88" t="s">
        <v>45</v>
      </c>
      <c r="H88" t="s">
        <v>57</v>
      </c>
      <c r="I88" s="3" t="s">
        <v>2824</v>
      </c>
      <c r="J88" s="3" t="s">
        <v>3518</v>
      </c>
      <c r="K88" s="3" t="s">
        <v>3527</v>
      </c>
      <c r="L88" s="3" t="s">
        <v>3623</v>
      </c>
      <c r="M88">
        <v>334.08</v>
      </c>
      <c r="N88">
        <v>31</v>
      </c>
      <c r="O88">
        <f>Supply_Chain[[#This Row],[Unit_Price]]*Supply_Chain[[#This Row],[Quantity]]</f>
        <v>10356.48</v>
      </c>
      <c r="P88" t="s">
        <v>412</v>
      </c>
      <c r="Q88" t="s">
        <v>48</v>
      </c>
      <c r="R88" t="s">
        <v>176</v>
      </c>
      <c r="S88" t="s">
        <v>50</v>
      </c>
      <c r="T88" t="s">
        <v>60</v>
      </c>
      <c r="U88" t="s">
        <v>101</v>
      </c>
      <c r="V88">
        <v>285</v>
      </c>
      <c r="W88">
        <v>358</v>
      </c>
      <c r="X88">
        <v>22</v>
      </c>
      <c r="Y88">
        <v>75.290000000000006</v>
      </c>
      <c r="Z88">
        <v>59.79</v>
      </c>
      <c r="AA88" s="9">
        <v>135.08000000000001</v>
      </c>
      <c r="AB88" t="s">
        <v>52</v>
      </c>
      <c r="AC88">
        <v>0</v>
      </c>
      <c r="AD88">
        <v>78.28</v>
      </c>
      <c r="AE88">
        <v>106</v>
      </c>
      <c r="AF88">
        <v>91</v>
      </c>
      <c r="AG88" s="11">
        <f>Supply_Chain[[#This Row],[Total_Cost]]/Supply_Chain[[#This Row],[Stock_On_Hand]]</f>
        <v>0.47396491228070181</v>
      </c>
    </row>
    <row r="89" spans="1:33" x14ac:dyDescent="0.25">
      <c r="A89" t="s">
        <v>413</v>
      </c>
      <c r="B89" t="s">
        <v>414</v>
      </c>
      <c r="C89" s="1">
        <v>45557</v>
      </c>
      <c r="D89" s="1">
        <v>44473</v>
      </c>
      <c r="E89" t="s">
        <v>55</v>
      </c>
      <c r="F89" t="s">
        <v>31</v>
      </c>
      <c r="G89" t="s">
        <v>76</v>
      </c>
      <c r="H89" t="s">
        <v>46</v>
      </c>
      <c r="I89" s="3" t="s">
        <v>2825</v>
      </c>
      <c r="J89" s="3" t="s">
        <v>3519</v>
      </c>
      <c r="K89" s="3" t="s">
        <v>3528</v>
      </c>
      <c r="L89" s="3" t="s">
        <v>3624</v>
      </c>
      <c r="M89">
        <v>138.94</v>
      </c>
      <c r="N89">
        <v>63</v>
      </c>
      <c r="O89">
        <f>Supply_Chain[[#This Row],[Unit_Price]]*Supply_Chain[[#This Row],[Quantity]]</f>
        <v>8753.2199999999993</v>
      </c>
      <c r="P89" t="s">
        <v>415</v>
      </c>
      <c r="Q89" t="s">
        <v>48</v>
      </c>
      <c r="R89" t="s">
        <v>240</v>
      </c>
      <c r="S89" t="s">
        <v>70</v>
      </c>
      <c r="T89" t="s">
        <v>60</v>
      </c>
      <c r="U89" t="s">
        <v>72</v>
      </c>
      <c r="V89">
        <v>2031</v>
      </c>
      <c r="W89">
        <v>394</v>
      </c>
      <c r="X89">
        <v>10</v>
      </c>
      <c r="Y89">
        <v>307.20999999999998</v>
      </c>
      <c r="Z89">
        <v>404.94</v>
      </c>
      <c r="AA89" s="9">
        <v>712.15</v>
      </c>
      <c r="AB89" t="s">
        <v>40</v>
      </c>
      <c r="AC89">
        <v>6</v>
      </c>
      <c r="AD89">
        <v>93.45</v>
      </c>
      <c r="AE89">
        <v>269</v>
      </c>
      <c r="AF89">
        <v>276</v>
      </c>
      <c r="AG89" s="11">
        <f>Supply_Chain[[#This Row],[Total_Cost]]/Supply_Chain[[#This Row],[Stock_On_Hand]]</f>
        <v>0.35064007877892661</v>
      </c>
    </row>
    <row r="90" spans="1:33" x14ac:dyDescent="0.25">
      <c r="A90" t="s">
        <v>416</v>
      </c>
      <c r="B90" t="s">
        <v>417</v>
      </c>
      <c r="C90" s="1">
        <v>44237</v>
      </c>
      <c r="D90" s="1">
        <v>44722</v>
      </c>
      <c r="E90" t="s">
        <v>55</v>
      </c>
      <c r="F90" t="s">
        <v>115</v>
      </c>
      <c r="G90" t="s">
        <v>45</v>
      </c>
      <c r="H90" t="s">
        <v>116</v>
      </c>
      <c r="I90" s="3" t="s">
        <v>2826</v>
      </c>
      <c r="J90" s="3" t="s">
        <v>3518</v>
      </c>
      <c r="K90" s="3" t="s">
        <v>3522</v>
      </c>
      <c r="L90" s="3" t="s">
        <v>3625</v>
      </c>
      <c r="M90">
        <v>193.87</v>
      </c>
      <c r="N90">
        <v>60</v>
      </c>
      <c r="O90">
        <f>Supply_Chain[[#This Row],[Unit_Price]]*Supply_Chain[[#This Row],[Quantity]]</f>
        <v>11632.2</v>
      </c>
      <c r="P90" t="s">
        <v>418</v>
      </c>
      <c r="Q90" t="s">
        <v>35</v>
      </c>
      <c r="R90" t="s">
        <v>419</v>
      </c>
      <c r="S90" t="s">
        <v>70</v>
      </c>
      <c r="T90" t="s">
        <v>38</v>
      </c>
      <c r="U90" t="s">
        <v>219</v>
      </c>
      <c r="V90">
        <v>314</v>
      </c>
      <c r="W90">
        <v>197</v>
      </c>
      <c r="X90">
        <v>19</v>
      </c>
      <c r="Y90">
        <v>562.65</v>
      </c>
      <c r="Z90">
        <v>216.69</v>
      </c>
      <c r="AA90" s="9">
        <v>779.33999999999992</v>
      </c>
      <c r="AB90" t="s">
        <v>52</v>
      </c>
      <c r="AC90">
        <v>0</v>
      </c>
      <c r="AD90">
        <v>98.85</v>
      </c>
      <c r="AE90">
        <v>422</v>
      </c>
      <c r="AF90">
        <v>435</v>
      </c>
      <c r="AG90" s="11">
        <f>Supply_Chain[[#This Row],[Total_Cost]]/Supply_Chain[[#This Row],[Stock_On_Hand]]</f>
        <v>2.4819745222929934</v>
      </c>
    </row>
    <row r="91" spans="1:33" x14ac:dyDescent="0.25">
      <c r="A91" t="s">
        <v>420</v>
      </c>
      <c r="B91" t="s">
        <v>421</v>
      </c>
      <c r="C91" s="1">
        <v>45169</v>
      </c>
      <c r="D91" s="1">
        <v>44084</v>
      </c>
      <c r="E91" t="s">
        <v>55</v>
      </c>
      <c r="F91" t="s">
        <v>75</v>
      </c>
      <c r="G91" t="s">
        <v>247</v>
      </c>
      <c r="H91" t="s">
        <v>116</v>
      </c>
      <c r="I91" s="3" t="s">
        <v>2827</v>
      </c>
      <c r="J91" s="3" t="s">
        <v>3518</v>
      </c>
      <c r="K91" s="3" t="s">
        <v>3522</v>
      </c>
      <c r="L91" s="3" t="s">
        <v>3626</v>
      </c>
      <c r="M91">
        <v>260.93</v>
      </c>
      <c r="N91">
        <v>54</v>
      </c>
      <c r="O91">
        <f>Supply_Chain[[#This Row],[Unit_Price]]*Supply_Chain[[#This Row],[Quantity]]</f>
        <v>14090.220000000001</v>
      </c>
      <c r="P91" t="s">
        <v>422</v>
      </c>
      <c r="Q91" t="s">
        <v>110</v>
      </c>
      <c r="R91" t="s">
        <v>214</v>
      </c>
      <c r="S91" t="s">
        <v>50</v>
      </c>
      <c r="T91" t="s">
        <v>38</v>
      </c>
      <c r="U91" t="s">
        <v>302</v>
      </c>
      <c r="V91">
        <v>1922</v>
      </c>
      <c r="W91">
        <v>247</v>
      </c>
      <c r="X91">
        <v>18</v>
      </c>
      <c r="Y91">
        <v>250.84</v>
      </c>
      <c r="Z91">
        <v>235.61</v>
      </c>
      <c r="AA91" s="9">
        <v>486.45</v>
      </c>
      <c r="AB91" t="s">
        <v>40</v>
      </c>
      <c r="AC91">
        <v>4</v>
      </c>
      <c r="AD91">
        <v>85.03</v>
      </c>
      <c r="AE91">
        <v>199</v>
      </c>
      <c r="AF91">
        <v>247</v>
      </c>
      <c r="AG91" s="11">
        <f>Supply_Chain[[#This Row],[Total_Cost]]/Supply_Chain[[#This Row],[Stock_On_Hand]]</f>
        <v>0.25309573361082205</v>
      </c>
    </row>
    <row r="92" spans="1:33" x14ac:dyDescent="0.25">
      <c r="A92" t="s">
        <v>423</v>
      </c>
      <c r="B92" t="s">
        <v>424</v>
      </c>
      <c r="C92" s="1">
        <v>45217</v>
      </c>
      <c r="D92" s="1">
        <v>45594</v>
      </c>
      <c r="E92" t="s">
        <v>55</v>
      </c>
      <c r="F92" t="s">
        <v>31</v>
      </c>
      <c r="G92" t="s">
        <v>65</v>
      </c>
      <c r="H92" t="s">
        <v>33</v>
      </c>
      <c r="I92" s="3" t="s">
        <v>2779</v>
      </c>
      <c r="J92" s="3" t="s">
        <v>3518</v>
      </c>
      <c r="K92" s="3" t="s">
        <v>3522</v>
      </c>
      <c r="L92" s="3" t="s">
        <v>3579</v>
      </c>
      <c r="M92">
        <v>131.12</v>
      </c>
      <c r="N92">
        <v>19</v>
      </c>
      <c r="O92">
        <f>Supply_Chain[[#This Row],[Unit_Price]]*Supply_Chain[[#This Row],[Quantity]]</f>
        <v>2491.2800000000002</v>
      </c>
      <c r="P92" t="s">
        <v>425</v>
      </c>
      <c r="Q92" t="s">
        <v>110</v>
      </c>
      <c r="R92" t="s">
        <v>236</v>
      </c>
      <c r="S92" t="s">
        <v>37</v>
      </c>
      <c r="T92" t="s">
        <v>38</v>
      </c>
      <c r="U92" t="s">
        <v>141</v>
      </c>
      <c r="V92">
        <v>981</v>
      </c>
      <c r="W92">
        <v>383</v>
      </c>
      <c r="X92">
        <v>19</v>
      </c>
      <c r="Y92">
        <v>499.6</v>
      </c>
      <c r="Z92">
        <v>298.77</v>
      </c>
      <c r="AA92" s="9">
        <v>798.37</v>
      </c>
      <c r="AB92" t="s">
        <v>52</v>
      </c>
      <c r="AC92">
        <v>0</v>
      </c>
      <c r="AD92">
        <v>93.08</v>
      </c>
      <c r="AE92">
        <v>290</v>
      </c>
      <c r="AF92">
        <v>292</v>
      </c>
      <c r="AG92" s="11">
        <f>Supply_Chain[[#This Row],[Total_Cost]]/Supply_Chain[[#This Row],[Stock_On_Hand]]</f>
        <v>0.8138328236493374</v>
      </c>
    </row>
    <row r="93" spans="1:33" x14ac:dyDescent="0.25">
      <c r="A93" t="s">
        <v>426</v>
      </c>
      <c r="B93" t="s">
        <v>427</v>
      </c>
      <c r="C93" s="1">
        <v>44781</v>
      </c>
      <c r="D93" s="1">
        <v>44998</v>
      </c>
      <c r="E93" t="s">
        <v>55</v>
      </c>
      <c r="F93" t="s">
        <v>75</v>
      </c>
      <c r="G93" t="s">
        <v>56</v>
      </c>
      <c r="H93" t="s">
        <v>116</v>
      </c>
      <c r="I93" s="3" t="s">
        <v>2828</v>
      </c>
      <c r="J93" s="3" t="s">
        <v>3518</v>
      </c>
      <c r="K93" s="3" t="s">
        <v>3522</v>
      </c>
      <c r="L93" s="3" t="s">
        <v>3627</v>
      </c>
      <c r="M93">
        <v>344.87</v>
      </c>
      <c r="N93">
        <v>64</v>
      </c>
      <c r="O93">
        <f>Supply_Chain[[#This Row],[Unit_Price]]*Supply_Chain[[#This Row],[Quantity]]</f>
        <v>22071.68</v>
      </c>
      <c r="P93" t="s">
        <v>428</v>
      </c>
      <c r="Q93" t="s">
        <v>110</v>
      </c>
      <c r="R93" t="s">
        <v>231</v>
      </c>
      <c r="S93" t="s">
        <v>70</v>
      </c>
      <c r="T93" t="s">
        <v>79</v>
      </c>
      <c r="U93" t="s">
        <v>429</v>
      </c>
      <c r="V93">
        <v>573</v>
      </c>
      <c r="W93">
        <v>266</v>
      </c>
      <c r="X93">
        <v>22</v>
      </c>
      <c r="Y93">
        <v>911.46</v>
      </c>
      <c r="Z93">
        <v>432.92</v>
      </c>
      <c r="AA93" s="9">
        <v>1344.38</v>
      </c>
      <c r="AB93" t="s">
        <v>52</v>
      </c>
      <c r="AC93">
        <v>0</v>
      </c>
      <c r="AD93">
        <v>71.239999999999995</v>
      </c>
      <c r="AE93">
        <v>182</v>
      </c>
      <c r="AF93">
        <v>139</v>
      </c>
      <c r="AG93" s="11">
        <f>Supply_Chain[[#This Row],[Total_Cost]]/Supply_Chain[[#This Row],[Stock_On_Hand]]</f>
        <v>2.3462129144851658</v>
      </c>
    </row>
    <row r="94" spans="1:33" x14ac:dyDescent="0.25">
      <c r="A94" t="s">
        <v>430</v>
      </c>
      <c r="B94" t="s">
        <v>431</v>
      </c>
      <c r="C94" s="1">
        <v>43835</v>
      </c>
      <c r="D94" s="1">
        <v>45421</v>
      </c>
      <c r="E94" t="s">
        <v>55</v>
      </c>
      <c r="F94" t="s">
        <v>44</v>
      </c>
      <c r="G94" t="s">
        <v>65</v>
      </c>
      <c r="H94" t="s">
        <v>33</v>
      </c>
      <c r="I94" s="3" t="s">
        <v>2829</v>
      </c>
      <c r="J94" s="3" t="s">
        <v>3518</v>
      </c>
      <c r="K94" s="3" t="s">
        <v>3521</v>
      </c>
      <c r="L94" s="3" t="s">
        <v>3628</v>
      </c>
      <c r="M94">
        <v>480.26</v>
      </c>
      <c r="N94">
        <v>49</v>
      </c>
      <c r="O94">
        <f>Supply_Chain[[#This Row],[Unit_Price]]*Supply_Chain[[#This Row],[Quantity]]</f>
        <v>23532.739999999998</v>
      </c>
      <c r="P94" t="s">
        <v>432</v>
      </c>
      <c r="Q94" t="s">
        <v>86</v>
      </c>
      <c r="R94" t="s">
        <v>306</v>
      </c>
      <c r="S94" t="s">
        <v>50</v>
      </c>
      <c r="T94" t="s">
        <v>71</v>
      </c>
      <c r="U94" t="s">
        <v>223</v>
      </c>
      <c r="V94">
        <v>19</v>
      </c>
      <c r="W94">
        <v>294</v>
      </c>
      <c r="X94">
        <v>13</v>
      </c>
      <c r="Y94">
        <v>1232.99</v>
      </c>
      <c r="Z94">
        <v>204.09</v>
      </c>
      <c r="AA94" s="9">
        <v>1437.08</v>
      </c>
      <c r="AB94" t="s">
        <v>52</v>
      </c>
      <c r="AC94">
        <v>0</v>
      </c>
      <c r="AD94">
        <v>79.959999999999994</v>
      </c>
      <c r="AE94">
        <v>159</v>
      </c>
      <c r="AF94">
        <v>201</v>
      </c>
      <c r="AG94" s="11">
        <f>Supply_Chain[[#This Row],[Total_Cost]]/Supply_Chain[[#This Row],[Stock_On_Hand]]</f>
        <v>75.635789473684213</v>
      </c>
    </row>
    <row r="95" spans="1:33" x14ac:dyDescent="0.25">
      <c r="A95" t="s">
        <v>433</v>
      </c>
      <c r="B95" t="s">
        <v>434</v>
      </c>
      <c r="C95" s="1">
        <v>44735</v>
      </c>
      <c r="D95" s="1">
        <v>44728</v>
      </c>
      <c r="E95" t="s">
        <v>55</v>
      </c>
      <c r="F95" t="s">
        <v>44</v>
      </c>
      <c r="G95" t="s">
        <v>76</v>
      </c>
      <c r="H95" t="s">
        <v>166</v>
      </c>
      <c r="I95" s="3" t="s">
        <v>2830</v>
      </c>
      <c r="J95" s="3" t="s">
        <v>3518</v>
      </c>
      <c r="K95" s="3" t="s">
        <v>3522</v>
      </c>
      <c r="L95" s="3" t="s">
        <v>3629</v>
      </c>
      <c r="M95">
        <v>396.85</v>
      </c>
      <c r="N95">
        <v>11</v>
      </c>
      <c r="O95">
        <f>Supply_Chain[[#This Row],[Unit_Price]]*Supply_Chain[[#This Row],[Quantity]]</f>
        <v>4365.3500000000004</v>
      </c>
      <c r="P95" t="s">
        <v>435</v>
      </c>
      <c r="Q95" t="s">
        <v>48</v>
      </c>
      <c r="R95" t="s">
        <v>59</v>
      </c>
      <c r="S95" t="s">
        <v>50</v>
      </c>
      <c r="T95" t="s">
        <v>79</v>
      </c>
      <c r="U95" t="s">
        <v>436</v>
      </c>
      <c r="V95">
        <v>4611</v>
      </c>
      <c r="W95">
        <v>314</v>
      </c>
      <c r="X95">
        <v>9</v>
      </c>
      <c r="Y95">
        <v>447.65</v>
      </c>
      <c r="Z95">
        <v>407.79</v>
      </c>
      <c r="AA95" s="9">
        <v>855.44</v>
      </c>
      <c r="AB95" t="s">
        <v>52</v>
      </c>
      <c r="AC95">
        <v>0</v>
      </c>
      <c r="AD95">
        <v>78.97</v>
      </c>
      <c r="AE95">
        <v>326</v>
      </c>
      <c r="AF95">
        <v>359</v>
      </c>
      <c r="AG95" s="11">
        <f>Supply_Chain[[#This Row],[Total_Cost]]/Supply_Chain[[#This Row],[Stock_On_Hand]]</f>
        <v>0.1855215788332249</v>
      </c>
    </row>
    <row r="96" spans="1:33" x14ac:dyDescent="0.25">
      <c r="A96" t="s">
        <v>437</v>
      </c>
      <c r="B96" t="s">
        <v>438</v>
      </c>
      <c r="C96" s="1">
        <v>43982</v>
      </c>
      <c r="D96" s="1">
        <v>44594</v>
      </c>
      <c r="E96" t="s">
        <v>55</v>
      </c>
      <c r="F96" t="s">
        <v>31</v>
      </c>
      <c r="G96" t="s">
        <v>45</v>
      </c>
      <c r="H96" t="s">
        <v>66</v>
      </c>
      <c r="I96" s="3" t="s">
        <v>2831</v>
      </c>
      <c r="J96" s="3" t="s">
        <v>3518</v>
      </c>
      <c r="K96" s="3" t="s">
        <v>3523</v>
      </c>
      <c r="L96" s="3" t="s">
        <v>3630</v>
      </c>
      <c r="M96">
        <v>202.73</v>
      </c>
      <c r="N96">
        <v>60</v>
      </c>
      <c r="O96">
        <f>Supply_Chain[[#This Row],[Unit_Price]]*Supply_Chain[[#This Row],[Quantity]]</f>
        <v>12163.8</v>
      </c>
      <c r="P96" t="s">
        <v>439</v>
      </c>
      <c r="Q96" t="s">
        <v>86</v>
      </c>
      <c r="R96" t="s">
        <v>176</v>
      </c>
      <c r="S96" t="s">
        <v>37</v>
      </c>
      <c r="T96" t="s">
        <v>38</v>
      </c>
      <c r="U96" t="s">
        <v>440</v>
      </c>
      <c r="V96">
        <v>3869</v>
      </c>
      <c r="W96">
        <v>326</v>
      </c>
      <c r="X96">
        <v>16</v>
      </c>
      <c r="Y96">
        <v>136.93</v>
      </c>
      <c r="Z96">
        <v>71.87</v>
      </c>
      <c r="AA96" s="9">
        <v>208.8</v>
      </c>
      <c r="AB96" t="s">
        <v>52</v>
      </c>
      <c r="AC96">
        <v>0</v>
      </c>
      <c r="AD96">
        <v>84.22</v>
      </c>
      <c r="AE96">
        <v>134</v>
      </c>
      <c r="AF96">
        <v>150</v>
      </c>
      <c r="AG96" s="11">
        <f>Supply_Chain[[#This Row],[Total_Cost]]/Supply_Chain[[#This Row],[Stock_On_Hand]]</f>
        <v>5.3967433445334716E-2</v>
      </c>
    </row>
    <row r="97" spans="1:33" x14ac:dyDescent="0.25">
      <c r="A97" t="s">
        <v>441</v>
      </c>
      <c r="B97" t="s">
        <v>442</v>
      </c>
      <c r="C97" s="1">
        <v>43995</v>
      </c>
      <c r="D97" s="1">
        <v>44397</v>
      </c>
      <c r="E97" t="s">
        <v>55</v>
      </c>
      <c r="F97" t="s">
        <v>44</v>
      </c>
      <c r="G97" t="s">
        <v>83</v>
      </c>
      <c r="H97" t="s">
        <v>46</v>
      </c>
      <c r="I97" s="3" t="s">
        <v>2832</v>
      </c>
      <c r="J97" s="3" t="s">
        <v>3519</v>
      </c>
      <c r="K97" s="3" t="s">
        <v>3528</v>
      </c>
      <c r="L97" s="3" t="s">
        <v>3631</v>
      </c>
      <c r="M97">
        <v>299.20999999999998</v>
      </c>
      <c r="N97">
        <v>6</v>
      </c>
      <c r="O97">
        <f>Supply_Chain[[#This Row],[Unit_Price]]*Supply_Chain[[#This Row],[Quantity]]</f>
        <v>1795.2599999999998</v>
      </c>
      <c r="P97" t="s">
        <v>443</v>
      </c>
      <c r="Q97" t="s">
        <v>86</v>
      </c>
      <c r="R97" t="s">
        <v>388</v>
      </c>
      <c r="S97" t="s">
        <v>70</v>
      </c>
      <c r="T97" t="s">
        <v>100</v>
      </c>
      <c r="U97" t="s">
        <v>370</v>
      </c>
      <c r="V97">
        <v>1359</v>
      </c>
      <c r="W97">
        <v>492</v>
      </c>
      <c r="X97">
        <v>19</v>
      </c>
      <c r="Y97">
        <v>990.92</v>
      </c>
      <c r="Z97">
        <v>227.18</v>
      </c>
      <c r="AA97" s="9">
        <v>1218.0999999999999</v>
      </c>
      <c r="AB97" t="s">
        <v>52</v>
      </c>
      <c r="AC97">
        <v>0</v>
      </c>
      <c r="AD97">
        <v>95.45</v>
      </c>
      <c r="AE97">
        <v>383</v>
      </c>
      <c r="AF97">
        <v>368</v>
      </c>
      <c r="AG97" s="11">
        <f>Supply_Chain[[#This Row],[Total_Cost]]/Supply_Chain[[#This Row],[Stock_On_Hand]]</f>
        <v>0.8963208241353936</v>
      </c>
    </row>
    <row r="98" spans="1:33" x14ac:dyDescent="0.25">
      <c r="A98" t="s">
        <v>444</v>
      </c>
      <c r="B98" t="s">
        <v>445</v>
      </c>
      <c r="C98" s="1">
        <v>45004</v>
      </c>
      <c r="D98" s="1">
        <v>44016</v>
      </c>
      <c r="E98" t="s">
        <v>55</v>
      </c>
      <c r="F98" t="s">
        <v>64</v>
      </c>
      <c r="G98" t="s">
        <v>56</v>
      </c>
      <c r="H98" t="s">
        <v>92</v>
      </c>
      <c r="I98" s="3" t="s">
        <v>2833</v>
      </c>
      <c r="J98" s="3" t="s">
        <v>3519</v>
      </c>
      <c r="K98" s="3" t="s">
        <v>3528</v>
      </c>
      <c r="L98" s="3" t="s">
        <v>3632</v>
      </c>
      <c r="M98">
        <v>384.51</v>
      </c>
      <c r="N98">
        <v>4</v>
      </c>
      <c r="O98">
        <f>Supply_Chain[[#This Row],[Unit_Price]]*Supply_Chain[[#This Row],[Quantity]]</f>
        <v>1538.04</v>
      </c>
      <c r="P98" t="s">
        <v>134</v>
      </c>
      <c r="Q98" t="s">
        <v>48</v>
      </c>
      <c r="R98" t="s">
        <v>369</v>
      </c>
      <c r="S98" t="s">
        <v>50</v>
      </c>
      <c r="T98" t="s">
        <v>38</v>
      </c>
      <c r="U98" t="s">
        <v>446</v>
      </c>
      <c r="V98">
        <v>3902</v>
      </c>
      <c r="W98">
        <v>428</v>
      </c>
      <c r="X98">
        <v>12</v>
      </c>
      <c r="Y98">
        <v>1950.62</v>
      </c>
      <c r="Z98">
        <v>262.37</v>
      </c>
      <c r="AA98" s="9">
        <v>2212.9899999999998</v>
      </c>
      <c r="AB98" t="s">
        <v>40</v>
      </c>
      <c r="AC98">
        <v>5</v>
      </c>
      <c r="AD98">
        <v>86.75</v>
      </c>
      <c r="AE98">
        <v>241</v>
      </c>
      <c r="AF98">
        <v>281</v>
      </c>
      <c r="AG98" s="11">
        <f>Supply_Chain[[#This Row],[Total_Cost]]/Supply_Chain[[#This Row],[Stock_On_Hand]]</f>
        <v>0.56714249103024084</v>
      </c>
    </row>
    <row r="99" spans="1:33" x14ac:dyDescent="0.25">
      <c r="A99" t="s">
        <v>447</v>
      </c>
      <c r="B99" t="s">
        <v>448</v>
      </c>
      <c r="C99" s="1">
        <v>44279</v>
      </c>
      <c r="D99" s="1">
        <v>45011</v>
      </c>
      <c r="E99" t="s">
        <v>55</v>
      </c>
      <c r="F99" t="s">
        <v>64</v>
      </c>
      <c r="G99" t="s">
        <v>91</v>
      </c>
      <c r="H99" t="s">
        <v>128</v>
      </c>
      <c r="I99" s="3" t="s">
        <v>2834</v>
      </c>
      <c r="J99" s="3" t="s">
        <v>3518</v>
      </c>
      <c r="K99" s="3" t="s">
        <v>3524</v>
      </c>
      <c r="L99" s="3" t="s">
        <v>3633</v>
      </c>
      <c r="M99">
        <v>257.55</v>
      </c>
      <c r="N99">
        <v>98</v>
      </c>
      <c r="O99">
        <f>Supply_Chain[[#This Row],[Unit_Price]]*Supply_Chain[[#This Row],[Quantity]]</f>
        <v>25239.9</v>
      </c>
      <c r="P99" t="s">
        <v>449</v>
      </c>
      <c r="Q99" t="s">
        <v>68</v>
      </c>
      <c r="R99" t="s">
        <v>264</v>
      </c>
      <c r="S99" t="s">
        <v>119</v>
      </c>
      <c r="T99" t="s">
        <v>79</v>
      </c>
      <c r="U99" t="s">
        <v>95</v>
      </c>
      <c r="V99">
        <v>1335</v>
      </c>
      <c r="W99">
        <v>465</v>
      </c>
      <c r="X99">
        <v>17</v>
      </c>
      <c r="Y99">
        <v>1186.31</v>
      </c>
      <c r="Z99">
        <v>225.66</v>
      </c>
      <c r="AA99" s="9">
        <v>1411.97</v>
      </c>
      <c r="AB99" t="s">
        <v>52</v>
      </c>
      <c r="AC99">
        <v>0</v>
      </c>
      <c r="AD99">
        <v>72.88</v>
      </c>
      <c r="AE99">
        <v>53</v>
      </c>
      <c r="AF99">
        <v>45</v>
      </c>
      <c r="AG99" s="11">
        <f>Supply_Chain[[#This Row],[Total_Cost]]/Supply_Chain[[#This Row],[Stock_On_Hand]]</f>
        <v>1.0576554307116106</v>
      </c>
    </row>
    <row r="100" spans="1:33" x14ac:dyDescent="0.25">
      <c r="A100" t="s">
        <v>450</v>
      </c>
      <c r="B100" t="s">
        <v>451</v>
      </c>
      <c r="C100" s="1">
        <v>44070</v>
      </c>
      <c r="D100" s="1">
        <v>45566</v>
      </c>
      <c r="E100" t="s">
        <v>55</v>
      </c>
      <c r="F100" t="s">
        <v>64</v>
      </c>
      <c r="G100" t="s">
        <v>32</v>
      </c>
      <c r="H100" t="s">
        <v>57</v>
      </c>
      <c r="I100" s="3" t="s">
        <v>2835</v>
      </c>
      <c r="J100" s="3" t="s">
        <v>3519</v>
      </c>
      <c r="K100" s="3" t="s">
        <v>3530</v>
      </c>
      <c r="L100" s="3" t="s">
        <v>3634</v>
      </c>
      <c r="M100">
        <v>343.74</v>
      </c>
      <c r="N100">
        <v>80</v>
      </c>
      <c r="O100">
        <f>Supply_Chain[[#This Row],[Unit_Price]]*Supply_Chain[[#This Row],[Quantity]]</f>
        <v>27499.200000000001</v>
      </c>
      <c r="P100" t="s">
        <v>452</v>
      </c>
      <c r="Q100" t="s">
        <v>48</v>
      </c>
      <c r="R100" t="s">
        <v>236</v>
      </c>
      <c r="S100" t="s">
        <v>50</v>
      </c>
      <c r="T100" t="s">
        <v>60</v>
      </c>
      <c r="U100" t="s">
        <v>302</v>
      </c>
      <c r="V100">
        <v>3407</v>
      </c>
      <c r="W100">
        <v>254</v>
      </c>
      <c r="X100">
        <v>11</v>
      </c>
      <c r="Y100">
        <v>1259.18</v>
      </c>
      <c r="Z100">
        <v>159.79</v>
      </c>
      <c r="AA100" s="9">
        <v>1418.97</v>
      </c>
      <c r="AB100" t="s">
        <v>52</v>
      </c>
      <c r="AC100">
        <v>0</v>
      </c>
      <c r="AD100">
        <v>83.31</v>
      </c>
      <c r="AE100">
        <v>127</v>
      </c>
      <c r="AF100">
        <v>137</v>
      </c>
      <c r="AG100" s="11">
        <f>Supply_Chain[[#This Row],[Total_Cost]]/Supply_Chain[[#This Row],[Stock_On_Hand]]</f>
        <v>0.41648664514235401</v>
      </c>
    </row>
    <row r="101" spans="1:33" x14ac:dyDescent="0.25">
      <c r="A101" t="s">
        <v>453</v>
      </c>
      <c r="B101" t="s">
        <v>454</v>
      </c>
      <c r="C101" s="1">
        <v>45281</v>
      </c>
      <c r="D101" s="1">
        <v>43927</v>
      </c>
      <c r="E101" t="s">
        <v>43</v>
      </c>
      <c r="F101" t="s">
        <v>64</v>
      </c>
      <c r="G101" t="s">
        <v>32</v>
      </c>
      <c r="H101" t="s">
        <v>33</v>
      </c>
      <c r="I101" s="3" t="s">
        <v>2836</v>
      </c>
      <c r="J101" s="3" t="s">
        <v>84</v>
      </c>
      <c r="K101" s="3" t="s">
        <v>3529</v>
      </c>
      <c r="L101" s="3" t="s">
        <v>3635</v>
      </c>
      <c r="M101">
        <v>49.63</v>
      </c>
      <c r="N101">
        <v>54</v>
      </c>
      <c r="O101">
        <f>Supply_Chain[[#This Row],[Unit_Price]]*Supply_Chain[[#This Row],[Quantity]]</f>
        <v>2680.02</v>
      </c>
      <c r="P101" t="s">
        <v>455</v>
      </c>
      <c r="Q101" t="s">
        <v>86</v>
      </c>
      <c r="R101" t="s">
        <v>269</v>
      </c>
      <c r="S101" t="s">
        <v>50</v>
      </c>
      <c r="T101" t="s">
        <v>38</v>
      </c>
      <c r="U101" t="s">
        <v>219</v>
      </c>
      <c r="V101">
        <v>4208</v>
      </c>
      <c r="W101">
        <v>227</v>
      </c>
      <c r="X101">
        <v>8</v>
      </c>
      <c r="Y101">
        <v>1611.64</v>
      </c>
      <c r="Z101">
        <v>298.77999999999997</v>
      </c>
      <c r="AA101" s="9">
        <v>1910.42</v>
      </c>
      <c r="AB101" t="s">
        <v>40</v>
      </c>
      <c r="AC101">
        <v>9</v>
      </c>
      <c r="AD101">
        <v>92.49</v>
      </c>
      <c r="AE101">
        <v>182</v>
      </c>
      <c r="AF101">
        <v>195</v>
      </c>
      <c r="AG101" s="11">
        <f>Supply_Chain[[#This Row],[Total_Cost]]/Supply_Chain[[#This Row],[Stock_On_Hand]]</f>
        <v>0.45399714828897342</v>
      </c>
    </row>
    <row r="102" spans="1:33" x14ac:dyDescent="0.25">
      <c r="A102" t="s">
        <v>456</v>
      </c>
      <c r="B102" t="s">
        <v>457</v>
      </c>
      <c r="C102" s="1">
        <v>44703</v>
      </c>
      <c r="D102" s="1">
        <v>45112</v>
      </c>
      <c r="E102" t="s">
        <v>43</v>
      </c>
      <c r="F102" t="s">
        <v>115</v>
      </c>
      <c r="G102" t="s">
        <v>76</v>
      </c>
      <c r="H102" t="s">
        <v>57</v>
      </c>
      <c r="I102" s="3" t="s">
        <v>2837</v>
      </c>
      <c r="J102" s="3" t="s">
        <v>84</v>
      </c>
      <c r="K102" s="3" t="s">
        <v>3526</v>
      </c>
      <c r="L102" s="3" t="s">
        <v>3636</v>
      </c>
      <c r="M102">
        <v>217.4</v>
      </c>
      <c r="N102">
        <v>52</v>
      </c>
      <c r="O102">
        <f>Supply_Chain[[#This Row],[Unit_Price]]*Supply_Chain[[#This Row],[Quantity]]</f>
        <v>11304.800000000001</v>
      </c>
      <c r="P102" t="s">
        <v>458</v>
      </c>
      <c r="Q102" t="s">
        <v>86</v>
      </c>
      <c r="R102" t="s">
        <v>176</v>
      </c>
      <c r="S102" t="s">
        <v>50</v>
      </c>
      <c r="T102" t="s">
        <v>79</v>
      </c>
      <c r="U102" t="s">
        <v>459</v>
      </c>
      <c r="V102">
        <v>3788</v>
      </c>
      <c r="W102">
        <v>271</v>
      </c>
      <c r="X102">
        <v>18</v>
      </c>
      <c r="Y102">
        <v>142.26</v>
      </c>
      <c r="Z102">
        <v>414.86</v>
      </c>
      <c r="AA102" s="9">
        <v>557.12</v>
      </c>
      <c r="AB102" t="s">
        <v>52</v>
      </c>
      <c r="AC102">
        <v>0</v>
      </c>
      <c r="AD102">
        <v>70.540000000000006</v>
      </c>
      <c r="AE102">
        <v>488</v>
      </c>
      <c r="AF102">
        <v>516</v>
      </c>
      <c r="AG102" s="11">
        <f>Supply_Chain[[#This Row],[Total_Cost]]/Supply_Chain[[#This Row],[Stock_On_Hand]]</f>
        <v>0.14707497360084476</v>
      </c>
    </row>
    <row r="103" spans="1:33" x14ac:dyDescent="0.25">
      <c r="A103" t="s">
        <v>460</v>
      </c>
      <c r="B103" t="s">
        <v>461</v>
      </c>
      <c r="C103" s="1">
        <v>43844</v>
      </c>
      <c r="D103" s="1">
        <v>44093</v>
      </c>
      <c r="E103" t="s">
        <v>43</v>
      </c>
      <c r="F103" t="s">
        <v>115</v>
      </c>
      <c r="G103" t="s">
        <v>76</v>
      </c>
      <c r="H103" t="s">
        <v>46</v>
      </c>
      <c r="I103" s="3" t="s">
        <v>2838</v>
      </c>
      <c r="J103" s="3" t="s">
        <v>84</v>
      </c>
      <c r="K103" s="3" t="s">
        <v>3529</v>
      </c>
      <c r="L103" s="3" t="s">
        <v>3637</v>
      </c>
      <c r="M103">
        <v>156.72999999999999</v>
      </c>
      <c r="N103">
        <v>9</v>
      </c>
      <c r="O103">
        <f>Supply_Chain[[#This Row],[Unit_Price]]*Supply_Chain[[#This Row],[Quantity]]</f>
        <v>1410.57</v>
      </c>
      <c r="P103" t="s">
        <v>462</v>
      </c>
      <c r="Q103" t="s">
        <v>68</v>
      </c>
      <c r="R103" t="s">
        <v>162</v>
      </c>
      <c r="S103" t="s">
        <v>119</v>
      </c>
      <c r="T103" t="s">
        <v>71</v>
      </c>
      <c r="U103" t="s">
        <v>232</v>
      </c>
      <c r="V103">
        <v>4586</v>
      </c>
      <c r="W103">
        <v>75</v>
      </c>
      <c r="X103">
        <v>15</v>
      </c>
      <c r="Y103">
        <v>1947.99</v>
      </c>
      <c r="Z103">
        <v>369.69</v>
      </c>
      <c r="AA103" s="9">
        <v>2317.6799999999998</v>
      </c>
      <c r="AB103" t="s">
        <v>52</v>
      </c>
      <c r="AC103">
        <v>0</v>
      </c>
      <c r="AD103">
        <v>86.63</v>
      </c>
      <c r="AE103">
        <v>433</v>
      </c>
      <c r="AF103">
        <v>422</v>
      </c>
      <c r="AG103" s="11">
        <f>Supply_Chain[[#This Row],[Total_Cost]]/Supply_Chain[[#This Row],[Stock_On_Hand]]</f>
        <v>0.50538159616223288</v>
      </c>
    </row>
    <row r="104" spans="1:33" x14ac:dyDescent="0.25">
      <c r="A104" t="s">
        <v>463</v>
      </c>
      <c r="B104" t="s">
        <v>464</v>
      </c>
      <c r="C104" s="1">
        <v>44641</v>
      </c>
      <c r="D104" s="1">
        <v>44413</v>
      </c>
      <c r="E104" t="s">
        <v>55</v>
      </c>
      <c r="F104" t="s">
        <v>115</v>
      </c>
      <c r="G104" t="s">
        <v>83</v>
      </c>
      <c r="H104" t="s">
        <v>128</v>
      </c>
      <c r="I104" s="3" t="s">
        <v>2839</v>
      </c>
      <c r="J104" s="3" t="s">
        <v>84</v>
      </c>
      <c r="K104" s="3" t="s">
        <v>3534</v>
      </c>
      <c r="L104" s="3" t="s">
        <v>3638</v>
      </c>
      <c r="M104">
        <v>209.52</v>
      </c>
      <c r="N104">
        <v>89</v>
      </c>
      <c r="O104">
        <f>Supply_Chain[[#This Row],[Unit_Price]]*Supply_Chain[[#This Row],[Quantity]]</f>
        <v>18647.280000000002</v>
      </c>
      <c r="P104" t="s">
        <v>465</v>
      </c>
      <c r="Q104" t="s">
        <v>48</v>
      </c>
      <c r="R104" t="s">
        <v>466</v>
      </c>
      <c r="S104" t="s">
        <v>50</v>
      </c>
      <c r="T104" t="s">
        <v>71</v>
      </c>
      <c r="U104" t="s">
        <v>196</v>
      </c>
      <c r="V104">
        <v>3490</v>
      </c>
      <c r="W104">
        <v>147</v>
      </c>
      <c r="X104">
        <v>21</v>
      </c>
      <c r="Y104">
        <v>279.87</v>
      </c>
      <c r="Z104">
        <v>299.02999999999997</v>
      </c>
      <c r="AA104" s="9">
        <v>578.9</v>
      </c>
      <c r="AB104" t="s">
        <v>52</v>
      </c>
      <c r="AC104">
        <v>0</v>
      </c>
      <c r="AD104">
        <v>71.27</v>
      </c>
      <c r="AE104">
        <v>497</v>
      </c>
      <c r="AF104">
        <v>517</v>
      </c>
      <c r="AG104" s="11">
        <f>Supply_Chain[[#This Row],[Total_Cost]]/Supply_Chain[[#This Row],[Stock_On_Hand]]</f>
        <v>0.16587392550143265</v>
      </c>
    </row>
    <row r="105" spans="1:33" x14ac:dyDescent="0.25">
      <c r="A105" t="s">
        <v>467</v>
      </c>
      <c r="B105" t="s">
        <v>468</v>
      </c>
      <c r="C105" s="1">
        <v>44510</v>
      </c>
      <c r="D105" s="1">
        <v>44134</v>
      </c>
      <c r="E105" t="s">
        <v>43</v>
      </c>
      <c r="F105" t="s">
        <v>75</v>
      </c>
      <c r="G105" t="s">
        <v>56</v>
      </c>
      <c r="H105" t="s">
        <v>116</v>
      </c>
      <c r="I105" s="3" t="s">
        <v>2840</v>
      </c>
      <c r="J105" s="3" t="s">
        <v>3518</v>
      </c>
      <c r="K105" s="3" t="s">
        <v>3522</v>
      </c>
      <c r="L105" s="3" t="s">
        <v>3639</v>
      </c>
      <c r="M105">
        <v>104.74</v>
      </c>
      <c r="N105">
        <v>35</v>
      </c>
      <c r="O105">
        <f>Supply_Chain[[#This Row],[Unit_Price]]*Supply_Chain[[#This Row],[Quantity]]</f>
        <v>3665.8999999999996</v>
      </c>
      <c r="P105" t="s">
        <v>469</v>
      </c>
      <c r="Q105" t="s">
        <v>110</v>
      </c>
      <c r="R105" t="s">
        <v>118</v>
      </c>
      <c r="S105" t="s">
        <v>37</v>
      </c>
      <c r="T105" t="s">
        <v>100</v>
      </c>
      <c r="U105" t="s">
        <v>257</v>
      </c>
      <c r="V105">
        <v>670</v>
      </c>
      <c r="W105">
        <v>115</v>
      </c>
      <c r="X105">
        <v>17</v>
      </c>
      <c r="Y105">
        <v>1865.24</v>
      </c>
      <c r="Z105">
        <v>376.87</v>
      </c>
      <c r="AA105" s="9">
        <v>2242.11</v>
      </c>
      <c r="AB105" t="s">
        <v>40</v>
      </c>
      <c r="AC105">
        <v>11</v>
      </c>
      <c r="AD105">
        <v>96.13</v>
      </c>
      <c r="AE105">
        <v>106</v>
      </c>
      <c r="AF105">
        <v>112</v>
      </c>
      <c r="AG105" s="11">
        <f>Supply_Chain[[#This Row],[Total_Cost]]/Supply_Chain[[#This Row],[Stock_On_Hand]]</f>
        <v>3.3464328358208957</v>
      </c>
    </row>
    <row r="106" spans="1:33" x14ac:dyDescent="0.25">
      <c r="A106" t="s">
        <v>470</v>
      </c>
      <c r="B106" t="s">
        <v>471</v>
      </c>
      <c r="C106" s="1">
        <v>44912</v>
      </c>
      <c r="D106" s="1">
        <v>44221</v>
      </c>
      <c r="E106" t="s">
        <v>43</v>
      </c>
      <c r="F106" t="s">
        <v>64</v>
      </c>
      <c r="G106" t="s">
        <v>56</v>
      </c>
      <c r="H106" t="s">
        <v>128</v>
      </c>
      <c r="I106" s="3" t="s">
        <v>2841</v>
      </c>
      <c r="J106" s="3" t="s">
        <v>3518</v>
      </c>
      <c r="K106" s="3" t="s">
        <v>3522</v>
      </c>
      <c r="L106" s="3" t="s">
        <v>3640</v>
      </c>
      <c r="M106">
        <v>390.23</v>
      </c>
      <c r="N106">
        <v>1</v>
      </c>
      <c r="O106">
        <f>Supply_Chain[[#This Row],[Unit_Price]]*Supply_Chain[[#This Row],[Quantity]]</f>
        <v>390.23</v>
      </c>
      <c r="P106" t="s">
        <v>472</v>
      </c>
      <c r="Q106" t="s">
        <v>68</v>
      </c>
      <c r="R106" t="s">
        <v>154</v>
      </c>
      <c r="S106" t="s">
        <v>119</v>
      </c>
      <c r="T106" t="s">
        <v>71</v>
      </c>
      <c r="U106" t="s">
        <v>257</v>
      </c>
      <c r="V106">
        <v>115</v>
      </c>
      <c r="W106">
        <v>255</v>
      </c>
      <c r="X106">
        <v>22</v>
      </c>
      <c r="Y106">
        <v>178.97</v>
      </c>
      <c r="Z106">
        <v>485.39</v>
      </c>
      <c r="AA106" s="9">
        <v>664.36</v>
      </c>
      <c r="AB106" t="s">
        <v>52</v>
      </c>
      <c r="AC106">
        <v>0</v>
      </c>
      <c r="AD106">
        <v>70.25</v>
      </c>
      <c r="AE106">
        <v>381</v>
      </c>
      <c r="AF106">
        <v>343</v>
      </c>
      <c r="AG106" s="11">
        <f>Supply_Chain[[#This Row],[Total_Cost]]/Supply_Chain[[#This Row],[Stock_On_Hand]]</f>
        <v>5.7770434782608699</v>
      </c>
    </row>
    <row r="107" spans="1:33" x14ac:dyDescent="0.25">
      <c r="A107" t="s">
        <v>473</v>
      </c>
      <c r="B107" t="s">
        <v>474</v>
      </c>
      <c r="C107" s="1">
        <v>44275</v>
      </c>
      <c r="D107" s="1">
        <v>44072</v>
      </c>
      <c r="E107" t="s">
        <v>43</v>
      </c>
      <c r="F107" t="s">
        <v>115</v>
      </c>
      <c r="G107" t="s">
        <v>76</v>
      </c>
      <c r="H107" t="s">
        <v>57</v>
      </c>
      <c r="I107" s="3" t="s">
        <v>2842</v>
      </c>
      <c r="J107" s="3" t="s">
        <v>3518</v>
      </c>
      <c r="K107" s="3" t="s">
        <v>3522</v>
      </c>
      <c r="L107" s="3" t="s">
        <v>3641</v>
      </c>
      <c r="M107">
        <v>344.38</v>
      </c>
      <c r="N107">
        <v>33</v>
      </c>
      <c r="O107">
        <f>Supply_Chain[[#This Row],[Unit_Price]]*Supply_Chain[[#This Row],[Quantity]]</f>
        <v>11364.539999999999</v>
      </c>
      <c r="P107" t="s">
        <v>475</v>
      </c>
      <c r="Q107" t="s">
        <v>35</v>
      </c>
      <c r="R107" t="s">
        <v>476</v>
      </c>
      <c r="S107" t="s">
        <v>70</v>
      </c>
      <c r="T107" t="s">
        <v>71</v>
      </c>
      <c r="U107" t="s">
        <v>241</v>
      </c>
      <c r="V107">
        <v>4476</v>
      </c>
      <c r="W107">
        <v>428</v>
      </c>
      <c r="X107">
        <v>25</v>
      </c>
      <c r="Y107">
        <v>223.51</v>
      </c>
      <c r="Z107">
        <v>23.44</v>
      </c>
      <c r="AA107" s="9">
        <v>246.95</v>
      </c>
      <c r="AB107" t="s">
        <v>52</v>
      </c>
      <c r="AC107">
        <v>0</v>
      </c>
      <c r="AD107">
        <v>91.77</v>
      </c>
      <c r="AE107">
        <v>369</v>
      </c>
      <c r="AF107">
        <v>386</v>
      </c>
      <c r="AG107" s="11">
        <f>Supply_Chain[[#This Row],[Total_Cost]]/Supply_Chain[[#This Row],[Stock_On_Hand]]</f>
        <v>5.5172028596961568E-2</v>
      </c>
    </row>
    <row r="108" spans="1:33" x14ac:dyDescent="0.25">
      <c r="A108" t="s">
        <v>477</v>
      </c>
      <c r="B108" t="s">
        <v>478</v>
      </c>
      <c r="C108" s="1">
        <v>45009</v>
      </c>
      <c r="D108" s="1">
        <v>44205</v>
      </c>
      <c r="E108" t="s">
        <v>55</v>
      </c>
      <c r="F108" t="s">
        <v>115</v>
      </c>
      <c r="G108" t="s">
        <v>45</v>
      </c>
      <c r="H108" t="s">
        <v>166</v>
      </c>
      <c r="I108" s="3" t="s">
        <v>2843</v>
      </c>
      <c r="J108" s="3" t="s">
        <v>3518</v>
      </c>
      <c r="K108" s="3" t="s">
        <v>3523</v>
      </c>
      <c r="L108" s="3" t="s">
        <v>3642</v>
      </c>
      <c r="M108">
        <v>386.66</v>
      </c>
      <c r="N108">
        <v>15</v>
      </c>
      <c r="O108">
        <f>Supply_Chain[[#This Row],[Unit_Price]]*Supply_Chain[[#This Row],[Quantity]]</f>
        <v>5799.9000000000005</v>
      </c>
      <c r="P108" t="s">
        <v>479</v>
      </c>
      <c r="Q108" t="s">
        <v>110</v>
      </c>
      <c r="R108" t="s">
        <v>480</v>
      </c>
      <c r="S108" t="s">
        <v>50</v>
      </c>
      <c r="T108" t="s">
        <v>100</v>
      </c>
      <c r="U108" t="s">
        <v>265</v>
      </c>
      <c r="V108">
        <v>247</v>
      </c>
      <c r="W108">
        <v>109</v>
      </c>
      <c r="X108">
        <v>27</v>
      </c>
      <c r="Y108">
        <v>1838.77</v>
      </c>
      <c r="Z108">
        <v>322.49</v>
      </c>
      <c r="AA108" s="9">
        <v>2161.2600000000002</v>
      </c>
      <c r="AB108" t="s">
        <v>52</v>
      </c>
      <c r="AC108">
        <v>0</v>
      </c>
      <c r="AD108">
        <v>97.31</v>
      </c>
      <c r="AE108">
        <v>67</v>
      </c>
      <c r="AF108">
        <v>62</v>
      </c>
      <c r="AG108" s="11">
        <f>Supply_Chain[[#This Row],[Total_Cost]]/Supply_Chain[[#This Row],[Stock_On_Hand]]</f>
        <v>8.7500404858299596</v>
      </c>
    </row>
    <row r="109" spans="1:33" x14ac:dyDescent="0.25">
      <c r="A109" t="s">
        <v>481</v>
      </c>
      <c r="B109" t="s">
        <v>482</v>
      </c>
      <c r="C109" s="1">
        <v>44643</v>
      </c>
      <c r="D109" s="1">
        <v>44101</v>
      </c>
      <c r="E109" t="s">
        <v>55</v>
      </c>
      <c r="F109" t="s">
        <v>44</v>
      </c>
      <c r="G109" t="s">
        <v>32</v>
      </c>
      <c r="H109" t="s">
        <v>92</v>
      </c>
      <c r="I109" s="3" t="s">
        <v>2844</v>
      </c>
      <c r="J109" s="3" t="s">
        <v>3518</v>
      </c>
      <c r="K109" s="3" t="s">
        <v>3524</v>
      </c>
      <c r="L109" s="3" t="s">
        <v>3643</v>
      </c>
      <c r="M109">
        <v>368.24</v>
      </c>
      <c r="N109">
        <v>71</v>
      </c>
      <c r="O109">
        <f>Supply_Chain[[#This Row],[Unit_Price]]*Supply_Chain[[#This Row],[Quantity]]</f>
        <v>26145.040000000001</v>
      </c>
      <c r="P109" t="s">
        <v>483</v>
      </c>
      <c r="Q109" t="s">
        <v>68</v>
      </c>
      <c r="R109" t="s">
        <v>327</v>
      </c>
      <c r="S109" t="s">
        <v>119</v>
      </c>
      <c r="T109" t="s">
        <v>79</v>
      </c>
      <c r="U109" t="s">
        <v>331</v>
      </c>
      <c r="V109">
        <v>4821</v>
      </c>
      <c r="W109">
        <v>406</v>
      </c>
      <c r="X109">
        <v>12</v>
      </c>
      <c r="Y109">
        <v>638.46</v>
      </c>
      <c r="Z109">
        <v>439.14</v>
      </c>
      <c r="AA109" s="9">
        <v>1077.5999999999999</v>
      </c>
      <c r="AB109" t="s">
        <v>52</v>
      </c>
      <c r="AC109">
        <v>0</v>
      </c>
      <c r="AD109">
        <v>90.38</v>
      </c>
      <c r="AE109">
        <v>67</v>
      </c>
      <c r="AF109">
        <v>80</v>
      </c>
      <c r="AG109" s="11">
        <f>Supply_Chain[[#This Row],[Total_Cost]]/Supply_Chain[[#This Row],[Stock_On_Hand]]</f>
        <v>0.2235220908525202</v>
      </c>
    </row>
    <row r="110" spans="1:33" x14ac:dyDescent="0.25">
      <c r="A110" t="s">
        <v>484</v>
      </c>
      <c r="B110" t="s">
        <v>485</v>
      </c>
      <c r="C110" s="1">
        <v>44419</v>
      </c>
      <c r="D110" s="1">
        <v>44345</v>
      </c>
      <c r="E110" t="s">
        <v>55</v>
      </c>
      <c r="F110" t="s">
        <v>31</v>
      </c>
      <c r="G110" t="s">
        <v>247</v>
      </c>
      <c r="H110" t="s">
        <v>166</v>
      </c>
      <c r="I110" s="3" t="s">
        <v>2822</v>
      </c>
      <c r="J110" s="3" t="s">
        <v>3519</v>
      </c>
      <c r="K110" s="3" t="s">
        <v>3530</v>
      </c>
      <c r="L110" s="3" t="s">
        <v>3621</v>
      </c>
      <c r="M110">
        <v>90.27</v>
      </c>
      <c r="N110">
        <v>98</v>
      </c>
      <c r="O110">
        <f>Supply_Chain[[#This Row],[Unit_Price]]*Supply_Chain[[#This Row],[Quantity]]</f>
        <v>8846.4599999999991</v>
      </c>
      <c r="P110" t="s">
        <v>486</v>
      </c>
      <c r="Q110" t="s">
        <v>110</v>
      </c>
      <c r="R110" t="s">
        <v>94</v>
      </c>
      <c r="S110" t="s">
        <v>50</v>
      </c>
      <c r="T110" t="s">
        <v>38</v>
      </c>
      <c r="U110" t="s">
        <v>302</v>
      </c>
      <c r="V110">
        <v>2529</v>
      </c>
      <c r="W110">
        <v>370</v>
      </c>
      <c r="X110">
        <v>9</v>
      </c>
      <c r="Y110">
        <v>1532.54</v>
      </c>
      <c r="Z110">
        <v>326.29000000000002</v>
      </c>
      <c r="AA110" s="9">
        <v>1858.83</v>
      </c>
      <c r="AB110" t="s">
        <v>52</v>
      </c>
      <c r="AC110">
        <v>0</v>
      </c>
      <c r="AD110">
        <v>83.69</v>
      </c>
      <c r="AE110">
        <v>157</v>
      </c>
      <c r="AF110">
        <v>153</v>
      </c>
      <c r="AG110" s="11">
        <f>Supply_Chain[[#This Row],[Total_Cost]]/Supply_Chain[[#This Row],[Stock_On_Hand]]</f>
        <v>0.73500593119810198</v>
      </c>
    </row>
    <row r="111" spans="1:33" x14ac:dyDescent="0.25">
      <c r="A111" t="s">
        <v>487</v>
      </c>
      <c r="B111" t="s">
        <v>488</v>
      </c>
      <c r="C111" s="1">
        <v>45511</v>
      </c>
      <c r="D111" s="1">
        <v>45017</v>
      </c>
      <c r="E111" t="s">
        <v>55</v>
      </c>
      <c r="F111" t="s">
        <v>31</v>
      </c>
      <c r="G111" t="s">
        <v>76</v>
      </c>
      <c r="H111" t="s">
        <v>57</v>
      </c>
      <c r="I111" s="3" t="s">
        <v>2845</v>
      </c>
      <c r="J111" s="3" t="s">
        <v>84</v>
      </c>
      <c r="K111" s="3" t="s">
        <v>3526</v>
      </c>
      <c r="L111" s="3" t="s">
        <v>3644</v>
      </c>
      <c r="M111">
        <v>61.83</v>
      </c>
      <c r="N111">
        <v>60</v>
      </c>
      <c r="O111">
        <f>Supply_Chain[[#This Row],[Unit_Price]]*Supply_Chain[[#This Row],[Quantity]]</f>
        <v>3709.7999999999997</v>
      </c>
      <c r="P111" t="s">
        <v>283</v>
      </c>
      <c r="Q111" t="s">
        <v>48</v>
      </c>
      <c r="R111" t="s">
        <v>135</v>
      </c>
      <c r="S111" t="s">
        <v>119</v>
      </c>
      <c r="T111" t="s">
        <v>79</v>
      </c>
      <c r="U111" t="s">
        <v>489</v>
      </c>
      <c r="V111">
        <v>804</v>
      </c>
      <c r="W111">
        <v>137</v>
      </c>
      <c r="X111">
        <v>11</v>
      </c>
      <c r="Y111">
        <v>1239.28</v>
      </c>
      <c r="Z111">
        <v>59.25</v>
      </c>
      <c r="AA111" s="9">
        <v>1298.53</v>
      </c>
      <c r="AB111" t="s">
        <v>52</v>
      </c>
      <c r="AC111">
        <v>0</v>
      </c>
      <c r="AD111">
        <v>84.49</v>
      </c>
      <c r="AE111">
        <v>348</v>
      </c>
      <c r="AF111">
        <v>390</v>
      </c>
      <c r="AG111" s="11">
        <f>Supply_Chain[[#This Row],[Total_Cost]]/Supply_Chain[[#This Row],[Stock_On_Hand]]</f>
        <v>1.6150870646766169</v>
      </c>
    </row>
    <row r="112" spans="1:33" x14ac:dyDescent="0.25">
      <c r="A112" t="s">
        <v>490</v>
      </c>
      <c r="B112" t="s">
        <v>491</v>
      </c>
      <c r="C112" s="1">
        <v>44529</v>
      </c>
      <c r="D112" s="1">
        <v>44965</v>
      </c>
      <c r="E112" t="s">
        <v>43</v>
      </c>
      <c r="F112" t="s">
        <v>64</v>
      </c>
      <c r="G112" t="s">
        <v>91</v>
      </c>
      <c r="H112" t="s">
        <v>116</v>
      </c>
      <c r="I112" s="3" t="s">
        <v>2846</v>
      </c>
      <c r="J112" s="3" t="s">
        <v>3518</v>
      </c>
      <c r="K112" s="3" t="s">
        <v>3533</v>
      </c>
      <c r="L112" s="3" t="s">
        <v>3645</v>
      </c>
      <c r="M112">
        <v>310.95</v>
      </c>
      <c r="N112">
        <v>46</v>
      </c>
      <c r="O112">
        <f>Supply_Chain[[#This Row],[Unit_Price]]*Supply_Chain[[#This Row],[Quantity]]</f>
        <v>14303.699999999999</v>
      </c>
      <c r="P112" t="s">
        <v>492</v>
      </c>
      <c r="Q112" t="s">
        <v>86</v>
      </c>
      <c r="R112" t="s">
        <v>344</v>
      </c>
      <c r="S112" t="s">
        <v>119</v>
      </c>
      <c r="T112" t="s">
        <v>71</v>
      </c>
      <c r="U112" t="s">
        <v>72</v>
      </c>
      <c r="V112">
        <v>1733</v>
      </c>
      <c r="W112">
        <v>315</v>
      </c>
      <c r="X112">
        <v>5</v>
      </c>
      <c r="Y112">
        <v>927.3</v>
      </c>
      <c r="Z112">
        <v>161.94</v>
      </c>
      <c r="AA112" s="9">
        <v>1089.24</v>
      </c>
      <c r="AB112" t="s">
        <v>52</v>
      </c>
      <c r="AC112">
        <v>0</v>
      </c>
      <c r="AD112">
        <v>79.069999999999993</v>
      </c>
      <c r="AE112">
        <v>104</v>
      </c>
      <c r="AF112">
        <v>91</v>
      </c>
      <c r="AG112" s="11">
        <f>Supply_Chain[[#This Row],[Total_Cost]]/Supply_Chain[[#This Row],[Stock_On_Hand]]</f>
        <v>0.62852856318522798</v>
      </c>
    </row>
    <row r="113" spans="1:33" x14ac:dyDescent="0.25">
      <c r="A113" t="s">
        <v>493</v>
      </c>
      <c r="B113" t="s">
        <v>494</v>
      </c>
      <c r="C113" s="1">
        <v>45286</v>
      </c>
      <c r="D113" s="1">
        <v>44234</v>
      </c>
      <c r="E113" t="s">
        <v>55</v>
      </c>
      <c r="F113" t="s">
        <v>75</v>
      </c>
      <c r="G113" t="s">
        <v>65</v>
      </c>
      <c r="H113" t="s">
        <v>57</v>
      </c>
      <c r="I113" s="3" t="s">
        <v>2847</v>
      </c>
      <c r="J113" s="3" t="s">
        <v>3518</v>
      </c>
      <c r="K113" s="3" t="s">
        <v>3521</v>
      </c>
      <c r="L113" s="3" t="s">
        <v>3646</v>
      </c>
      <c r="M113">
        <v>258.52999999999997</v>
      </c>
      <c r="N113">
        <v>53</v>
      </c>
      <c r="O113">
        <f>Supply_Chain[[#This Row],[Unit_Price]]*Supply_Chain[[#This Row],[Quantity]]</f>
        <v>13702.089999999998</v>
      </c>
      <c r="P113" t="s">
        <v>495</v>
      </c>
      <c r="Q113" t="s">
        <v>48</v>
      </c>
      <c r="R113" t="s">
        <v>195</v>
      </c>
      <c r="S113" t="s">
        <v>70</v>
      </c>
      <c r="T113" t="s">
        <v>100</v>
      </c>
      <c r="U113" t="s">
        <v>39</v>
      </c>
      <c r="V113">
        <v>2630</v>
      </c>
      <c r="W113">
        <v>320</v>
      </c>
      <c r="X113">
        <v>8</v>
      </c>
      <c r="Y113">
        <v>663.06</v>
      </c>
      <c r="Z113">
        <v>41.62</v>
      </c>
      <c r="AA113" s="9">
        <v>704.68</v>
      </c>
      <c r="AB113" t="s">
        <v>52</v>
      </c>
      <c r="AC113">
        <v>0</v>
      </c>
      <c r="AD113">
        <v>86.41</v>
      </c>
      <c r="AE113">
        <v>162</v>
      </c>
      <c r="AF113">
        <v>166</v>
      </c>
      <c r="AG113" s="11">
        <f>Supply_Chain[[#This Row],[Total_Cost]]/Supply_Chain[[#This Row],[Stock_On_Hand]]</f>
        <v>0.26793916349809882</v>
      </c>
    </row>
    <row r="114" spans="1:33" x14ac:dyDescent="0.25">
      <c r="A114" t="s">
        <v>496</v>
      </c>
      <c r="B114" t="s">
        <v>497</v>
      </c>
      <c r="C114" s="1">
        <v>45173</v>
      </c>
      <c r="D114" s="1">
        <v>43935</v>
      </c>
      <c r="E114" t="s">
        <v>43</v>
      </c>
      <c r="F114" t="s">
        <v>31</v>
      </c>
      <c r="G114" t="s">
        <v>91</v>
      </c>
      <c r="H114" t="s">
        <v>92</v>
      </c>
      <c r="I114" s="3" t="s">
        <v>2848</v>
      </c>
      <c r="J114" s="3" t="s">
        <v>3518</v>
      </c>
      <c r="K114" s="3" t="s">
        <v>3535</v>
      </c>
      <c r="L114" s="3" t="s">
        <v>3647</v>
      </c>
      <c r="M114">
        <v>476.17</v>
      </c>
      <c r="N114">
        <v>46</v>
      </c>
      <c r="O114">
        <f>Supply_Chain[[#This Row],[Unit_Price]]*Supply_Chain[[#This Row],[Quantity]]</f>
        <v>21903.82</v>
      </c>
      <c r="P114" t="s">
        <v>498</v>
      </c>
      <c r="Q114" t="s">
        <v>68</v>
      </c>
      <c r="R114" t="s">
        <v>360</v>
      </c>
      <c r="S114" t="s">
        <v>50</v>
      </c>
      <c r="T114" t="s">
        <v>79</v>
      </c>
      <c r="U114" t="s">
        <v>499</v>
      </c>
      <c r="V114">
        <v>661</v>
      </c>
      <c r="W114">
        <v>447</v>
      </c>
      <c r="X114">
        <v>29</v>
      </c>
      <c r="Y114">
        <v>1143.97</v>
      </c>
      <c r="Z114">
        <v>304.23</v>
      </c>
      <c r="AA114" s="9">
        <v>1448.2</v>
      </c>
      <c r="AB114" t="s">
        <v>52</v>
      </c>
      <c r="AC114">
        <v>0</v>
      </c>
      <c r="AD114">
        <v>97.79</v>
      </c>
      <c r="AE114">
        <v>386</v>
      </c>
      <c r="AF114">
        <v>344</v>
      </c>
      <c r="AG114" s="11">
        <f>Supply_Chain[[#This Row],[Total_Cost]]/Supply_Chain[[#This Row],[Stock_On_Hand]]</f>
        <v>2.1909228441754918</v>
      </c>
    </row>
    <row r="115" spans="1:33" x14ac:dyDescent="0.25">
      <c r="A115" t="s">
        <v>500</v>
      </c>
      <c r="B115" t="s">
        <v>501</v>
      </c>
      <c r="C115" s="1">
        <v>44526</v>
      </c>
      <c r="D115" s="1">
        <v>44388</v>
      </c>
      <c r="E115" t="s">
        <v>55</v>
      </c>
      <c r="F115" t="s">
        <v>64</v>
      </c>
      <c r="G115" t="s">
        <v>91</v>
      </c>
      <c r="H115" t="s">
        <v>33</v>
      </c>
      <c r="I115" s="3" t="s">
        <v>2849</v>
      </c>
      <c r="J115" s="3" t="s">
        <v>3519</v>
      </c>
      <c r="K115" s="3" t="s">
        <v>3530</v>
      </c>
      <c r="L115" s="3" t="s">
        <v>3648</v>
      </c>
      <c r="M115">
        <v>148.63999999999999</v>
      </c>
      <c r="N115">
        <v>30</v>
      </c>
      <c r="O115">
        <f>Supply_Chain[[#This Row],[Unit_Price]]*Supply_Chain[[#This Row],[Quantity]]</f>
        <v>4459.2</v>
      </c>
      <c r="P115" t="s">
        <v>502</v>
      </c>
      <c r="Q115" t="s">
        <v>35</v>
      </c>
      <c r="R115" t="s">
        <v>476</v>
      </c>
      <c r="S115" t="s">
        <v>70</v>
      </c>
      <c r="T115" t="s">
        <v>100</v>
      </c>
      <c r="U115" t="s">
        <v>88</v>
      </c>
      <c r="V115">
        <v>3938</v>
      </c>
      <c r="W115">
        <v>284</v>
      </c>
      <c r="X115">
        <v>20</v>
      </c>
      <c r="Y115">
        <v>1829.71</v>
      </c>
      <c r="Z115">
        <v>454.91</v>
      </c>
      <c r="AA115" s="9">
        <v>2284.62</v>
      </c>
      <c r="AB115" t="s">
        <v>40</v>
      </c>
      <c r="AC115">
        <v>14</v>
      </c>
      <c r="AD115">
        <v>80.959999999999994</v>
      </c>
      <c r="AE115">
        <v>409</v>
      </c>
      <c r="AF115">
        <v>361</v>
      </c>
      <c r="AG115" s="11">
        <f>Supply_Chain[[#This Row],[Total_Cost]]/Supply_Chain[[#This Row],[Stock_On_Hand]]</f>
        <v>0.58014728288471307</v>
      </c>
    </row>
    <row r="116" spans="1:33" x14ac:dyDescent="0.25">
      <c r="A116" t="s">
        <v>503</v>
      </c>
      <c r="B116" t="s">
        <v>504</v>
      </c>
      <c r="C116" s="1">
        <v>43852</v>
      </c>
      <c r="D116" s="1">
        <v>43999</v>
      </c>
      <c r="E116" t="s">
        <v>55</v>
      </c>
      <c r="F116" t="s">
        <v>115</v>
      </c>
      <c r="G116" t="s">
        <v>91</v>
      </c>
      <c r="H116" t="s">
        <v>57</v>
      </c>
      <c r="I116" s="3" t="s">
        <v>2850</v>
      </c>
      <c r="J116" s="3" t="s">
        <v>3518</v>
      </c>
      <c r="K116" s="3" t="s">
        <v>3522</v>
      </c>
      <c r="L116" s="3" t="s">
        <v>3649</v>
      </c>
      <c r="M116">
        <v>488.97</v>
      </c>
      <c r="N116">
        <v>47</v>
      </c>
      <c r="O116">
        <f>Supply_Chain[[#This Row],[Unit_Price]]*Supply_Chain[[#This Row],[Quantity]]</f>
        <v>22981.59</v>
      </c>
      <c r="P116" t="s">
        <v>505</v>
      </c>
      <c r="Q116" t="s">
        <v>35</v>
      </c>
      <c r="R116" t="s">
        <v>388</v>
      </c>
      <c r="S116" t="s">
        <v>37</v>
      </c>
      <c r="T116" t="s">
        <v>100</v>
      </c>
      <c r="U116" t="s">
        <v>163</v>
      </c>
      <c r="V116">
        <v>853</v>
      </c>
      <c r="W116">
        <v>104</v>
      </c>
      <c r="X116">
        <v>8</v>
      </c>
      <c r="Y116">
        <v>378</v>
      </c>
      <c r="Z116">
        <v>301.51</v>
      </c>
      <c r="AA116" s="9">
        <v>679.51</v>
      </c>
      <c r="AB116" t="s">
        <v>52</v>
      </c>
      <c r="AC116">
        <v>0</v>
      </c>
      <c r="AD116">
        <v>96.02</v>
      </c>
      <c r="AE116">
        <v>80</v>
      </c>
      <c r="AF116">
        <v>73</v>
      </c>
      <c r="AG116" s="11">
        <f>Supply_Chain[[#This Row],[Total_Cost]]/Supply_Chain[[#This Row],[Stock_On_Hand]]</f>
        <v>0.79661195779601401</v>
      </c>
    </row>
    <row r="117" spans="1:33" x14ac:dyDescent="0.25">
      <c r="A117" t="s">
        <v>506</v>
      </c>
      <c r="B117" t="s">
        <v>507</v>
      </c>
      <c r="C117" s="1">
        <v>45400</v>
      </c>
      <c r="D117" s="1">
        <v>45256</v>
      </c>
      <c r="E117" t="s">
        <v>55</v>
      </c>
      <c r="F117" t="s">
        <v>31</v>
      </c>
      <c r="G117" t="s">
        <v>32</v>
      </c>
      <c r="H117" t="s">
        <v>66</v>
      </c>
      <c r="I117" s="3" t="s">
        <v>2851</v>
      </c>
      <c r="J117" s="3" t="s">
        <v>3518</v>
      </c>
      <c r="K117" s="3" t="s">
        <v>3533</v>
      </c>
      <c r="L117" s="3" t="s">
        <v>3650</v>
      </c>
      <c r="M117">
        <v>135.5</v>
      </c>
      <c r="N117">
        <v>83</v>
      </c>
      <c r="O117">
        <f>Supply_Chain[[#This Row],[Unit_Price]]*Supply_Chain[[#This Row],[Quantity]]</f>
        <v>11246.5</v>
      </c>
      <c r="P117" t="s">
        <v>144</v>
      </c>
      <c r="Q117" t="s">
        <v>48</v>
      </c>
      <c r="R117" t="s">
        <v>377</v>
      </c>
      <c r="S117" t="s">
        <v>50</v>
      </c>
      <c r="T117" t="s">
        <v>79</v>
      </c>
      <c r="U117" t="s">
        <v>51</v>
      </c>
      <c r="V117">
        <v>1583</v>
      </c>
      <c r="W117">
        <v>189</v>
      </c>
      <c r="X117">
        <v>24</v>
      </c>
      <c r="Y117">
        <v>731.71</v>
      </c>
      <c r="Z117">
        <v>472.48</v>
      </c>
      <c r="AA117" s="9">
        <v>1204.19</v>
      </c>
      <c r="AB117" t="s">
        <v>52</v>
      </c>
      <c r="AC117">
        <v>0</v>
      </c>
      <c r="AD117">
        <v>80.03</v>
      </c>
      <c r="AE117">
        <v>154</v>
      </c>
      <c r="AF117">
        <v>189</v>
      </c>
      <c r="AG117" s="11">
        <f>Supply_Chain[[#This Row],[Total_Cost]]/Supply_Chain[[#This Row],[Stock_On_Hand]]</f>
        <v>0.76070120025268484</v>
      </c>
    </row>
    <row r="118" spans="1:33" x14ac:dyDescent="0.25">
      <c r="A118" t="s">
        <v>508</v>
      </c>
      <c r="B118" t="s">
        <v>509</v>
      </c>
      <c r="C118" s="1">
        <v>44076</v>
      </c>
      <c r="D118" s="1">
        <v>43918</v>
      </c>
      <c r="E118" t="s">
        <v>55</v>
      </c>
      <c r="F118" t="s">
        <v>115</v>
      </c>
      <c r="G118" t="s">
        <v>91</v>
      </c>
      <c r="H118" t="s">
        <v>166</v>
      </c>
      <c r="I118" s="3" t="s">
        <v>2852</v>
      </c>
      <c r="J118" s="3" t="s">
        <v>3518</v>
      </c>
      <c r="K118" s="3" t="s">
        <v>3522</v>
      </c>
      <c r="L118" s="3" t="s">
        <v>3651</v>
      </c>
      <c r="M118">
        <v>367.64</v>
      </c>
      <c r="N118">
        <v>11</v>
      </c>
      <c r="O118">
        <f>Supply_Chain[[#This Row],[Unit_Price]]*Supply_Chain[[#This Row],[Quantity]]</f>
        <v>4044.04</v>
      </c>
      <c r="P118" t="s">
        <v>510</v>
      </c>
      <c r="Q118" t="s">
        <v>35</v>
      </c>
      <c r="R118" t="s">
        <v>124</v>
      </c>
      <c r="S118" t="s">
        <v>70</v>
      </c>
      <c r="T118" t="s">
        <v>38</v>
      </c>
      <c r="U118" t="s">
        <v>51</v>
      </c>
      <c r="V118">
        <v>2987</v>
      </c>
      <c r="W118">
        <v>178</v>
      </c>
      <c r="X118">
        <v>10</v>
      </c>
      <c r="Y118">
        <v>571.88</v>
      </c>
      <c r="Z118">
        <v>241.84</v>
      </c>
      <c r="AA118" s="9">
        <v>813.72</v>
      </c>
      <c r="AB118" t="s">
        <v>52</v>
      </c>
      <c r="AC118">
        <v>0</v>
      </c>
      <c r="AD118">
        <v>85.19</v>
      </c>
      <c r="AE118">
        <v>445</v>
      </c>
      <c r="AF118">
        <v>480</v>
      </c>
      <c r="AG118" s="11">
        <f>Supply_Chain[[#This Row],[Total_Cost]]/Supply_Chain[[#This Row],[Stock_On_Hand]]</f>
        <v>0.27242048878473385</v>
      </c>
    </row>
    <row r="119" spans="1:33" x14ac:dyDescent="0.25">
      <c r="A119" t="s">
        <v>511</v>
      </c>
      <c r="B119" t="s">
        <v>512</v>
      </c>
      <c r="C119" s="1">
        <v>45391</v>
      </c>
      <c r="D119" s="1">
        <v>44575</v>
      </c>
      <c r="E119" t="s">
        <v>55</v>
      </c>
      <c r="F119" t="s">
        <v>44</v>
      </c>
      <c r="G119" t="s">
        <v>91</v>
      </c>
      <c r="H119" t="s">
        <v>66</v>
      </c>
      <c r="I119" s="3" t="s">
        <v>2853</v>
      </c>
      <c r="J119" s="3" t="s">
        <v>3518</v>
      </c>
      <c r="K119" s="3" t="s">
        <v>3525</v>
      </c>
      <c r="L119" s="3" t="s">
        <v>3652</v>
      </c>
      <c r="M119">
        <v>112.02</v>
      </c>
      <c r="N119">
        <v>37</v>
      </c>
      <c r="O119">
        <f>Supply_Chain[[#This Row],[Unit_Price]]*Supply_Chain[[#This Row],[Quantity]]</f>
        <v>4144.74</v>
      </c>
      <c r="P119" t="s">
        <v>513</v>
      </c>
      <c r="Q119" t="s">
        <v>86</v>
      </c>
      <c r="R119" t="s">
        <v>214</v>
      </c>
      <c r="S119" t="s">
        <v>70</v>
      </c>
      <c r="T119" t="s">
        <v>60</v>
      </c>
      <c r="U119" t="s">
        <v>187</v>
      </c>
      <c r="V119">
        <v>1785</v>
      </c>
      <c r="W119">
        <v>118</v>
      </c>
      <c r="X119">
        <v>15</v>
      </c>
      <c r="Y119">
        <v>1334.92</v>
      </c>
      <c r="Z119">
        <v>206.15</v>
      </c>
      <c r="AA119" s="9">
        <v>1541.07</v>
      </c>
      <c r="AB119" t="s">
        <v>52</v>
      </c>
      <c r="AC119">
        <v>0</v>
      </c>
      <c r="AD119">
        <v>97.83</v>
      </c>
      <c r="AE119">
        <v>91</v>
      </c>
      <c r="AF119">
        <v>54</v>
      </c>
      <c r="AG119" s="11">
        <f>Supply_Chain[[#This Row],[Total_Cost]]/Supply_Chain[[#This Row],[Stock_On_Hand]]</f>
        <v>0.86334453781512599</v>
      </c>
    </row>
    <row r="120" spans="1:33" x14ac:dyDescent="0.25">
      <c r="A120" t="s">
        <v>514</v>
      </c>
      <c r="B120" t="s">
        <v>515</v>
      </c>
      <c r="C120" s="1">
        <v>44282</v>
      </c>
      <c r="D120" s="1">
        <v>44539</v>
      </c>
      <c r="E120" t="s">
        <v>55</v>
      </c>
      <c r="F120" t="s">
        <v>64</v>
      </c>
      <c r="G120" t="s">
        <v>83</v>
      </c>
      <c r="H120" t="s">
        <v>116</v>
      </c>
      <c r="I120" s="3" t="s">
        <v>2854</v>
      </c>
      <c r="J120" s="3" t="s">
        <v>84</v>
      </c>
      <c r="K120" s="3" t="s">
        <v>3529</v>
      </c>
      <c r="L120" s="3" t="s">
        <v>3653</v>
      </c>
      <c r="M120">
        <v>347.75</v>
      </c>
      <c r="N120">
        <v>82</v>
      </c>
      <c r="O120">
        <f>Supply_Chain[[#This Row],[Unit_Price]]*Supply_Chain[[#This Row],[Quantity]]</f>
        <v>28515.5</v>
      </c>
      <c r="P120" t="s">
        <v>415</v>
      </c>
      <c r="Q120" t="s">
        <v>35</v>
      </c>
      <c r="R120" t="s">
        <v>369</v>
      </c>
      <c r="S120" t="s">
        <v>50</v>
      </c>
      <c r="T120" t="s">
        <v>38</v>
      </c>
      <c r="U120" t="s">
        <v>51</v>
      </c>
      <c r="V120">
        <v>1340</v>
      </c>
      <c r="W120">
        <v>435</v>
      </c>
      <c r="X120">
        <v>1</v>
      </c>
      <c r="Y120">
        <v>1468.85</v>
      </c>
      <c r="Z120">
        <v>48.82</v>
      </c>
      <c r="AA120" s="9">
        <v>1517.67</v>
      </c>
      <c r="AB120" t="s">
        <v>52</v>
      </c>
      <c r="AC120">
        <v>0</v>
      </c>
      <c r="AD120">
        <v>97.01</v>
      </c>
      <c r="AE120">
        <v>469</v>
      </c>
      <c r="AF120">
        <v>512</v>
      </c>
      <c r="AG120" s="11">
        <f>Supply_Chain[[#This Row],[Total_Cost]]/Supply_Chain[[#This Row],[Stock_On_Hand]]</f>
        <v>1.1325895522388061</v>
      </c>
    </row>
    <row r="121" spans="1:33" x14ac:dyDescent="0.25">
      <c r="A121" t="s">
        <v>516</v>
      </c>
      <c r="B121" t="s">
        <v>517</v>
      </c>
      <c r="C121" s="1">
        <v>44507</v>
      </c>
      <c r="D121" s="1">
        <v>45191</v>
      </c>
      <c r="E121" t="s">
        <v>55</v>
      </c>
      <c r="F121" t="s">
        <v>115</v>
      </c>
      <c r="G121" t="s">
        <v>65</v>
      </c>
      <c r="H121" t="s">
        <v>46</v>
      </c>
      <c r="I121" s="3" t="s">
        <v>2855</v>
      </c>
      <c r="J121" s="3" t="s">
        <v>3518</v>
      </c>
      <c r="K121" s="3" t="s">
        <v>3524</v>
      </c>
      <c r="L121" s="3" t="s">
        <v>3654</v>
      </c>
      <c r="M121">
        <v>119.91</v>
      </c>
      <c r="N121">
        <v>96</v>
      </c>
      <c r="O121">
        <f>Supply_Chain[[#This Row],[Unit_Price]]*Supply_Chain[[#This Row],[Quantity]]</f>
        <v>11511.36</v>
      </c>
      <c r="P121" t="s">
        <v>518</v>
      </c>
      <c r="Q121" t="s">
        <v>86</v>
      </c>
      <c r="R121" t="s">
        <v>181</v>
      </c>
      <c r="S121" t="s">
        <v>70</v>
      </c>
      <c r="T121" t="s">
        <v>71</v>
      </c>
      <c r="U121" t="s">
        <v>389</v>
      </c>
      <c r="V121">
        <v>541</v>
      </c>
      <c r="W121">
        <v>477</v>
      </c>
      <c r="X121">
        <v>17</v>
      </c>
      <c r="Y121">
        <v>327.96</v>
      </c>
      <c r="Z121">
        <v>136.38</v>
      </c>
      <c r="AA121" s="9">
        <v>464.34</v>
      </c>
      <c r="AB121" t="s">
        <v>40</v>
      </c>
      <c r="AC121">
        <v>7</v>
      </c>
      <c r="AD121">
        <v>81.98</v>
      </c>
      <c r="AE121">
        <v>114</v>
      </c>
      <c r="AF121">
        <v>118</v>
      </c>
      <c r="AG121" s="11">
        <f>Supply_Chain[[#This Row],[Total_Cost]]/Supply_Chain[[#This Row],[Stock_On_Hand]]</f>
        <v>0.85829944547134929</v>
      </c>
    </row>
    <row r="122" spans="1:33" x14ac:dyDescent="0.25">
      <c r="A122" t="s">
        <v>519</v>
      </c>
      <c r="B122" t="s">
        <v>520</v>
      </c>
      <c r="C122" s="1">
        <v>45128</v>
      </c>
      <c r="D122" s="1">
        <v>43964</v>
      </c>
      <c r="E122" t="s">
        <v>43</v>
      </c>
      <c r="F122" t="s">
        <v>31</v>
      </c>
      <c r="G122" t="s">
        <v>56</v>
      </c>
      <c r="H122" t="s">
        <v>92</v>
      </c>
      <c r="I122" s="3" t="s">
        <v>2856</v>
      </c>
      <c r="J122" s="3" t="s">
        <v>84</v>
      </c>
      <c r="K122" s="3" t="s">
        <v>3529</v>
      </c>
      <c r="L122" s="3" t="s">
        <v>3655</v>
      </c>
      <c r="M122">
        <v>96.03</v>
      </c>
      <c r="N122">
        <v>30</v>
      </c>
      <c r="O122">
        <f>Supply_Chain[[#This Row],[Unit_Price]]*Supply_Chain[[#This Row],[Quantity]]</f>
        <v>2880.9</v>
      </c>
      <c r="P122" t="s">
        <v>521</v>
      </c>
      <c r="Q122" t="s">
        <v>86</v>
      </c>
      <c r="R122" t="s">
        <v>360</v>
      </c>
      <c r="S122" t="s">
        <v>70</v>
      </c>
      <c r="T122" t="s">
        <v>71</v>
      </c>
      <c r="U122" t="s">
        <v>182</v>
      </c>
      <c r="V122">
        <v>1217</v>
      </c>
      <c r="W122">
        <v>275</v>
      </c>
      <c r="X122">
        <v>11</v>
      </c>
      <c r="Y122">
        <v>1462.65</v>
      </c>
      <c r="Z122">
        <v>137.94999999999999</v>
      </c>
      <c r="AA122" s="9">
        <v>1600.6</v>
      </c>
      <c r="AB122" t="s">
        <v>52</v>
      </c>
      <c r="AC122">
        <v>0</v>
      </c>
      <c r="AD122">
        <v>85.19</v>
      </c>
      <c r="AE122">
        <v>132</v>
      </c>
      <c r="AF122">
        <v>117</v>
      </c>
      <c r="AG122" s="11">
        <f>Supply_Chain[[#This Row],[Total_Cost]]/Supply_Chain[[#This Row],[Stock_On_Hand]]</f>
        <v>1.315201314708299</v>
      </c>
    </row>
    <row r="123" spans="1:33" x14ac:dyDescent="0.25">
      <c r="A123" t="s">
        <v>522</v>
      </c>
      <c r="B123" t="s">
        <v>523</v>
      </c>
      <c r="C123" s="1">
        <v>44686</v>
      </c>
      <c r="D123" s="1">
        <v>45653</v>
      </c>
      <c r="E123" t="s">
        <v>55</v>
      </c>
      <c r="F123" t="s">
        <v>64</v>
      </c>
      <c r="G123" t="s">
        <v>65</v>
      </c>
      <c r="H123" t="s">
        <v>66</v>
      </c>
      <c r="I123" s="3" t="s">
        <v>2857</v>
      </c>
      <c r="J123" s="3" t="s">
        <v>3518</v>
      </c>
      <c r="K123" s="3" t="s">
        <v>3521</v>
      </c>
      <c r="L123" s="3" t="s">
        <v>3656</v>
      </c>
      <c r="M123">
        <v>74.5</v>
      </c>
      <c r="N123">
        <v>5</v>
      </c>
      <c r="O123">
        <f>Supply_Chain[[#This Row],[Unit_Price]]*Supply_Chain[[#This Row],[Quantity]]</f>
        <v>372.5</v>
      </c>
      <c r="P123" t="s">
        <v>524</v>
      </c>
      <c r="Q123" t="s">
        <v>35</v>
      </c>
      <c r="R123" t="s">
        <v>480</v>
      </c>
      <c r="S123" t="s">
        <v>37</v>
      </c>
      <c r="T123" t="s">
        <v>79</v>
      </c>
      <c r="U123" t="s">
        <v>356</v>
      </c>
      <c r="V123">
        <v>1121</v>
      </c>
      <c r="W123">
        <v>54</v>
      </c>
      <c r="X123">
        <v>15</v>
      </c>
      <c r="Y123">
        <v>635.11</v>
      </c>
      <c r="Z123">
        <v>435.32</v>
      </c>
      <c r="AA123" s="9">
        <v>1070.43</v>
      </c>
      <c r="AB123" t="s">
        <v>52</v>
      </c>
      <c r="AC123">
        <v>0</v>
      </c>
      <c r="AD123">
        <v>73.02</v>
      </c>
      <c r="AE123">
        <v>431</v>
      </c>
      <c r="AF123">
        <v>438</v>
      </c>
      <c r="AG123" s="11">
        <f>Supply_Chain[[#This Row],[Total_Cost]]/Supply_Chain[[#This Row],[Stock_On_Hand]]</f>
        <v>0.95488849241748441</v>
      </c>
    </row>
    <row r="124" spans="1:33" x14ac:dyDescent="0.25">
      <c r="A124" t="s">
        <v>525</v>
      </c>
      <c r="B124" t="s">
        <v>526</v>
      </c>
      <c r="C124" s="1">
        <v>44792</v>
      </c>
      <c r="D124" s="1">
        <v>45359</v>
      </c>
      <c r="E124" t="s">
        <v>43</v>
      </c>
      <c r="F124" t="s">
        <v>31</v>
      </c>
      <c r="G124" t="s">
        <v>76</v>
      </c>
      <c r="H124" t="s">
        <v>116</v>
      </c>
      <c r="I124" s="3" t="s">
        <v>2858</v>
      </c>
      <c r="J124" s="3" t="s">
        <v>3519</v>
      </c>
      <c r="K124" s="3" t="s">
        <v>3530</v>
      </c>
      <c r="L124" s="3" t="s">
        <v>3657</v>
      </c>
      <c r="M124">
        <v>449.82</v>
      </c>
      <c r="N124">
        <v>47</v>
      </c>
      <c r="O124">
        <f>Supply_Chain[[#This Row],[Unit_Price]]*Supply_Chain[[#This Row],[Quantity]]</f>
        <v>21141.54</v>
      </c>
      <c r="P124" t="s">
        <v>527</v>
      </c>
      <c r="Q124" t="s">
        <v>48</v>
      </c>
      <c r="R124" t="s">
        <v>176</v>
      </c>
      <c r="S124" t="s">
        <v>50</v>
      </c>
      <c r="T124" t="s">
        <v>100</v>
      </c>
      <c r="U124" t="s">
        <v>232</v>
      </c>
      <c r="V124">
        <v>123</v>
      </c>
      <c r="W124">
        <v>138</v>
      </c>
      <c r="X124">
        <v>1</v>
      </c>
      <c r="Y124">
        <v>1618.62</v>
      </c>
      <c r="Z124">
        <v>297.57</v>
      </c>
      <c r="AA124" s="9">
        <v>1916.19</v>
      </c>
      <c r="AB124" t="s">
        <v>52</v>
      </c>
      <c r="AC124">
        <v>0</v>
      </c>
      <c r="AD124">
        <v>81.95</v>
      </c>
      <c r="AE124">
        <v>59</v>
      </c>
      <c r="AF124">
        <v>14</v>
      </c>
      <c r="AG124" s="11">
        <f>Supply_Chain[[#This Row],[Total_Cost]]/Supply_Chain[[#This Row],[Stock_On_Hand]]</f>
        <v>15.578780487804879</v>
      </c>
    </row>
    <row r="125" spans="1:33" x14ac:dyDescent="0.25">
      <c r="A125" t="s">
        <v>528</v>
      </c>
      <c r="B125" t="s">
        <v>529</v>
      </c>
      <c r="C125" s="1">
        <v>44333</v>
      </c>
      <c r="D125" s="1">
        <v>43846</v>
      </c>
      <c r="E125" t="s">
        <v>43</v>
      </c>
      <c r="F125" t="s">
        <v>31</v>
      </c>
      <c r="G125" t="s">
        <v>32</v>
      </c>
      <c r="H125" t="s">
        <v>57</v>
      </c>
      <c r="I125" s="3" t="s">
        <v>2740</v>
      </c>
      <c r="J125" s="3" t="s">
        <v>3518</v>
      </c>
      <c r="K125" s="3" t="s">
        <v>3522</v>
      </c>
      <c r="L125" s="3" t="s">
        <v>3540</v>
      </c>
      <c r="M125">
        <v>290.57</v>
      </c>
      <c r="N125">
        <v>61</v>
      </c>
      <c r="O125">
        <f>Supply_Chain[[#This Row],[Unit_Price]]*Supply_Chain[[#This Row],[Quantity]]</f>
        <v>17724.77</v>
      </c>
      <c r="P125" t="s">
        <v>530</v>
      </c>
      <c r="Q125" t="s">
        <v>68</v>
      </c>
      <c r="R125" t="s">
        <v>253</v>
      </c>
      <c r="S125" t="s">
        <v>50</v>
      </c>
      <c r="T125" t="s">
        <v>79</v>
      </c>
      <c r="U125" t="s">
        <v>80</v>
      </c>
      <c r="V125">
        <v>4275</v>
      </c>
      <c r="W125">
        <v>418</v>
      </c>
      <c r="X125">
        <v>27</v>
      </c>
      <c r="Y125">
        <v>382.13</v>
      </c>
      <c r="Z125">
        <v>378.99</v>
      </c>
      <c r="AA125" s="9">
        <v>761.12</v>
      </c>
      <c r="AB125" t="s">
        <v>52</v>
      </c>
      <c r="AC125">
        <v>0</v>
      </c>
      <c r="AD125">
        <v>95.09</v>
      </c>
      <c r="AE125">
        <v>110</v>
      </c>
      <c r="AF125">
        <v>91</v>
      </c>
      <c r="AG125" s="11">
        <f>Supply_Chain[[#This Row],[Total_Cost]]/Supply_Chain[[#This Row],[Stock_On_Hand]]</f>
        <v>0.17803976608187136</v>
      </c>
    </row>
    <row r="126" spans="1:33" x14ac:dyDescent="0.25">
      <c r="A126" t="s">
        <v>531</v>
      </c>
      <c r="B126" t="s">
        <v>532</v>
      </c>
      <c r="C126" s="1">
        <v>45554</v>
      </c>
      <c r="D126" s="1">
        <v>45428</v>
      </c>
      <c r="E126" t="s">
        <v>55</v>
      </c>
      <c r="F126" t="s">
        <v>115</v>
      </c>
      <c r="G126" t="s">
        <v>32</v>
      </c>
      <c r="H126" t="s">
        <v>116</v>
      </c>
      <c r="I126" s="3" t="s">
        <v>2859</v>
      </c>
      <c r="J126" s="3" t="s">
        <v>3518</v>
      </c>
      <c r="K126" s="3" t="s">
        <v>3521</v>
      </c>
      <c r="L126" s="3" t="s">
        <v>3658</v>
      </c>
      <c r="M126">
        <v>236.09</v>
      </c>
      <c r="N126">
        <v>91</v>
      </c>
      <c r="O126">
        <f>Supply_Chain[[#This Row],[Unit_Price]]*Supply_Chain[[#This Row],[Quantity]]</f>
        <v>21484.19</v>
      </c>
      <c r="P126" t="s">
        <v>505</v>
      </c>
      <c r="Q126" t="s">
        <v>48</v>
      </c>
      <c r="R126" t="s">
        <v>49</v>
      </c>
      <c r="S126" t="s">
        <v>119</v>
      </c>
      <c r="T126" t="s">
        <v>60</v>
      </c>
      <c r="U126" t="s">
        <v>297</v>
      </c>
      <c r="V126">
        <v>4999</v>
      </c>
      <c r="W126">
        <v>453</v>
      </c>
      <c r="X126">
        <v>23</v>
      </c>
      <c r="Y126">
        <v>1216.17</v>
      </c>
      <c r="Z126">
        <v>152.24</v>
      </c>
      <c r="AA126" s="9">
        <v>1368.41</v>
      </c>
      <c r="AB126" t="s">
        <v>52</v>
      </c>
      <c r="AC126">
        <v>0</v>
      </c>
      <c r="AD126">
        <v>88.91</v>
      </c>
      <c r="AE126">
        <v>157</v>
      </c>
      <c r="AF126">
        <v>135</v>
      </c>
      <c r="AG126" s="11">
        <f>Supply_Chain[[#This Row],[Total_Cost]]/Supply_Chain[[#This Row],[Stock_On_Hand]]</f>
        <v>0.2737367473494699</v>
      </c>
    </row>
    <row r="127" spans="1:33" x14ac:dyDescent="0.25">
      <c r="A127" t="s">
        <v>533</v>
      </c>
      <c r="B127" t="s">
        <v>534</v>
      </c>
      <c r="C127" s="1">
        <v>45354</v>
      </c>
      <c r="D127" s="1">
        <v>44380</v>
      </c>
      <c r="E127" t="s">
        <v>30</v>
      </c>
      <c r="F127" t="s">
        <v>31</v>
      </c>
      <c r="G127" t="s">
        <v>76</v>
      </c>
      <c r="H127" t="s">
        <v>128</v>
      </c>
      <c r="I127" s="3" t="s">
        <v>2860</v>
      </c>
      <c r="J127" s="3" t="s">
        <v>3518</v>
      </c>
      <c r="K127" s="3" t="s">
        <v>3522</v>
      </c>
      <c r="L127" s="3" t="s">
        <v>3659</v>
      </c>
      <c r="M127">
        <v>109.91</v>
      </c>
      <c r="N127">
        <v>60</v>
      </c>
      <c r="O127">
        <f>Supply_Chain[[#This Row],[Unit_Price]]*Supply_Chain[[#This Row],[Quantity]]</f>
        <v>6594.5999999999995</v>
      </c>
      <c r="P127" t="s">
        <v>535</v>
      </c>
      <c r="Q127" t="s">
        <v>86</v>
      </c>
      <c r="R127" t="s">
        <v>78</v>
      </c>
      <c r="S127" t="s">
        <v>119</v>
      </c>
      <c r="T127" t="s">
        <v>100</v>
      </c>
      <c r="U127" t="s">
        <v>389</v>
      </c>
      <c r="V127">
        <v>1759</v>
      </c>
      <c r="W127">
        <v>473</v>
      </c>
      <c r="X127">
        <v>12</v>
      </c>
      <c r="Y127">
        <v>194.23</v>
      </c>
      <c r="Z127">
        <v>326.69</v>
      </c>
      <c r="AA127" s="9">
        <v>520.91999999999996</v>
      </c>
      <c r="AB127" t="s">
        <v>52</v>
      </c>
      <c r="AC127">
        <v>0</v>
      </c>
      <c r="AD127">
        <v>83.49</v>
      </c>
      <c r="AE127">
        <v>318</v>
      </c>
      <c r="AF127">
        <v>357</v>
      </c>
      <c r="AG127" s="11">
        <f>Supply_Chain[[#This Row],[Total_Cost]]/Supply_Chain[[#This Row],[Stock_On_Hand]]</f>
        <v>0.29614553723706649</v>
      </c>
    </row>
    <row r="128" spans="1:33" x14ac:dyDescent="0.25">
      <c r="A128" t="s">
        <v>536</v>
      </c>
      <c r="B128" t="s">
        <v>537</v>
      </c>
      <c r="C128" s="1">
        <v>45222</v>
      </c>
      <c r="D128" s="1">
        <v>45021</v>
      </c>
      <c r="E128" t="s">
        <v>55</v>
      </c>
      <c r="F128" t="s">
        <v>31</v>
      </c>
      <c r="G128" t="s">
        <v>45</v>
      </c>
      <c r="H128" t="s">
        <v>33</v>
      </c>
      <c r="I128" s="3" t="s">
        <v>2861</v>
      </c>
      <c r="J128" s="3" t="s">
        <v>3518</v>
      </c>
      <c r="K128" s="3" t="s">
        <v>3523</v>
      </c>
      <c r="L128" s="3" t="s">
        <v>3660</v>
      </c>
      <c r="M128">
        <v>84</v>
      </c>
      <c r="N128">
        <v>82</v>
      </c>
      <c r="O128">
        <f>Supply_Chain[[#This Row],[Unit_Price]]*Supply_Chain[[#This Row],[Quantity]]</f>
        <v>6888</v>
      </c>
      <c r="P128" t="s">
        <v>538</v>
      </c>
      <c r="Q128" t="s">
        <v>110</v>
      </c>
      <c r="R128" t="s">
        <v>186</v>
      </c>
      <c r="S128" t="s">
        <v>37</v>
      </c>
      <c r="T128" t="s">
        <v>79</v>
      </c>
      <c r="U128" t="s">
        <v>219</v>
      </c>
      <c r="V128">
        <v>4775</v>
      </c>
      <c r="W128">
        <v>161</v>
      </c>
      <c r="X128">
        <v>26</v>
      </c>
      <c r="Y128">
        <v>626.12</v>
      </c>
      <c r="Z128">
        <v>457.98</v>
      </c>
      <c r="AA128" s="9">
        <v>1084.0999999999999</v>
      </c>
      <c r="AB128" t="s">
        <v>52</v>
      </c>
      <c r="AC128">
        <v>0</v>
      </c>
      <c r="AD128">
        <v>84.38</v>
      </c>
      <c r="AE128">
        <v>304</v>
      </c>
      <c r="AF128">
        <v>286</v>
      </c>
      <c r="AG128" s="11">
        <f>Supply_Chain[[#This Row],[Total_Cost]]/Supply_Chain[[#This Row],[Stock_On_Hand]]</f>
        <v>0.22703664921465966</v>
      </c>
    </row>
    <row r="129" spans="1:33" x14ac:dyDescent="0.25">
      <c r="A129" t="s">
        <v>539</v>
      </c>
      <c r="B129" t="s">
        <v>540</v>
      </c>
      <c r="C129" s="1">
        <v>44919</v>
      </c>
      <c r="D129" s="1">
        <v>44969</v>
      </c>
      <c r="E129" t="s">
        <v>30</v>
      </c>
      <c r="F129" t="s">
        <v>115</v>
      </c>
      <c r="G129" t="s">
        <v>91</v>
      </c>
      <c r="H129" t="s">
        <v>66</v>
      </c>
      <c r="I129" s="3" t="s">
        <v>2862</v>
      </c>
      <c r="J129" s="3" t="s">
        <v>3518</v>
      </c>
      <c r="K129" s="3" t="s">
        <v>3521</v>
      </c>
      <c r="L129" s="3" t="s">
        <v>3661</v>
      </c>
      <c r="M129">
        <v>405.48</v>
      </c>
      <c r="N129">
        <v>68</v>
      </c>
      <c r="O129">
        <f>Supply_Chain[[#This Row],[Unit_Price]]*Supply_Chain[[#This Row],[Quantity]]</f>
        <v>27572.639999999999</v>
      </c>
      <c r="P129" t="s">
        <v>541</v>
      </c>
      <c r="Q129" t="s">
        <v>110</v>
      </c>
      <c r="R129" t="s">
        <v>140</v>
      </c>
      <c r="S129" t="s">
        <v>119</v>
      </c>
      <c r="T129" t="s">
        <v>60</v>
      </c>
      <c r="U129" t="s">
        <v>356</v>
      </c>
      <c r="V129">
        <v>4156</v>
      </c>
      <c r="W129">
        <v>196</v>
      </c>
      <c r="X129">
        <v>22</v>
      </c>
      <c r="Y129">
        <v>1465.45</v>
      </c>
      <c r="Z129">
        <v>399.02</v>
      </c>
      <c r="AA129" s="9">
        <v>1864.47</v>
      </c>
      <c r="AB129" t="s">
        <v>52</v>
      </c>
      <c r="AC129">
        <v>0</v>
      </c>
      <c r="AD129">
        <v>93.84</v>
      </c>
      <c r="AE129">
        <v>179</v>
      </c>
      <c r="AF129">
        <v>221</v>
      </c>
      <c r="AG129" s="11">
        <f>Supply_Chain[[#This Row],[Total_Cost]]/Supply_Chain[[#This Row],[Stock_On_Hand]]</f>
        <v>0.44862127045235806</v>
      </c>
    </row>
    <row r="130" spans="1:33" x14ac:dyDescent="0.25">
      <c r="A130" t="s">
        <v>542</v>
      </c>
      <c r="B130" t="s">
        <v>543</v>
      </c>
      <c r="C130" s="1">
        <v>43911</v>
      </c>
      <c r="D130" s="1">
        <v>44557</v>
      </c>
      <c r="E130" t="s">
        <v>43</v>
      </c>
      <c r="F130" t="s">
        <v>115</v>
      </c>
      <c r="G130" t="s">
        <v>91</v>
      </c>
      <c r="H130" t="s">
        <v>92</v>
      </c>
      <c r="I130" s="3" t="s">
        <v>2739</v>
      </c>
      <c r="J130" s="3" t="s">
        <v>3518</v>
      </c>
      <c r="K130" s="3" t="s">
        <v>3521</v>
      </c>
      <c r="L130" s="3" t="s">
        <v>3539</v>
      </c>
      <c r="M130">
        <v>174.3</v>
      </c>
      <c r="N130">
        <v>44</v>
      </c>
      <c r="O130">
        <f>Supply_Chain[[#This Row],[Unit_Price]]*Supply_Chain[[#This Row],[Quantity]]</f>
        <v>7669.2000000000007</v>
      </c>
      <c r="P130" t="s">
        <v>544</v>
      </c>
      <c r="Q130" t="s">
        <v>35</v>
      </c>
      <c r="R130" t="s">
        <v>419</v>
      </c>
      <c r="S130" t="s">
        <v>119</v>
      </c>
      <c r="T130" t="s">
        <v>38</v>
      </c>
      <c r="U130" t="s">
        <v>545</v>
      </c>
      <c r="V130">
        <v>3843</v>
      </c>
      <c r="W130">
        <v>143</v>
      </c>
      <c r="X130">
        <v>12</v>
      </c>
      <c r="Y130">
        <v>511.53</v>
      </c>
      <c r="Z130">
        <v>444.71</v>
      </c>
      <c r="AA130" s="9">
        <v>956.24</v>
      </c>
      <c r="AB130" t="s">
        <v>52</v>
      </c>
      <c r="AC130">
        <v>0</v>
      </c>
      <c r="AD130">
        <v>71.31</v>
      </c>
      <c r="AE130">
        <v>276</v>
      </c>
      <c r="AF130">
        <v>293</v>
      </c>
      <c r="AG130" s="11">
        <f>Supply_Chain[[#This Row],[Total_Cost]]/Supply_Chain[[#This Row],[Stock_On_Hand]]</f>
        <v>0.2488264376788967</v>
      </c>
    </row>
    <row r="131" spans="1:33" x14ac:dyDescent="0.25">
      <c r="A131" t="s">
        <v>546</v>
      </c>
      <c r="B131" t="s">
        <v>547</v>
      </c>
      <c r="C131" s="1">
        <v>44761</v>
      </c>
      <c r="D131" s="1">
        <v>45191</v>
      </c>
      <c r="E131" t="s">
        <v>30</v>
      </c>
      <c r="F131" t="s">
        <v>64</v>
      </c>
      <c r="G131" t="s">
        <v>247</v>
      </c>
      <c r="H131" t="s">
        <v>92</v>
      </c>
      <c r="I131" s="3" t="s">
        <v>2863</v>
      </c>
      <c r="J131" s="3" t="s">
        <v>3518</v>
      </c>
      <c r="K131" s="3" t="s">
        <v>3525</v>
      </c>
      <c r="L131" s="3" t="s">
        <v>3662</v>
      </c>
      <c r="M131">
        <v>433.76</v>
      </c>
      <c r="N131">
        <v>77</v>
      </c>
      <c r="O131">
        <f>Supply_Chain[[#This Row],[Unit_Price]]*Supply_Chain[[#This Row],[Quantity]]</f>
        <v>33399.519999999997</v>
      </c>
      <c r="P131" t="s">
        <v>548</v>
      </c>
      <c r="Q131" t="s">
        <v>110</v>
      </c>
      <c r="R131" t="s">
        <v>377</v>
      </c>
      <c r="S131" t="s">
        <v>70</v>
      </c>
      <c r="T131" t="s">
        <v>71</v>
      </c>
      <c r="U131" t="s">
        <v>265</v>
      </c>
      <c r="V131">
        <v>2214</v>
      </c>
      <c r="W131">
        <v>80</v>
      </c>
      <c r="X131">
        <v>18</v>
      </c>
      <c r="Y131">
        <v>124.32</v>
      </c>
      <c r="Z131">
        <v>181.16</v>
      </c>
      <c r="AA131" s="9">
        <v>305.48</v>
      </c>
      <c r="AB131" t="s">
        <v>52</v>
      </c>
      <c r="AC131">
        <v>0</v>
      </c>
      <c r="AD131">
        <v>87.48</v>
      </c>
      <c r="AE131">
        <v>397</v>
      </c>
      <c r="AF131">
        <v>363</v>
      </c>
      <c r="AG131" s="11">
        <f>Supply_Chain[[#This Row],[Total_Cost]]/Supply_Chain[[#This Row],[Stock_On_Hand]]</f>
        <v>0.13797651309846432</v>
      </c>
    </row>
    <row r="132" spans="1:33" x14ac:dyDescent="0.25">
      <c r="A132" t="s">
        <v>549</v>
      </c>
      <c r="B132" t="s">
        <v>550</v>
      </c>
      <c r="C132" s="1">
        <v>45500</v>
      </c>
      <c r="D132" s="1">
        <v>43875</v>
      </c>
      <c r="E132" t="s">
        <v>55</v>
      </c>
      <c r="F132" t="s">
        <v>115</v>
      </c>
      <c r="G132" t="s">
        <v>91</v>
      </c>
      <c r="H132" t="s">
        <v>33</v>
      </c>
      <c r="I132" s="3" t="s">
        <v>2864</v>
      </c>
      <c r="J132" s="3" t="s">
        <v>84</v>
      </c>
      <c r="K132" s="3" t="s">
        <v>3526</v>
      </c>
      <c r="L132" s="3" t="s">
        <v>3663</v>
      </c>
      <c r="M132">
        <v>162.28</v>
      </c>
      <c r="N132">
        <v>18</v>
      </c>
      <c r="O132">
        <f>Supply_Chain[[#This Row],[Unit_Price]]*Supply_Chain[[#This Row],[Quantity]]</f>
        <v>2921.04</v>
      </c>
      <c r="P132" t="s">
        <v>551</v>
      </c>
      <c r="Q132" t="s">
        <v>35</v>
      </c>
      <c r="R132" t="s">
        <v>419</v>
      </c>
      <c r="S132" t="s">
        <v>37</v>
      </c>
      <c r="T132" t="s">
        <v>38</v>
      </c>
      <c r="U132" t="s">
        <v>446</v>
      </c>
      <c r="V132">
        <v>2264</v>
      </c>
      <c r="W132">
        <v>327</v>
      </c>
      <c r="X132">
        <v>8</v>
      </c>
      <c r="Y132">
        <v>1549.07</v>
      </c>
      <c r="Z132">
        <v>362.81</v>
      </c>
      <c r="AA132" s="9">
        <v>1911.88</v>
      </c>
      <c r="AB132" t="s">
        <v>52</v>
      </c>
      <c r="AC132">
        <v>0</v>
      </c>
      <c r="AD132">
        <v>98.42</v>
      </c>
      <c r="AE132">
        <v>206</v>
      </c>
      <c r="AF132">
        <v>192</v>
      </c>
      <c r="AG132" s="11">
        <f>Supply_Chain[[#This Row],[Total_Cost]]/Supply_Chain[[#This Row],[Stock_On_Hand]]</f>
        <v>0.84446996466431101</v>
      </c>
    </row>
    <row r="133" spans="1:33" x14ac:dyDescent="0.25">
      <c r="A133" t="s">
        <v>552</v>
      </c>
      <c r="B133" t="s">
        <v>553</v>
      </c>
      <c r="C133" s="1">
        <v>45475</v>
      </c>
      <c r="D133" s="1">
        <v>44238</v>
      </c>
      <c r="E133" t="s">
        <v>30</v>
      </c>
      <c r="F133" t="s">
        <v>64</v>
      </c>
      <c r="G133" t="s">
        <v>91</v>
      </c>
      <c r="H133" t="s">
        <v>57</v>
      </c>
      <c r="I133" s="3" t="s">
        <v>2865</v>
      </c>
      <c r="J133" s="3" t="s">
        <v>84</v>
      </c>
      <c r="K133" s="3" t="s">
        <v>3526</v>
      </c>
      <c r="L133" s="3" t="s">
        <v>3664</v>
      </c>
      <c r="M133">
        <v>459.38</v>
      </c>
      <c r="N133">
        <v>76</v>
      </c>
      <c r="O133">
        <f>Supply_Chain[[#This Row],[Unit_Price]]*Supply_Chain[[#This Row],[Quantity]]</f>
        <v>34912.879999999997</v>
      </c>
      <c r="P133" t="s">
        <v>513</v>
      </c>
      <c r="Q133" t="s">
        <v>86</v>
      </c>
      <c r="R133" t="s">
        <v>130</v>
      </c>
      <c r="S133" t="s">
        <v>37</v>
      </c>
      <c r="T133" t="s">
        <v>79</v>
      </c>
      <c r="U133" t="s">
        <v>331</v>
      </c>
      <c r="V133">
        <v>3027</v>
      </c>
      <c r="W133">
        <v>260</v>
      </c>
      <c r="X133">
        <v>3</v>
      </c>
      <c r="Y133">
        <v>1250.55</v>
      </c>
      <c r="Z133">
        <v>208.57</v>
      </c>
      <c r="AA133" s="9">
        <v>1459.12</v>
      </c>
      <c r="AB133" t="s">
        <v>52</v>
      </c>
      <c r="AC133">
        <v>0</v>
      </c>
      <c r="AD133">
        <v>75.989999999999995</v>
      </c>
      <c r="AE133">
        <v>289</v>
      </c>
      <c r="AF133">
        <v>281</v>
      </c>
      <c r="AG133" s="11">
        <f>Supply_Chain[[#This Row],[Total_Cost]]/Supply_Chain[[#This Row],[Stock_On_Hand]]</f>
        <v>0.48203501816980504</v>
      </c>
    </row>
    <row r="134" spans="1:33" x14ac:dyDescent="0.25">
      <c r="A134" t="s">
        <v>554</v>
      </c>
      <c r="B134" t="s">
        <v>555</v>
      </c>
      <c r="C134" s="1">
        <v>45184</v>
      </c>
      <c r="D134" s="1">
        <v>44324</v>
      </c>
      <c r="E134" t="s">
        <v>43</v>
      </c>
      <c r="F134" t="s">
        <v>115</v>
      </c>
      <c r="G134" t="s">
        <v>65</v>
      </c>
      <c r="H134" t="s">
        <v>166</v>
      </c>
      <c r="I134" s="3" t="s">
        <v>2744</v>
      </c>
      <c r="J134" s="3" t="s">
        <v>84</v>
      </c>
      <c r="K134" s="3" t="s">
        <v>3526</v>
      </c>
      <c r="L134" s="3" t="s">
        <v>3544</v>
      </c>
      <c r="M134">
        <v>412.6</v>
      </c>
      <c r="N134">
        <v>49</v>
      </c>
      <c r="O134">
        <f>Supply_Chain[[#This Row],[Unit_Price]]*Supply_Chain[[#This Row],[Quantity]]</f>
        <v>20217.400000000001</v>
      </c>
      <c r="P134" t="s">
        <v>556</v>
      </c>
      <c r="Q134" t="s">
        <v>35</v>
      </c>
      <c r="R134" t="s">
        <v>36</v>
      </c>
      <c r="S134" t="s">
        <v>119</v>
      </c>
      <c r="T134" t="s">
        <v>38</v>
      </c>
      <c r="U134" t="s">
        <v>331</v>
      </c>
      <c r="V134">
        <v>271</v>
      </c>
      <c r="W134">
        <v>273</v>
      </c>
      <c r="X134">
        <v>10</v>
      </c>
      <c r="Y134">
        <v>1395.59</v>
      </c>
      <c r="Z134">
        <v>186.98</v>
      </c>
      <c r="AA134" s="9">
        <v>1582.57</v>
      </c>
      <c r="AB134" t="s">
        <v>52</v>
      </c>
      <c r="AC134">
        <v>0</v>
      </c>
      <c r="AD134">
        <v>85.41</v>
      </c>
      <c r="AE134">
        <v>245</v>
      </c>
      <c r="AF134">
        <v>221</v>
      </c>
      <c r="AG134" s="11">
        <f>Supply_Chain[[#This Row],[Total_Cost]]/Supply_Chain[[#This Row],[Stock_On_Hand]]</f>
        <v>5.839741697416974</v>
      </c>
    </row>
    <row r="135" spans="1:33" x14ac:dyDescent="0.25">
      <c r="A135" t="s">
        <v>557</v>
      </c>
      <c r="B135" t="s">
        <v>558</v>
      </c>
      <c r="C135" s="1">
        <v>44568</v>
      </c>
      <c r="D135" s="1">
        <v>44896</v>
      </c>
      <c r="E135" t="s">
        <v>43</v>
      </c>
      <c r="F135" t="s">
        <v>44</v>
      </c>
      <c r="G135" t="s">
        <v>247</v>
      </c>
      <c r="H135" t="s">
        <v>66</v>
      </c>
      <c r="I135" s="3" t="s">
        <v>2773</v>
      </c>
      <c r="J135" s="3" t="s">
        <v>84</v>
      </c>
      <c r="K135" s="3" t="s">
        <v>3529</v>
      </c>
      <c r="L135" s="3" t="s">
        <v>3573</v>
      </c>
      <c r="M135">
        <v>375.05</v>
      </c>
      <c r="N135">
        <v>11</v>
      </c>
      <c r="O135">
        <f>Supply_Chain[[#This Row],[Unit_Price]]*Supply_Chain[[#This Row],[Quantity]]</f>
        <v>4125.55</v>
      </c>
      <c r="P135" t="s">
        <v>559</v>
      </c>
      <c r="Q135" t="s">
        <v>68</v>
      </c>
      <c r="R135" t="s">
        <v>135</v>
      </c>
      <c r="S135" t="s">
        <v>37</v>
      </c>
      <c r="T135" t="s">
        <v>71</v>
      </c>
      <c r="U135" t="s">
        <v>440</v>
      </c>
      <c r="V135">
        <v>259</v>
      </c>
      <c r="W135">
        <v>493</v>
      </c>
      <c r="X135">
        <v>4</v>
      </c>
      <c r="Y135">
        <v>735.12</v>
      </c>
      <c r="Z135">
        <v>149.18</v>
      </c>
      <c r="AA135" s="9">
        <v>884.3</v>
      </c>
      <c r="AB135" t="s">
        <v>52</v>
      </c>
      <c r="AC135">
        <v>0</v>
      </c>
      <c r="AD135">
        <v>89.08</v>
      </c>
      <c r="AE135">
        <v>90</v>
      </c>
      <c r="AF135">
        <v>66</v>
      </c>
      <c r="AG135" s="11">
        <f>Supply_Chain[[#This Row],[Total_Cost]]/Supply_Chain[[#This Row],[Stock_On_Hand]]</f>
        <v>3.4142857142857141</v>
      </c>
    </row>
    <row r="136" spans="1:33" x14ac:dyDescent="0.25">
      <c r="A136" t="s">
        <v>560</v>
      </c>
      <c r="B136" t="s">
        <v>561</v>
      </c>
      <c r="C136" s="1">
        <v>44559</v>
      </c>
      <c r="D136" s="1">
        <v>43992</v>
      </c>
      <c r="E136" t="s">
        <v>43</v>
      </c>
      <c r="F136" t="s">
        <v>115</v>
      </c>
      <c r="G136" t="s">
        <v>56</v>
      </c>
      <c r="H136" t="s">
        <v>33</v>
      </c>
      <c r="I136" s="3" t="s">
        <v>2866</v>
      </c>
      <c r="J136" s="3" t="s">
        <v>84</v>
      </c>
      <c r="K136" s="3" t="s">
        <v>3534</v>
      </c>
      <c r="L136" s="3" t="s">
        <v>3665</v>
      </c>
      <c r="M136">
        <v>370.23</v>
      </c>
      <c r="N136">
        <v>60</v>
      </c>
      <c r="O136">
        <f>Supply_Chain[[#This Row],[Unit_Price]]*Supply_Chain[[#This Row],[Quantity]]</f>
        <v>22213.800000000003</v>
      </c>
      <c r="P136" t="s">
        <v>562</v>
      </c>
      <c r="Q136" t="s">
        <v>110</v>
      </c>
      <c r="R136" t="s">
        <v>181</v>
      </c>
      <c r="S136" t="s">
        <v>37</v>
      </c>
      <c r="T136" t="s">
        <v>79</v>
      </c>
      <c r="U136" t="s">
        <v>112</v>
      </c>
      <c r="V136">
        <v>2944</v>
      </c>
      <c r="W136">
        <v>443</v>
      </c>
      <c r="X136">
        <v>7</v>
      </c>
      <c r="Y136">
        <v>782.81</v>
      </c>
      <c r="Z136">
        <v>455.08</v>
      </c>
      <c r="AA136" s="9">
        <v>1237.8900000000001</v>
      </c>
      <c r="AB136" t="s">
        <v>52</v>
      </c>
      <c r="AC136">
        <v>0</v>
      </c>
      <c r="AD136">
        <v>95.67</v>
      </c>
      <c r="AE136">
        <v>443</v>
      </c>
      <c r="AF136">
        <v>490</v>
      </c>
      <c r="AG136" s="11">
        <f>Supply_Chain[[#This Row],[Total_Cost]]/Supply_Chain[[#This Row],[Stock_On_Hand]]</f>
        <v>0.42047894021739135</v>
      </c>
    </row>
    <row r="137" spans="1:33" x14ac:dyDescent="0.25">
      <c r="A137" t="s">
        <v>563</v>
      </c>
      <c r="B137" t="s">
        <v>564</v>
      </c>
      <c r="C137" s="1">
        <v>44683</v>
      </c>
      <c r="D137" s="1">
        <v>43868</v>
      </c>
      <c r="E137" t="s">
        <v>55</v>
      </c>
      <c r="F137" t="s">
        <v>64</v>
      </c>
      <c r="G137" t="s">
        <v>56</v>
      </c>
      <c r="H137" t="s">
        <v>128</v>
      </c>
      <c r="I137" s="3" t="s">
        <v>2867</v>
      </c>
      <c r="J137" s="3" t="s">
        <v>3518</v>
      </c>
      <c r="K137" s="3" t="s">
        <v>3527</v>
      </c>
      <c r="L137" s="3" t="s">
        <v>3666</v>
      </c>
      <c r="M137">
        <v>160.32</v>
      </c>
      <c r="N137">
        <v>64</v>
      </c>
      <c r="O137">
        <f>Supply_Chain[[#This Row],[Unit_Price]]*Supply_Chain[[#This Row],[Quantity]]</f>
        <v>10260.48</v>
      </c>
      <c r="P137" t="s">
        <v>565</v>
      </c>
      <c r="Q137" t="s">
        <v>35</v>
      </c>
      <c r="R137" t="s">
        <v>290</v>
      </c>
      <c r="S137" t="s">
        <v>50</v>
      </c>
      <c r="T137" t="s">
        <v>100</v>
      </c>
      <c r="U137" t="s">
        <v>302</v>
      </c>
      <c r="V137">
        <v>4730</v>
      </c>
      <c r="W137">
        <v>308</v>
      </c>
      <c r="X137">
        <v>7</v>
      </c>
      <c r="Y137">
        <v>1498.63</v>
      </c>
      <c r="Z137">
        <v>346.9</v>
      </c>
      <c r="AA137" s="9">
        <v>1845.53</v>
      </c>
      <c r="AB137" t="s">
        <v>52</v>
      </c>
      <c r="AC137">
        <v>0</v>
      </c>
      <c r="AD137">
        <v>72.98</v>
      </c>
      <c r="AE137">
        <v>141</v>
      </c>
      <c r="AF137">
        <v>93</v>
      </c>
      <c r="AG137" s="11">
        <f>Supply_Chain[[#This Row],[Total_Cost]]/Supply_Chain[[#This Row],[Stock_On_Hand]]</f>
        <v>0.39017547568710359</v>
      </c>
    </row>
    <row r="138" spans="1:33" x14ac:dyDescent="0.25">
      <c r="A138" t="s">
        <v>566</v>
      </c>
      <c r="B138" t="s">
        <v>567</v>
      </c>
      <c r="C138" s="1">
        <v>44677</v>
      </c>
      <c r="D138" s="1">
        <v>44181</v>
      </c>
      <c r="E138" t="s">
        <v>43</v>
      </c>
      <c r="F138" t="s">
        <v>31</v>
      </c>
      <c r="G138" t="s">
        <v>45</v>
      </c>
      <c r="H138" t="s">
        <v>92</v>
      </c>
      <c r="I138" s="3" t="s">
        <v>2868</v>
      </c>
      <c r="J138" s="3" t="s">
        <v>3518</v>
      </c>
      <c r="K138" s="3" t="s">
        <v>3521</v>
      </c>
      <c r="L138" s="3" t="s">
        <v>3667</v>
      </c>
      <c r="M138">
        <v>65.790000000000006</v>
      </c>
      <c r="N138">
        <v>75</v>
      </c>
      <c r="O138">
        <f>Supply_Chain[[#This Row],[Unit_Price]]*Supply_Chain[[#This Row],[Quantity]]</f>
        <v>4934.2500000000009</v>
      </c>
      <c r="P138" t="s">
        <v>568</v>
      </c>
      <c r="Q138" t="s">
        <v>48</v>
      </c>
      <c r="R138" t="s">
        <v>327</v>
      </c>
      <c r="S138" t="s">
        <v>50</v>
      </c>
      <c r="T138" t="s">
        <v>79</v>
      </c>
      <c r="U138" t="s">
        <v>196</v>
      </c>
      <c r="V138">
        <v>125</v>
      </c>
      <c r="W138">
        <v>337</v>
      </c>
      <c r="X138">
        <v>25</v>
      </c>
      <c r="Y138">
        <v>1257.97</v>
      </c>
      <c r="Z138">
        <v>119.74</v>
      </c>
      <c r="AA138" s="9">
        <v>1377.71</v>
      </c>
      <c r="AB138" t="s">
        <v>52</v>
      </c>
      <c r="AC138">
        <v>0</v>
      </c>
      <c r="AD138">
        <v>77.739999999999995</v>
      </c>
      <c r="AE138">
        <v>138</v>
      </c>
      <c r="AF138">
        <v>117</v>
      </c>
      <c r="AG138" s="11">
        <f>Supply_Chain[[#This Row],[Total_Cost]]/Supply_Chain[[#This Row],[Stock_On_Hand]]</f>
        <v>11.02168</v>
      </c>
    </row>
    <row r="139" spans="1:33" x14ac:dyDescent="0.25">
      <c r="A139" t="s">
        <v>569</v>
      </c>
      <c r="B139" t="s">
        <v>570</v>
      </c>
      <c r="C139" s="1">
        <v>45628</v>
      </c>
      <c r="D139" s="1">
        <v>44154</v>
      </c>
      <c r="E139" t="s">
        <v>43</v>
      </c>
      <c r="F139" t="s">
        <v>75</v>
      </c>
      <c r="G139" t="s">
        <v>91</v>
      </c>
      <c r="H139" t="s">
        <v>92</v>
      </c>
      <c r="I139" s="3" t="s">
        <v>2869</v>
      </c>
      <c r="J139" s="3" t="s">
        <v>3518</v>
      </c>
      <c r="K139" s="3" t="s">
        <v>3524</v>
      </c>
      <c r="L139" s="3" t="s">
        <v>3668</v>
      </c>
      <c r="M139">
        <v>192.94</v>
      </c>
      <c r="N139">
        <v>20</v>
      </c>
      <c r="O139">
        <f>Supply_Chain[[#This Row],[Unit_Price]]*Supply_Chain[[#This Row],[Quantity]]</f>
        <v>3858.8</v>
      </c>
      <c r="P139" t="s">
        <v>571</v>
      </c>
      <c r="Q139" t="s">
        <v>48</v>
      </c>
      <c r="R139" t="s">
        <v>145</v>
      </c>
      <c r="S139" t="s">
        <v>119</v>
      </c>
      <c r="T139" t="s">
        <v>71</v>
      </c>
      <c r="U139" t="s">
        <v>223</v>
      </c>
      <c r="V139">
        <v>1084</v>
      </c>
      <c r="W139">
        <v>90</v>
      </c>
      <c r="X139">
        <v>10</v>
      </c>
      <c r="Y139">
        <v>1206.45</v>
      </c>
      <c r="Z139">
        <v>218.17</v>
      </c>
      <c r="AA139" s="9">
        <v>1424.62</v>
      </c>
      <c r="AB139" t="s">
        <v>52</v>
      </c>
      <c r="AC139">
        <v>0</v>
      </c>
      <c r="AD139">
        <v>75.22</v>
      </c>
      <c r="AE139">
        <v>440</v>
      </c>
      <c r="AF139">
        <v>478</v>
      </c>
      <c r="AG139" s="11">
        <f>Supply_Chain[[#This Row],[Total_Cost]]/Supply_Chain[[#This Row],[Stock_On_Hand]]</f>
        <v>1.3142250922509224</v>
      </c>
    </row>
    <row r="140" spans="1:33" x14ac:dyDescent="0.25">
      <c r="A140" t="s">
        <v>572</v>
      </c>
      <c r="B140" t="s">
        <v>573</v>
      </c>
      <c r="C140" s="1">
        <v>45372</v>
      </c>
      <c r="D140" s="1">
        <v>45131</v>
      </c>
      <c r="E140" t="s">
        <v>55</v>
      </c>
      <c r="F140" t="s">
        <v>115</v>
      </c>
      <c r="G140" t="s">
        <v>247</v>
      </c>
      <c r="H140" t="s">
        <v>116</v>
      </c>
      <c r="I140" s="3" t="s">
        <v>2817</v>
      </c>
      <c r="J140" s="3" t="s">
        <v>3518</v>
      </c>
      <c r="K140" s="3" t="s">
        <v>3524</v>
      </c>
      <c r="L140" s="3" t="s">
        <v>3616</v>
      </c>
      <c r="M140">
        <v>427</v>
      </c>
      <c r="N140">
        <v>34</v>
      </c>
      <c r="O140">
        <f>Supply_Chain[[#This Row],[Unit_Price]]*Supply_Chain[[#This Row],[Quantity]]</f>
        <v>14518</v>
      </c>
      <c r="P140" t="s">
        <v>574</v>
      </c>
      <c r="Q140" t="s">
        <v>86</v>
      </c>
      <c r="R140" t="s">
        <v>49</v>
      </c>
      <c r="S140" t="s">
        <v>37</v>
      </c>
      <c r="T140" t="s">
        <v>38</v>
      </c>
      <c r="U140" t="s">
        <v>191</v>
      </c>
      <c r="V140">
        <v>274</v>
      </c>
      <c r="W140">
        <v>386</v>
      </c>
      <c r="X140">
        <v>19</v>
      </c>
      <c r="Y140">
        <v>606.52</v>
      </c>
      <c r="Z140">
        <v>196.42</v>
      </c>
      <c r="AA140" s="9">
        <v>802.93999999999994</v>
      </c>
      <c r="AB140" t="s">
        <v>52</v>
      </c>
      <c r="AC140">
        <v>0</v>
      </c>
      <c r="AD140">
        <v>76.52</v>
      </c>
      <c r="AE140">
        <v>61</v>
      </c>
      <c r="AF140">
        <v>83</v>
      </c>
      <c r="AG140" s="11">
        <f>Supply_Chain[[#This Row],[Total_Cost]]/Supply_Chain[[#This Row],[Stock_On_Hand]]</f>
        <v>2.9304379562043792</v>
      </c>
    </row>
    <row r="141" spans="1:33" x14ac:dyDescent="0.25">
      <c r="A141" t="s">
        <v>575</v>
      </c>
      <c r="B141" t="s">
        <v>576</v>
      </c>
      <c r="C141" s="1">
        <v>44002</v>
      </c>
      <c r="D141" s="1">
        <v>43861</v>
      </c>
      <c r="E141" t="s">
        <v>55</v>
      </c>
      <c r="F141" t="s">
        <v>44</v>
      </c>
      <c r="G141" t="s">
        <v>76</v>
      </c>
      <c r="H141" t="s">
        <v>92</v>
      </c>
      <c r="I141" s="3" t="s">
        <v>2870</v>
      </c>
      <c r="J141" s="3" t="s">
        <v>3519</v>
      </c>
      <c r="K141" s="3" t="s">
        <v>3528</v>
      </c>
      <c r="L141" s="3" t="s">
        <v>3669</v>
      </c>
      <c r="M141">
        <v>43.02</v>
      </c>
      <c r="N141">
        <v>95</v>
      </c>
      <c r="O141">
        <f>Supply_Chain[[#This Row],[Unit_Price]]*Supply_Chain[[#This Row],[Quantity]]</f>
        <v>4086.9</v>
      </c>
      <c r="P141" t="s">
        <v>425</v>
      </c>
      <c r="Q141" t="s">
        <v>68</v>
      </c>
      <c r="R141" t="s">
        <v>369</v>
      </c>
      <c r="S141" t="s">
        <v>70</v>
      </c>
      <c r="T141" t="s">
        <v>71</v>
      </c>
      <c r="U141" t="s">
        <v>223</v>
      </c>
      <c r="V141">
        <v>471</v>
      </c>
      <c r="W141">
        <v>439</v>
      </c>
      <c r="X141">
        <v>13</v>
      </c>
      <c r="Y141">
        <v>1716.32</v>
      </c>
      <c r="Z141">
        <v>170.88</v>
      </c>
      <c r="AA141" s="9">
        <v>1887.2</v>
      </c>
      <c r="AB141" t="s">
        <v>52</v>
      </c>
      <c r="AC141">
        <v>0</v>
      </c>
      <c r="AD141">
        <v>99.86</v>
      </c>
      <c r="AE141">
        <v>98</v>
      </c>
      <c r="AF141">
        <v>110</v>
      </c>
      <c r="AG141" s="11">
        <f>Supply_Chain[[#This Row],[Total_Cost]]/Supply_Chain[[#This Row],[Stock_On_Hand]]</f>
        <v>4.0067940552016985</v>
      </c>
    </row>
    <row r="142" spans="1:33" x14ac:dyDescent="0.25">
      <c r="A142" t="s">
        <v>577</v>
      </c>
      <c r="B142" t="s">
        <v>578</v>
      </c>
      <c r="C142" s="1">
        <v>44765</v>
      </c>
      <c r="D142" s="1">
        <v>44370</v>
      </c>
      <c r="E142" t="s">
        <v>43</v>
      </c>
      <c r="F142" t="s">
        <v>64</v>
      </c>
      <c r="G142" t="s">
        <v>45</v>
      </c>
      <c r="H142" t="s">
        <v>128</v>
      </c>
      <c r="I142" s="3" t="s">
        <v>2766</v>
      </c>
      <c r="J142" s="3" t="s">
        <v>3518</v>
      </c>
      <c r="K142" s="3" t="s">
        <v>3532</v>
      </c>
      <c r="L142" s="3" t="s">
        <v>3566</v>
      </c>
      <c r="M142">
        <v>188.39</v>
      </c>
      <c r="N142">
        <v>42</v>
      </c>
      <c r="O142">
        <f>Supply_Chain[[#This Row],[Unit_Price]]*Supply_Chain[[#This Row],[Quantity]]</f>
        <v>7912.3799999999992</v>
      </c>
      <c r="P142" t="s">
        <v>579</v>
      </c>
      <c r="Q142" t="s">
        <v>86</v>
      </c>
      <c r="R142" t="s">
        <v>231</v>
      </c>
      <c r="S142" t="s">
        <v>119</v>
      </c>
      <c r="T142" t="s">
        <v>60</v>
      </c>
      <c r="U142" t="s">
        <v>80</v>
      </c>
      <c r="V142">
        <v>3381</v>
      </c>
      <c r="W142">
        <v>456</v>
      </c>
      <c r="X142">
        <v>26</v>
      </c>
      <c r="Y142">
        <v>148.61000000000001</v>
      </c>
      <c r="Z142">
        <v>155.62</v>
      </c>
      <c r="AA142" s="9">
        <v>304.23</v>
      </c>
      <c r="AB142" t="s">
        <v>52</v>
      </c>
      <c r="AC142">
        <v>0</v>
      </c>
      <c r="AD142">
        <v>70.540000000000006</v>
      </c>
      <c r="AE142">
        <v>167</v>
      </c>
      <c r="AF142">
        <v>177</v>
      </c>
      <c r="AG142" s="11">
        <f>Supply_Chain[[#This Row],[Total_Cost]]/Supply_Chain[[#This Row],[Stock_On_Hand]]</f>
        <v>8.9982253771073648E-2</v>
      </c>
    </row>
    <row r="143" spans="1:33" x14ac:dyDescent="0.25">
      <c r="A143" t="s">
        <v>580</v>
      </c>
      <c r="B143" t="s">
        <v>581</v>
      </c>
      <c r="C143" s="1">
        <v>43955</v>
      </c>
      <c r="D143" s="1">
        <v>43879</v>
      </c>
      <c r="E143" t="s">
        <v>55</v>
      </c>
      <c r="F143" t="s">
        <v>31</v>
      </c>
      <c r="G143" t="s">
        <v>45</v>
      </c>
      <c r="H143" t="s">
        <v>92</v>
      </c>
      <c r="I143" s="3" t="s">
        <v>2871</v>
      </c>
      <c r="J143" s="3" t="s">
        <v>3518</v>
      </c>
      <c r="K143" s="3" t="s">
        <v>3521</v>
      </c>
      <c r="L143" s="3" t="s">
        <v>3670</v>
      </c>
      <c r="M143">
        <v>389.94</v>
      </c>
      <c r="N143">
        <v>22</v>
      </c>
      <c r="O143">
        <f>Supply_Chain[[#This Row],[Unit_Price]]*Supply_Chain[[#This Row],[Quantity]]</f>
        <v>8578.68</v>
      </c>
      <c r="P143" t="s">
        <v>582</v>
      </c>
      <c r="Q143" t="s">
        <v>110</v>
      </c>
      <c r="R143" t="s">
        <v>135</v>
      </c>
      <c r="S143" t="s">
        <v>37</v>
      </c>
      <c r="T143" t="s">
        <v>60</v>
      </c>
      <c r="U143" t="s">
        <v>291</v>
      </c>
      <c r="V143">
        <v>204</v>
      </c>
      <c r="W143">
        <v>182</v>
      </c>
      <c r="X143">
        <v>25</v>
      </c>
      <c r="Y143">
        <v>1817.67</v>
      </c>
      <c r="Z143">
        <v>458.36</v>
      </c>
      <c r="AA143" s="9">
        <v>2276.0300000000002</v>
      </c>
      <c r="AB143" t="s">
        <v>52</v>
      </c>
      <c r="AC143">
        <v>0</v>
      </c>
      <c r="AD143">
        <v>79.989999999999995</v>
      </c>
      <c r="AE143">
        <v>305</v>
      </c>
      <c r="AF143">
        <v>259</v>
      </c>
      <c r="AG143" s="11">
        <f>Supply_Chain[[#This Row],[Total_Cost]]/Supply_Chain[[#This Row],[Stock_On_Hand]]</f>
        <v>11.15700980392157</v>
      </c>
    </row>
    <row r="144" spans="1:33" x14ac:dyDescent="0.25">
      <c r="A144" t="s">
        <v>583</v>
      </c>
      <c r="B144" t="s">
        <v>584</v>
      </c>
      <c r="C144" s="1">
        <v>45242</v>
      </c>
      <c r="D144" s="1">
        <v>45637</v>
      </c>
      <c r="E144" t="s">
        <v>30</v>
      </c>
      <c r="F144" t="s">
        <v>75</v>
      </c>
      <c r="G144" t="s">
        <v>56</v>
      </c>
      <c r="H144" t="s">
        <v>128</v>
      </c>
      <c r="I144" s="3" t="s">
        <v>2872</v>
      </c>
      <c r="J144" s="3" t="s">
        <v>3518</v>
      </c>
      <c r="K144" s="3" t="s">
        <v>3521</v>
      </c>
      <c r="L144" s="3" t="s">
        <v>3671</v>
      </c>
      <c r="M144">
        <v>477.85</v>
      </c>
      <c r="N144">
        <v>55</v>
      </c>
      <c r="O144">
        <f>Supply_Chain[[#This Row],[Unit_Price]]*Supply_Chain[[#This Row],[Quantity]]</f>
        <v>26281.75</v>
      </c>
      <c r="P144" t="s">
        <v>585</v>
      </c>
      <c r="Q144" t="s">
        <v>86</v>
      </c>
      <c r="R144" t="s">
        <v>290</v>
      </c>
      <c r="S144" t="s">
        <v>37</v>
      </c>
      <c r="T144" t="s">
        <v>79</v>
      </c>
      <c r="U144" t="s">
        <v>440</v>
      </c>
      <c r="V144">
        <v>1234</v>
      </c>
      <c r="W144">
        <v>317</v>
      </c>
      <c r="X144">
        <v>26</v>
      </c>
      <c r="Y144">
        <v>1766.82</v>
      </c>
      <c r="Z144">
        <v>294.64</v>
      </c>
      <c r="AA144" s="9">
        <v>2061.46</v>
      </c>
      <c r="AB144" t="s">
        <v>52</v>
      </c>
      <c r="AC144">
        <v>0</v>
      </c>
      <c r="AD144">
        <v>98.62</v>
      </c>
      <c r="AE144">
        <v>265</v>
      </c>
      <c r="AF144">
        <v>262</v>
      </c>
      <c r="AG144" s="11">
        <f>Supply_Chain[[#This Row],[Total_Cost]]/Supply_Chain[[#This Row],[Stock_On_Hand]]</f>
        <v>1.6705510534846029</v>
      </c>
    </row>
    <row r="145" spans="1:33" x14ac:dyDescent="0.25">
      <c r="A145" t="s">
        <v>586</v>
      </c>
      <c r="B145" t="s">
        <v>587</v>
      </c>
      <c r="C145" s="1">
        <v>45653</v>
      </c>
      <c r="D145" s="1">
        <v>44599</v>
      </c>
      <c r="E145" t="s">
        <v>55</v>
      </c>
      <c r="F145" t="s">
        <v>75</v>
      </c>
      <c r="G145" t="s">
        <v>76</v>
      </c>
      <c r="H145" t="s">
        <v>116</v>
      </c>
      <c r="I145" s="3" t="s">
        <v>2873</v>
      </c>
      <c r="J145" s="3" t="s">
        <v>3519</v>
      </c>
      <c r="K145" s="3" t="s">
        <v>3530</v>
      </c>
      <c r="L145" s="3" t="s">
        <v>3672</v>
      </c>
      <c r="M145">
        <v>270.39999999999998</v>
      </c>
      <c r="N145">
        <v>2</v>
      </c>
      <c r="O145">
        <f>Supply_Chain[[#This Row],[Unit_Price]]*Supply_Chain[[#This Row],[Quantity]]</f>
        <v>540.79999999999995</v>
      </c>
      <c r="P145" t="s">
        <v>588</v>
      </c>
      <c r="Q145" t="s">
        <v>48</v>
      </c>
      <c r="R145" t="s">
        <v>369</v>
      </c>
      <c r="S145" t="s">
        <v>37</v>
      </c>
      <c r="T145" t="s">
        <v>38</v>
      </c>
      <c r="U145" t="s">
        <v>241</v>
      </c>
      <c r="V145">
        <v>4892</v>
      </c>
      <c r="W145">
        <v>93</v>
      </c>
      <c r="X145">
        <v>15</v>
      </c>
      <c r="Y145">
        <v>1441.47</v>
      </c>
      <c r="Z145">
        <v>468.77</v>
      </c>
      <c r="AA145" s="9">
        <v>1910.24</v>
      </c>
      <c r="AB145" t="s">
        <v>52</v>
      </c>
      <c r="AC145">
        <v>0</v>
      </c>
      <c r="AD145">
        <v>83.11</v>
      </c>
      <c r="AE145">
        <v>433</v>
      </c>
      <c r="AF145">
        <v>395</v>
      </c>
      <c r="AG145" s="11">
        <f>Supply_Chain[[#This Row],[Total_Cost]]/Supply_Chain[[#This Row],[Stock_On_Hand]]</f>
        <v>0.39048242027800489</v>
      </c>
    </row>
    <row r="146" spans="1:33" x14ac:dyDescent="0.25">
      <c r="A146" t="s">
        <v>589</v>
      </c>
      <c r="B146" t="s">
        <v>590</v>
      </c>
      <c r="C146" s="1">
        <v>44880</v>
      </c>
      <c r="D146" s="1">
        <v>45020</v>
      </c>
      <c r="E146" t="s">
        <v>43</v>
      </c>
      <c r="F146" t="s">
        <v>75</v>
      </c>
      <c r="G146" t="s">
        <v>65</v>
      </c>
      <c r="H146" t="s">
        <v>66</v>
      </c>
      <c r="I146" s="3" t="s">
        <v>2778</v>
      </c>
      <c r="J146" s="3" t="s">
        <v>84</v>
      </c>
      <c r="K146" s="3" t="s">
        <v>3531</v>
      </c>
      <c r="L146" s="3" t="s">
        <v>3578</v>
      </c>
      <c r="M146">
        <v>118.65</v>
      </c>
      <c r="N146">
        <v>24</v>
      </c>
      <c r="O146">
        <f>Supply_Chain[[#This Row],[Unit_Price]]*Supply_Chain[[#This Row],[Quantity]]</f>
        <v>2847.6000000000004</v>
      </c>
      <c r="P146" t="s">
        <v>472</v>
      </c>
      <c r="Q146" t="s">
        <v>86</v>
      </c>
      <c r="R146" t="s">
        <v>186</v>
      </c>
      <c r="S146" t="s">
        <v>70</v>
      </c>
      <c r="T146" t="s">
        <v>60</v>
      </c>
      <c r="U146" t="s">
        <v>80</v>
      </c>
      <c r="V146">
        <v>2532</v>
      </c>
      <c r="W146">
        <v>228</v>
      </c>
      <c r="X146">
        <v>13</v>
      </c>
      <c r="Y146">
        <v>1737.78</v>
      </c>
      <c r="Z146">
        <v>398.6</v>
      </c>
      <c r="AA146" s="9">
        <v>2136.38</v>
      </c>
      <c r="AB146" t="s">
        <v>52</v>
      </c>
      <c r="AC146">
        <v>0</v>
      </c>
      <c r="AD146">
        <v>93.95</v>
      </c>
      <c r="AE146">
        <v>185</v>
      </c>
      <c r="AF146">
        <v>212</v>
      </c>
      <c r="AG146" s="11">
        <f>Supply_Chain[[#This Row],[Total_Cost]]/Supply_Chain[[#This Row],[Stock_On_Hand]]</f>
        <v>0.8437519747235388</v>
      </c>
    </row>
    <row r="147" spans="1:33" x14ac:dyDescent="0.25">
      <c r="A147" t="s">
        <v>591</v>
      </c>
      <c r="B147" t="s">
        <v>592</v>
      </c>
      <c r="C147" s="1">
        <v>45441</v>
      </c>
      <c r="D147" s="1">
        <v>45057</v>
      </c>
      <c r="E147" t="s">
        <v>43</v>
      </c>
      <c r="F147" t="s">
        <v>44</v>
      </c>
      <c r="G147" t="s">
        <v>76</v>
      </c>
      <c r="H147" t="s">
        <v>128</v>
      </c>
      <c r="I147" s="3" t="s">
        <v>2874</v>
      </c>
      <c r="J147" s="3" t="s">
        <v>84</v>
      </c>
      <c r="K147" s="3" t="s">
        <v>3534</v>
      </c>
      <c r="L147" s="3" t="s">
        <v>3673</v>
      </c>
      <c r="M147">
        <v>104.63</v>
      </c>
      <c r="N147">
        <v>48</v>
      </c>
      <c r="O147">
        <f>Supply_Chain[[#This Row],[Unit_Price]]*Supply_Chain[[#This Row],[Quantity]]</f>
        <v>5022.24</v>
      </c>
      <c r="P147" t="s">
        <v>593</v>
      </c>
      <c r="Q147" t="s">
        <v>35</v>
      </c>
      <c r="R147" t="s">
        <v>105</v>
      </c>
      <c r="S147" t="s">
        <v>37</v>
      </c>
      <c r="T147" t="s">
        <v>79</v>
      </c>
      <c r="U147" t="s">
        <v>356</v>
      </c>
      <c r="V147">
        <v>3923</v>
      </c>
      <c r="W147">
        <v>378</v>
      </c>
      <c r="X147">
        <v>7</v>
      </c>
      <c r="Y147">
        <v>58.27</v>
      </c>
      <c r="Z147">
        <v>190.39</v>
      </c>
      <c r="AA147" s="9">
        <v>248.66</v>
      </c>
      <c r="AB147" t="s">
        <v>52</v>
      </c>
      <c r="AC147">
        <v>0</v>
      </c>
      <c r="AD147">
        <v>82.04</v>
      </c>
      <c r="AE147">
        <v>414</v>
      </c>
      <c r="AF147">
        <v>364</v>
      </c>
      <c r="AG147" s="11">
        <f>Supply_Chain[[#This Row],[Total_Cost]]/Supply_Chain[[#This Row],[Stock_On_Hand]]</f>
        <v>6.3385164414988523E-2</v>
      </c>
    </row>
    <row r="148" spans="1:33" x14ac:dyDescent="0.25">
      <c r="A148" t="s">
        <v>594</v>
      </c>
      <c r="B148" t="s">
        <v>595</v>
      </c>
      <c r="C148" s="1">
        <v>43896</v>
      </c>
      <c r="D148" s="1">
        <v>44590</v>
      </c>
      <c r="E148" t="s">
        <v>55</v>
      </c>
      <c r="F148" t="s">
        <v>75</v>
      </c>
      <c r="G148" t="s">
        <v>247</v>
      </c>
      <c r="H148" t="s">
        <v>92</v>
      </c>
      <c r="I148" s="3" t="s">
        <v>2875</v>
      </c>
      <c r="J148" s="3" t="s">
        <v>3518</v>
      </c>
      <c r="K148" s="3" t="s">
        <v>3533</v>
      </c>
      <c r="L148" s="3" t="s">
        <v>3674</v>
      </c>
      <c r="M148">
        <v>19.82</v>
      </c>
      <c r="N148">
        <v>73</v>
      </c>
      <c r="O148">
        <f>Supply_Chain[[#This Row],[Unit_Price]]*Supply_Chain[[#This Row],[Quantity]]</f>
        <v>1446.8600000000001</v>
      </c>
      <c r="P148" t="s">
        <v>596</v>
      </c>
      <c r="Q148" t="s">
        <v>68</v>
      </c>
      <c r="R148" t="s">
        <v>240</v>
      </c>
      <c r="S148" t="s">
        <v>50</v>
      </c>
      <c r="T148" t="s">
        <v>79</v>
      </c>
      <c r="U148" t="s">
        <v>257</v>
      </c>
      <c r="V148">
        <v>3177</v>
      </c>
      <c r="W148">
        <v>53</v>
      </c>
      <c r="X148">
        <v>12</v>
      </c>
      <c r="Y148">
        <v>1884.99</v>
      </c>
      <c r="Z148">
        <v>406.51</v>
      </c>
      <c r="AA148" s="9">
        <v>2291.5</v>
      </c>
      <c r="AB148" t="s">
        <v>52</v>
      </c>
      <c r="AC148">
        <v>0</v>
      </c>
      <c r="AD148">
        <v>84.2</v>
      </c>
      <c r="AE148">
        <v>135</v>
      </c>
      <c r="AF148">
        <v>137</v>
      </c>
      <c r="AG148" s="11">
        <f>Supply_Chain[[#This Row],[Total_Cost]]/Supply_Chain[[#This Row],[Stock_On_Hand]]</f>
        <v>0.721277935158955</v>
      </c>
    </row>
    <row r="149" spans="1:33" x14ac:dyDescent="0.25">
      <c r="A149" t="s">
        <v>597</v>
      </c>
      <c r="B149" t="s">
        <v>598</v>
      </c>
      <c r="C149" s="1">
        <v>44324</v>
      </c>
      <c r="D149" s="1">
        <v>44623</v>
      </c>
      <c r="E149" t="s">
        <v>55</v>
      </c>
      <c r="F149" t="s">
        <v>31</v>
      </c>
      <c r="G149" t="s">
        <v>45</v>
      </c>
      <c r="H149" t="s">
        <v>46</v>
      </c>
      <c r="I149" s="3" t="s">
        <v>2863</v>
      </c>
      <c r="J149" s="3" t="s">
        <v>3518</v>
      </c>
      <c r="K149" s="3" t="s">
        <v>3525</v>
      </c>
      <c r="L149" s="3" t="s">
        <v>3662</v>
      </c>
      <c r="M149">
        <v>281.52</v>
      </c>
      <c r="N149">
        <v>73</v>
      </c>
      <c r="O149">
        <f>Supply_Chain[[#This Row],[Unit_Price]]*Supply_Chain[[#This Row],[Quantity]]</f>
        <v>20550.96</v>
      </c>
      <c r="P149" t="s">
        <v>276</v>
      </c>
      <c r="Q149" t="s">
        <v>110</v>
      </c>
      <c r="R149" t="s">
        <v>154</v>
      </c>
      <c r="S149" t="s">
        <v>37</v>
      </c>
      <c r="T149" t="s">
        <v>60</v>
      </c>
      <c r="U149" t="s">
        <v>249</v>
      </c>
      <c r="V149">
        <v>1547</v>
      </c>
      <c r="W149">
        <v>143</v>
      </c>
      <c r="X149">
        <v>5</v>
      </c>
      <c r="Y149">
        <v>638.04</v>
      </c>
      <c r="Z149">
        <v>474.56</v>
      </c>
      <c r="AA149" s="9">
        <v>1112.5999999999999</v>
      </c>
      <c r="AB149" t="s">
        <v>52</v>
      </c>
      <c r="AC149">
        <v>0</v>
      </c>
      <c r="AD149">
        <v>85.54</v>
      </c>
      <c r="AE149">
        <v>310</v>
      </c>
      <c r="AF149">
        <v>333</v>
      </c>
      <c r="AG149" s="11">
        <f>Supply_Chain[[#This Row],[Total_Cost]]/Supply_Chain[[#This Row],[Stock_On_Hand]]</f>
        <v>0.7191984486102132</v>
      </c>
    </row>
    <row r="150" spans="1:33" x14ac:dyDescent="0.25">
      <c r="A150" t="s">
        <v>599</v>
      </c>
      <c r="B150" t="s">
        <v>600</v>
      </c>
      <c r="C150" s="1">
        <v>45303</v>
      </c>
      <c r="D150" s="1">
        <v>44890</v>
      </c>
      <c r="E150" t="s">
        <v>55</v>
      </c>
      <c r="F150" t="s">
        <v>31</v>
      </c>
      <c r="G150" t="s">
        <v>76</v>
      </c>
      <c r="H150" t="s">
        <v>92</v>
      </c>
      <c r="I150" s="3" t="s">
        <v>2876</v>
      </c>
      <c r="J150" s="3" t="s">
        <v>3518</v>
      </c>
      <c r="K150" s="3" t="s">
        <v>3522</v>
      </c>
      <c r="L150" s="3" t="s">
        <v>3675</v>
      </c>
      <c r="M150">
        <v>272.89999999999998</v>
      </c>
      <c r="N150">
        <v>40</v>
      </c>
      <c r="O150">
        <f>Supply_Chain[[#This Row],[Unit_Price]]*Supply_Chain[[#This Row],[Quantity]]</f>
        <v>10916</v>
      </c>
      <c r="P150" t="s">
        <v>601</v>
      </c>
      <c r="Q150" t="s">
        <v>110</v>
      </c>
      <c r="R150" t="s">
        <v>69</v>
      </c>
      <c r="S150" t="s">
        <v>70</v>
      </c>
      <c r="T150" t="s">
        <v>38</v>
      </c>
      <c r="U150" t="s">
        <v>72</v>
      </c>
      <c r="V150">
        <v>4885</v>
      </c>
      <c r="W150">
        <v>93</v>
      </c>
      <c r="X150">
        <v>23</v>
      </c>
      <c r="Y150">
        <v>1901.1</v>
      </c>
      <c r="Z150">
        <v>422.31</v>
      </c>
      <c r="AA150" s="9">
        <v>2323.41</v>
      </c>
      <c r="AB150" t="s">
        <v>52</v>
      </c>
      <c r="AC150">
        <v>0</v>
      </c>
      <c r="AD150">
        <v>92.05</v>
      </c>
      <c r="AE150">
        <v>479</v>
      </c>
      <c r="AF150">
        <v>502</v>
      </c>
      <c r="AG150" s="11">
        <f>Supply_Chain[[#This Row],[Total_Cost]]/Supply_Chain[[#This Row],[Stock_On_Hand]]</f>
        <v>0.47562128966223127</v>
      </c>
    </row>
    <row r="151" spans="1:33" x14ac:dyDescent="0.25">
      <c r="A151" t="s">
        <v>602</v>
      </c>
      <c r="B151" t="s">
        <v>603</v>
      </c>
      <c r="C151" s="1">
        <v>44684</v>
      </c>
      <c r="D151" s="1">
        <v>45067</v>
      </c>
      <c r="E151" t="s">
        <v>55</v>
      </c>
      <c r="F151" t="s">
        <v>75</v>
      </c>
      <c r="G151" t="s">
        <v>65</v>
      </c>
      <c r="H151" t="s">
        <v>128</v>
      </c>
      <c r="I151" s="3" t="s">
        <v>2827</v>
      </c>
      <c r="J151" s="3" t="s">
        <v>3518</v>
      </c>
      <c r="K151" s="3" t="s">
        <v>3522</v>
      </c>
      <c r="L151" s="3" t="s">
        <v>3626</v>
      </c>
      <c r="M151">
        <v>376.25</v>
      </c>
      <c r="N151">
        <v>92</v>
      </c>
      <c r="O151">
        <f>Supply_Chain[[#This Row],[Unit_Price]]*Supply_Chain[[#This Row],[Quantity]]</f>
        <v>34615</v>
      </c>
      <c r="P151" t="s">
        <v>403</v>
      </c>
      <c r="Q151" t="s">
        <v>86</v>
      </c>
      <c r="R151" t="s">
        <v>480</v>
      </c>
      <c r="S151" t="s">
        <v>70</v>
      </c>
      <c r="T151" t="s">
        <v>79</v>
      </c>
      <c r="U151" t="s">
        <v>446</v>
      </c>
      <c r="V151">
        <v>1362</v>
      </c>
      <c r="W151">
        <v>57</v>
      </c>
      <c r="X151">
        <v>19</v>
      </c>
      <c r="Y151">
        <v>220.9</v>
      </c>
      <c r="Z151">
        <v>221.26</v>
      </c>
      <c r="AA151" s="9">
        <v>442.16</v>
      </c>
      <c r="AB151" t="s">
        <v>52</v>
      </c>
      <c r="AC151">
        <v>0</v>
      </c>
      <c r="AD151">
        <v>74.87</v>
      </c>
      <c r="AE151">
        <v>269</v>
      </c>
      <c r="AF151">
        <v>248</v>
      </c>
      <c r="AG151" s="11">
        <f>Supply_Chain[[#This Row],[Total_Cost]]/Supply_Chain[[#This Row],[Stock_On_Hand]]</f>
        <v>0.324640234948605</v>
      </c>
    </row>
    <row r="152" spans="1:33" x14ac:dyDescent="0.25">
      <c r="A152" t="s">
        <v>604</v>
      </c>
      <c r="B152" t="s">
        <v>605</v>
      </c>
      <c r="C152" s="1">
        <v>43965</v>
      </c>
      <c r="D152" s="1">
        <v>44447</v>
      </c>
      <c r="E152" t="s">
        <v>43</v>
      </c>
      <c r="F152" t="s">
        <v>64</v>
      </c>
      <c r="G152" t="s">
        <v>65</v>
      </c>
      <c r="H152" t="s">
        <v>33</v>
      </c>
      <c r="I152" s="3" t="s">
        <v>2877</v>
      </c>
      <c r="J152" s="3" t="s">
        <v>3518</v>
      </c>
      <c r="K152" s="3" t="s">
        <v>3523</v>
      </c>
      <c r="L152" s="3" t="s">
        <v>3676</v>
      </c>
      <c r="M152">
        <v>109.06</v>
      </c>
      <c r="N152">
        <v>36</v>
      </c>
      <c r="O152">
        <f>Supply_Chain[[#This Row],[Unit_Price]]*Supply_Chain[[#This Row],[Quantity]]</f>
        <v>3926.16</v>
      </c>
      <c r="P152" t="s">
        <v>606</v>
      </c>
      <c r="Q152" t="s">
        <v>35</v>
      </c>
      <c r="R152" t="s">
        <v>49</v>
      </c>
      <c r="S152" t="s">
        <v>37</v>
      </c>
      <c r="T152" t="s">
        <v>100</v>
      </c>
      <c r="U152" t="s">
        <v>150</v>
      </c>
      <c r="V152">
        <v>1921</v>
      </c>
      <c r="W152">
        <v>89</v>
      </c>
      <c r="X152">
        <v>16</v>
      </c>
      <c r="Y152">
        <v>1125.45</v>
      </c>
      <c r="Z152">
        <v>296.18</v>
      </c>
      <c r="AA152" s="9">
        <v>1421.63</v>
      </c>
      <c r="AB152" t="s">
        <v>52</v>
      </c>
      <c r="AC152">
        <v>0</v>
      </c>
      <c r="AD152">
        <v>70.88</v>
      </c>
      <c r="AE152">
        <v>100</v>
      </c>
      <c r="AF152">
        <v>112</v>
      </c>
      <c r="AG152" s="11">
        <f>Supply_Chain[[#This Row],[Total_Cost]]/Supply_Chain[[#This Row],[Stock_On_Hand]]</f>
        <v>0.74004685059864661</v>
      </c>
    </row>
    <row r="153" spans="1:33" x14ac:dyDescent="0.25">
      <c r="A153" t="s">
        <v>607</v>
      </c>
      <c r="B153" t="s">
        <v>608</v>
      </c>
      <c r="C153" s="1">
        <v>44133</v>
      </c>
      <c r="D153" s="1">
        <v>43882</v>
      </c>
      <c r="E153" t="s">
        <v>55</v>
      </c>
      <c r="F153" t="s">
        <v>115</v>
      </c>
      <c r="G153" t="s">
        <v>247</v>
      </c>
      <c r="H153" t="s">
        <v>128</v>
      </c>
      <c r="I153" s="3" t="s">
        <v>2878</v>
      </c>
      <c r="J153" s="3" t="s">
        <v>3518</v>
      </c>
      <c r="K153" s="3" t="s">
        <v>3524</v>
      </c>
      <c r="L153" s="3" t="s">
        <v>3677</v>
      </c>
      <c r="M153">
        <v>367.78</v>
      </c>
      <c r="N153">
        <v>87</v>
      </c>
      <c r="O153">
        <f>Supply_Chain[[#This Row],[Unit_Price]]*Supply_Chain[[#This Row],[Quantity]]</f>
        <v>31996.859999999997</v>
      </c>
      <c r="P153" t="s">
        <v>609</v>
      </c>
      <c r="Q153" t="s">
        <v>86</v>
      </c>
      <c r="R153" t="s">
        <v>610</v>
      </c>
      <c r="S153" t="s">
        <v>37</v>
      </c>
      <c r="T153" t="s">
        <v>100</v>
      </c>
      <c r="U153" t="s">
        <v>611</v>
      </c>
      <c r="V153">
        <v>504</v>
      </c>
      <c r="W153">
        <v>483</v>
      </c>
      <c r="X153">
        <v>6</v>
      </c>
      <c r="Y153">
        <v>825.61</v>
      </c>
      <c r="Z153">
        <v>423.33</v>
      </c>
      <c r="AA153" s="9">
        <v>1248.94</v>
      </c>
      <c r="AB153" t="s">
        <v>40</v>
      </c>
      <c r="AC153">
        <v>9</v>
      </c>
      <c r="AD153">
        <v>73.63</v>
      </c>
      <c r="AE153">
        <v>181</v>
      </c>
      <c r="AF153">
        <v>151</v>
      </c>
      <c r="AG153" s="11">
        <f>Supply_Chain[[#This Row],[Total_Cost]]/Supply_Chain[[#This Row],[Stock_On_Hand]]</f>
        <v>2.4780555555555557</v>
      </c>
    </row>
    <row r="154" spans="1:33" x14ac:dyDescent="0.25">
      <c r="A154" t="s">
        <v>612</v>
      </c>
      <c r="B154" t="s">
        <v>613</v>
      </c>
      <c r="C154" s="1">
        <v>44654</v>
      </c>
      <c r="D154" s="1">
        <v>45450</v>
      </c>
      <c r="E154" t="s">
        <v>55</v>
      </c>
      <c r="F154" t="s">
        <v>31</v>
      </c>
      <c r="G154" t="s">
        <v>247</v>
      </c>
      <c r="H154" t="s">
        <v>166</v>
      </c>
      <c r="I154" s="3" t="s">
        <v>2879</v>
      </c>
      <c r="J154" s="3" t="s">
        <v>3519</v>
      </c>
      <c r="K154" s="3" t="s">
        <v>3528</v>
      </c>
      <c r="L154" s="3" t="s">
        <v>3678</v>
      </c>
      <c r="M154">
        <v>397.33</v>
      </c>
      <c r="N154">
        <v>11</v>
      </c>
      <c r="O154">
        <f>Supply_Chain[[#This Row],[Unit_Price]]*Supply_Chain[[#This Row],[Quantity]]</f>
        <v>4370.63</v>
      </c>
      <c r="P154" t="s">
        <v>614</v>
      </c>
      <c r="Q154" t="s">
        <v>35</v>
      </c>
      <c r="R154" t="s">
        <v>154</v>
      </c>
      <c r="S154" t="s">
        <v>70</v>
      </c>
      <c r="T154" t="s">
        <v>60</v>
      </c>
      <c r="U154" t="s">
        <v>615</v>
      </c>
      <c r="V154">
        <v>4998</v>
      </c>
      <c r="W154">
        <v>96</v>
      </c>
      <c r="X154">
        <v>14</v>
      </c>
      <c r="Y154">
        <v>1520.25</v>
      </c>
      <c r="Z154">
        <v>434.54</v>
      </c>
      <c r="AA154" s="9">
        <v>1954.79</v>
      </c>
      <c r="AB154" t="s">
        <v>52</v>
      </c>
      <c r="AC154">
        <v>0</v>
      </c>
      <c r="AD154">
        <v>85.45</v>
      </c>
      <c r="AE154">
        <v>487</v>
      </c>
      <c r="AF154">
        <v>481</v>
      </c>
      <c r="AG154" s="11">
        <f>Supply_Chain[[#This Row],[Total_Cost]]/Supply_Chain[[#This Row],[Stock_On_Hand]]</f>
        <v>0.39111444577831134</v>
      </c>
    </row>
    <row r="155" spans="1:33" x14ac:dyDescent="0.25">
      <c r="A155" t="s">
        <v>616</v>
      </c>
      <c r="B155" t="s">
        <v>617</v>
      </c>
      <c r="C155" s="1">
        <v>44857</v>
      </c>
      <c r="D155" s="1">
        <v>45278</v>
      </c>
      <c r="E155" t="s">
        <v>30</v>
      </c>
      <c r="F155" t="s">
        <v>64</v>
      </c>
      <c r="G155" t="s">
        <v>45</v>
      </c>
      <c r="H155" t="s">
        <v>92</v>
      </c>
      <c r="I155" s="3" t="s">
        <v>2880</v>
      </c>
      <c r="J155" s="3" t="s">
        <v>3518</v>
      </c>
      <c r="K155" s="3" t="s">
        <v>3525</v>
      </c>
      <c r="L155" s="3" t="s">
        <v>3679</v>
      </c>
      <c r="M155">
        <v>425.45</v>
      </c>
      <c r="N155">
        <v>63</v>
      </c>
      <c r="O155">
        <f>Supply_Chain[[#This Row],[Unit_Price]]*Supply_Chain[[#This Row],[Quantity]]</f>
        <v>26803.35</v>
      </c>
      <c r="P155" t="s">
        <v>618</v>
      </c>
      <c r="Q155" t="s">
        <v>35</v>
      </c>
      <c r="R155" t="s">
        <v>69</v>
      </c>
      <c r="S155" t="s">
        <v>119</v>
      </c>
      <c r="T155" t="s">
        <v>100</v>
      </c>
      <c r="U155" t="s">
        <v>619</v>
      </c>
      <c r="V155">
        <v>1367</v>
      </c>
      <c r="W155">
        <v>484</v>
      </c>
      <c r="X155">
        <v>1</v>
      </c>
      <c r="Y155">
        <v>811.9</v>
      </c>
      <c r="Z155">
        <v>313.57</v>
      </c>
      <c r="AA155" s="9">
        <v>1125.47</v>
      </c>
      <c r="AB155" t="s">
        <v>52</v>
      </c>
      <c r="AC155">
        <v>0</v>
      </c>
      <c r="AD155">
        <v>78.47</v>
      </c>
      <c r="AE155">
        <v>127</v>
      </c>
      <c r="AF155">
        <v>162</v>
      </c>
      <c r="AG155" s="11">
        <f>Supply_Chain[[#This Row],[Total_Cost]]/Supply_Chain[[#This Row],[Stock_On_Hand]]</f>
        <v>0.8233138258961229</v>
      </c>
    </row>
    <row r="156" spans="1:33" x14ac:dyDescent="0.25">
      <c r="A156" t="s">
        <v>620</v>
      </c>
      <c r="B156" t="s">
        <v>621</v>
      </c>
      <c r="C156" s="1">
        <v>44056</v>
      </c>
      <c r="D156" s="1">
        <v>44843</v>
      </c>
      <c r="E156" t="s">
        <v>55</v>
      </c>
      <c r="F156" t="s">
        <v>64</v>
      </c>
      <c r="G156" t="s">
        <v>65</v>
      </c>
      <c r="H156" t="s">
        <v>66</v>
      </c>
      <c r="I156" s="3" t="s">
        <v>2881</v>
      </c>
      <c r="J156" s="3" t="s">
        <v>3518</v>
      </c>
      <c r="K156" s="3" t="s">
        <v>3524</v>
      </c>
      <c r="L156" s="3" t="s">
        <v>3680</v>
      </c>
      <c r="M156">
        <v>11.06</v>
      </c>
      <c r="N156">
        <v>69</v>
      </c>
      <c r="O156">
        <f>Supply_Chain[[#This Row],[Unit_Price]]*Supply_Chain[[#This Row],[Quantity]]</f>
        <v>763.14</v>
      </c>
      <c r="P156" t="s">
        <v>305</v>
      </c>
      <c r="Q156" t="s">
        <v>48</v>
      </c>
      <c r="R156" t="s">
        <v>277</v>
      </c>
      <c r="S156" t="s">
        <v>119</v>
      </c>
      <c r="T156" t="s">
        <v>71</v>
      </c>
      <c r="U156" t="s">
        <v>257</v>
      </c>
      <c r="V156">
        <v>1723</v>
      </c>
      <c r="W156">
        <v>67</v>
      </c>
      <c r="X156">
        <v>19</v>
      </c>
      <c r="Y156">
        <v>473.9</v>
      </c>
      <c r="Z156">
        <v>205.95</v>
      </c>
      <c r="AA156" s="9">
        <v>679.84999999999991</v>
      </c>
      <c r="AB156" t="s">
        <v>52</v>
      </c>
      <c r="AC156">
        <v>0</v>
      </c>
      <c r="AD156">
        <v>88.11</v>
      </c>
      <c r="AE156">
        <v>156</v>
      </c>
      <c r="AF156">
        <v>173</v>
      </c>
      <c r="AG156" s="11">
        <f>Supply_Chain[[#This Row],[Total_Cost]]/Supply_Chain[[#This Row],[Stock_On_Hand]]</f>
        <v>0.39457341845618105</v>
      </c>
    </row>
    <row r="157" spans="1:33" x14ac:dyDescent="0.25">
      <c r="A157" t="s">
        <v>622</v>
      </c>
      <c r="B157" t="s">
        <v>623</v>
      </c>
      <c r="C157" s="1">
        <v>44440</v>
      </c>
      <c r="D157" s="1">
        <v>45624</v>
      </c>
      <c r="E157" t="s">
        <v>43</v>
      </c>
      <c r="F157" t="s">
        <v>75</v>
      </c>
      <c r="G157" t="s">
        <v>65</v>
      </c>
      <c r="H157" t="s">
        <v>33</v>
      </c>
      <c r="I157" s="3" t="s">
        <v>2882</v>
      </c>
      <c r="J157" s="3" t="s">
        <v>3518</v>
      </c>
      <c r="K157" s="3" t="s">
        <v>3525</v>
      </c>
      <c r="L157" s="3" t="s">
        <v>3681</v>
      </c>
      <c r="M157">
        <v>227.9</v>
      </c>
      <c r="N157">
        <v>67</v>
      </c>
      <c r="O157">
        <f>Supply_Chain[[#This Row],[Unit_Price]]*Supply_Chain[[#This Row],[Quantity]]</f>
        <v>15269.300000000001</v>
      </c>
      <c r="P157" t="s">
        <v>624</v>
      </c>
      <c r="Q157" t="s">
        <v>110</v>
      </c>
      <c r="R157" t="s">
        <v>214</v>
      </c>
      <c r="S157" t="s">
        <v>119</v>
      </c>
      <c r="T157" t="s">
        <v>79</v>
      </c>
      <c r="U157" t="s">
        <v>182</v>
      </c>
      <c r="V157">
        <v>3821</v>
      </c>
      <c r="W157">
        <v>462</v>
      </c>
      <c r="X157">
        <v>4</v>
      </c>
      <c r="Y157">
        <v>542.05999999999995</v>
      </c>
      <c r="Z157">
        <v>471.5</v>
      </c>
      <c r="AA157" s="9">
        <v>1013.56</v>
      </c>
      <c r="AB157" t="s">
        <v>52</v>
      </c>
      <c r="AC157">
        <v>0</v>
      </c>
      <c r="AD157">
        <v>86.41</v>
      </c>
      <c r="AE157">
        <v>118</v>
      </c>
      <c r="AF157">
        <v>162</v>
      </c>
      <c r="AG157" s="11">
        <f>Supply_Chain[[#This Row],[Total_Cost]]/Supply_Chain[[#This Row],[Stock_On_Hand]]</f>
        <v>0.26526040303585446</v>
      </c>
    </row>
    <row r="158" spans="1:33" x14ac:dyDescent="0.25">
      <c r="A158" t="s">
        <v>625</v>
      </c>
      <c r="B158" t="s">
        <v>626</v>
      </c>
      <c r="C158" s="1">
        <v>43875</v>
      </c>
      <c r="D158" s="1">
        <v>43982</v>
      </c>
      <c r="E158" t="s">
        <v>43</v>
      </c>
      <c r="F158" t="s">
        <v>75</v>
      </c>
      <c r="G158" t="s">
        <v>247</v>
      </c>
      <c r="H158" t="s">
        <v>33</v>
      </c>
      <c r="I158" s="3" t="s">
        <v>2883</v>
      </c>
      <c r="J158" s="3" t="s">
        <v>3518</v>
      </c>
      <c r="K158" s="3" t="s">
        <v>3522</v>
      </c>
      <c r="L158" s="3" t="s">
        <v>3682</v>
      </c>
      <c r="M158">
        <v>267.14999999999998</v>
      </c>
      <c r="N158">
        <v>54</v>
      </c>
      <c r="O158">
        <f>Supply_Chain[[#This Row],[Unit_Price]]*Supply_Chain[[#This Row],[Quantity]]</f>
        <v>14426.099999999999</v>
      </c>
      <c r="P158" t="s">
        <v>559</v>
      </c>
      <c r="Q158" t="s">
        <v>68</v>
      </c>
      <c r="R158" t="s">
        <v>369</v>
      </c>
      <c r="S158" t="s">
        <v>70</v>
      </c>
      <c r="T158" t="s">
        <v>100</v>
      </c>
      <c r="U158" t="s">
        <v>168</v>
      </c>
      <c r="V158">
        <v>1056</v>
      </c>
      <c r="W158">
        <v>272</v>
      </c>
      <c r="X158">
        <v>2</v>
      </c>
      <c r="Y158">
        <v>1422.62</v>
      </c>
      <c r="Z158">
        <v>328.64</v>
      </c>
      <c r="AA158" s="9">
        <v>1751.26</v>
      </c>
      <c r="AB158" t="s">
        <v>52</v>
      </c>
      <c r="AC158">
        <v>0</v>
      </c>
      <c r="AD158">
        <v>77.41</v>
      </c>
      <c r="AE158">
        <v>79</v>
      </c>
      <c r="AF158">
        <v>105</v>
      </c>
      <c r="AG158" s="11">
        <f>Supply_Chain[[#This Row],[Total_Cost]]/Supply_Chain[[#This Row],[Stock_On_Hand]]</f>
        <v>1.6583901515151516</v>
      </c>
    </row>
    <row r="159" spans="1:33" x14ac:dyDescent="0.25">
      <c r="A159" t="s">
        <v>627</v>
      </c>
      <c r="B159" t="s">
        <v>628</v>
      </c>
      <c r="C159" s="1">
        <v>44970</v>
      </c>
      <c r="D159" s="1">
        <v>44443</v>
      </c>
      <c r="E159" t="s">
        <v>55</v>
      </c>
      <c r="F159" t="s">
        <v>44</v>
      </c>
      <c r="G159" t="s">
        <v>76</v>
      </c>
      <c r="H159" t="s">
        <v>46</v>
      </c>
      <c r="I159" s="3" t="s">
        <v>2884</v>
      </c>
      <c r="J159" s="3" t="s">
        <v>3518</v>
      </c>
      <c r="K159" s="3" t="s">
        <v>3521</v>
      </c>
      <c r="L159" s="3" t="s">
        <v>3683</v>
      </c>
      <c r="M159">
        <v>475.2</v>
      </c>
      <c r="N159">
        <v>45</v>
      </c>
      <c r="O159">
        <f>Supply_Chain[[#This Row],[Unit_Price]]*Supply_Chain[[#This Row],[Quantity]]</f>
        <v>21384</v>
      </c>
      <c r="P159" t="s">
        <v>629</v>
      </c>
      <c r="Q159" t="s">
        <v>48</v>
      </c>
      <c r="R159" t="s">
        <v>277</v>
      </c>
      <c r="S159" t="s">
        <v>119</v>
      </c>
      <c r="T159" t="s">
        <v>100</v>
      </c>
      <c r="U159" t="s">
        <v>436</v>
      </c>
      <c r="V159">
        <v>4548</v>
      </c>
      <c r="W159">
        <v>188</v>
      </c>
      <c r="X159">
        <v>6</v>
      </c>
      <c r="Y159">
        <v>645.46</v>
      </c>
      <c r="Z159">
        <v>175.29</v>
      </c>
      <c r="AA159" s="9">
        <v>820.75</v>
      </c>
      <c r="AB159" t="s">
        <v>52</v>
      </c>
      <c r="AC159">
        <v>0</v>
      </c>
      <c r="AD159">
        <v>87.62</v>
      </c>
      <c r="AE159">
        <v>386</v>
      </c>
      <c r="AF159">
        <v>386</v>
      </c>
      <c r="AG159" s="11">
        <f>Supply_Chain[[#This Row],[Total_Cost]]/Supply_Chain[[#This Row],[Stock_On_Hand]]</f>
        <v>0.18046394019349166</v>
      </c>
    </row>
    <row r="160" spans="1:33" x14ac:dyDescent="0.25">
      <c r="A160" t="s">
        <v>630</v>
      </c>
      <c r="B160" t="s">
        <v>631</v>
      </c>
      <c r="C160" s="1">
        <v>45634</v>
      </c>
      <c r="D160" s="1">
        <v>45638</v>
      </c>
      <c r="E160" t="s">
        <v>30</v>
      </c>
      <c r="F160" t="s">
        <v>44</v>
      </c>
      <c r="G160" t="s">
        <v>247</v>
      </c>
      <c r="H160" t="s">
        <v>166</v>
      </c>
      <c r="I160" s="3" t="s">
        <v>2885</v>
      </c>
      <c r="J160" s="3" t="s">
        <v>3518</v>
      </c>
      <c r="K160" s="3" t="s">
        <v>3535</v>
      </c>
      <c r="L160" s="3" t="s">
        <v>3684</v>
      </c>
      <c r="M160">
        <v>13.71</v>
      </c>
      <c r="N160">
        <v>84</v>
      </c>
      <c r="O160">
        <f>Supply_Chain[[#This Row],[Unit_Price]]*Supply_Chain[[#This Row],[Quantity]]</f>
        <v>1151.6400000000001</v>
      </c>
      <c r="P160" t="s">
        <v>632</v>
      </c>
      <c r="Q160" t="s">
        <v>68</v>
      </c>
      <c r="R160" t="s">
        <v>248</v>
      </c>
      <c r="S160" t="s">
        <v>119</v>
      </c>
      <c r="T160" t="s">
        <v>38</v>
      </c>
      <c r="U160" t="s">
        <v>182</v>
      </c>
      <c r="V160">
        <v>1288</v>
      </c>
      <c r="W160">
        <v>63</v>
      </c>
      <c r="X160">
        <v>18</v>
      </c>
      <c r="Y160">
        <v>1513.45</v>
      </c>
      <c r="Z160">
        <v>29.72</v>
      </c>
      <c r="AA160" s="9">
        <v>1543.17</v>
      </c>
      <c r="AB160" t="s">
        <v>52</v>
      </c>
      <c r="AC160">
        <v>0</v>
      </c>
      <c r="AD160">
        <v>86.61</v>
      </c>
      <c r="AE160">
        <v>106</v>
      </c>
      <c r="AF160">
        <v>147</v>
      </c>
      <c r="AG160" s="11">
        <f>Supply_Chain[[#This Row],[Total_Cost]]/Supply_Chain[[#This Row],[Stock_On_Hand]]</f>
        <v>1.198113354037267</v>
      </c>
    </row>
    <row r="161" spans="1:33" x14ac:dyDescent="0.25">
      <c r="A161" t="s">
        <v>633</v>
      </c>
      <c r="B161" t="s">
        <v>634</v>
      </c>
      <c r="C161" s="1">
        <v>45004</v>
      </c>
      <c r="D161" s="1">
        <v>43939</v>
      </c>
      <c r="E161" t="s">
        <v>55</v>
      </c>
      <c r="F161" t="s">
        <v>64</v>
      </c>
      <c r="G161" t="s">
        <v>45</v>
      </c>
      <c r="H161" t="s">
        <v>66</v>
      </c>
      <c r="I161" s="3" t="s">
        <v>2886</v>
      </c>
      <c r="J161" s="3" t="s">
        <v>3519</v>
      </c>
      <c r="K161" s="3" t="s">
        <v>3530</v>
      </c>
      <c r="L161" s="3" t="s">
        <v>3685</v>
      </c>
      <c r="M161">
        <v>423.74</v>
      </c>
      <c r="N161">
        <v>8</v>
      </c>
      <c r="O161">
        <f>Supply_Chain[[#This Row],[Unit_Price]]*Supply_Chain[[#This Row],[Quantity]]</f>
        <v>3389.92</v>
      </c>
      <c r="P161" t="s">
        <v>635</v>
      </c>
      <c r="Q161" t="s">
        <v>86</v>
      </c>
      <c r="R161" t="s">
        <v>419</v>
      </c>
      <c r="S161" t="s">
        <v>70</v>
      </c>
      <c r="T161" t="s">
        <v>100</v>
      </c>
      <c r="U161" t="s">
        <v>80</v>
      </c>
      <c r="V161">
        <v>298</v>
      </c>
      <c r="W161">
        <v>99</v>
      </c>
      <c r="X161">
        <v>27</v>
      </c>
      <c r="Y161">
        <v>846.04</v>
      </c>
      <c r="Z161">
        <v>326.02999999999997</v>
      </c>
      <c r="AA161" s="9">
        <v>1172.07</v>
      </c>
      <c r="AB161" t="s">
        <v>52</v>
      </c>
      <c r="AC161">
        <v>0</v>
      </c>
      <c r="AD161">
        <v>81.16</v>
      </c>
      <c r="AE161">
        <v>77</v>
      </c>
      <c r="AF161">
        <v>125</v>
      </c>
      <c r="AG161" s="11">
        <f>Supply_Chain[[#This Row],[Total_Cost]]/Supply_Chain[[#This Row],[Stock_On_Hand]]</f>
        <v>3.9331208053691271</v>
      </c>
    </row>
    <row r="162" spans="1:33" x14ac:dyDescent="0.25">
      <c r="A162" t="s">
        <v>636</v>
      </c>
      <c r="B162" t="s">
        <v>637</v>
      </c>
      <c r="C162" s="1">
        <v>45118</v>
      </c>
      <c r="D162" s="1">
        <v>45567</v>
      </c>
      <c r="E162" t="s">
        <v>43</v>
      </c>
      <c r="F162" t="s">
        <v>31</v>
      </c>
      <c r="G162" t="s">
        <v>45</v>
      </c>
      <c r="H162" t="s">
        <v>57</v>
      </c>
      <c r="I162" s="3" t="s">
        <v>2887</v>
      </c>
      <c r="J162" s="3" t="s">
        <v>84</v>
      </c>
      <c r="K162" s="3" t="s">
        <v>3526</v>
      </c>
      <c r="L162" s="3" t="s">
        <v>3686</v>
      </c>
      <c r="M162">
        <v>356.96</v>
      </c>
      <c r="N162">
        <v>81</v>
      </c>
      <c r="O162">
        <f>Supply_Chain[[#This Row],[Unit_Price]]*Supply_Chain[[#This Row],[Quantity]]</f>
        <v>28913.759999999998</v>
      </c>
      <c r="P162" t="s">
        <v>638</v>
      </c>
      <c r="Q162" t="s">
        <v>48</v>
      </c>
      <c r="R162" t="s">
        <v>466</v>
      </c>
      <c r="S162" t="s">
        <v>50</v>
      </c>
      <c r="T162" t="s">
        <v>38</v>
      </c>
      <c r="U162" t="s">
        <v>196</v>
      </c>
      <c r="V162">
        <v>3175</v>
      </c>
      <c r="W162">
        <v>315</v>
      </c>
      <c r="X162">
        <v>9</v>
      </c>
      <c r="Y162">
        <v>1959.56</v>
      </c>
      <c r="Z162">
        <v>449.28</v>
      </c>
      <c r="AA162" s="9">
        <v>2408.84</v>
      </c>
      <c r="AB162" t="s">
        <v>52</v>
      </c>
      <c r="AC162">
        <v>0</v>
      </c>
      <c r="AD162">
        <v>88.84</v>
      </c>
      <c r="AE162">
        <v>432</v>
      </c>
      <c r="AF162">
        <v>428</v>
      </c>
      <c r="AG162" s="11">
        <f>Supply_Chain[[#This Row],[Total_Cost]]/Supply_Chain[[#This Row],[Stock_On_Hand]]</f>
        <v>0.75868976377952757</v>
      </c>
    </row>
    <row r="163" spans="1:33" x14ac:dyDescent="0.25">
      <c r="A163" t="s">
        <v>639</v>
      </c>
      <c r="B163" t="s">
        <v>640</v>
      </c>
      <c r="C163" s="1">
        <v>44832</v>
      </c>
      <c r="D163" s="1">
        <v>45108</v>
      </c>
      <c r="E163" t="s">
        <v>30</v>
      </c>
      <c r="F163" t="s">
        <v>115</v>
      </c>
      <c r="G163" t="s">
        <v>91</v>
      </c>
      <c r="H163" t="s">
        <v>57</v>
      </c>
      <c r="I163" s="3" t="s">
        <v>2888</v>
      </c>
      <c r="J163" s="3" t="s">
        <v>84</v>
      </c>
      <c r="K163" s="3" t="s">
        <v>3526</v>
      </c>
      <c r="L163" s="3" t="s">
        <v>3687</v>
      </c>
      <c r="M163">
        <v>193.29</v>
      </c>
      <c r="N163">
        <v>24</v>
      </c>
      <c r="O163">
        <f>Supply_Chain[[#This Row],[Unit_Price]]*Supply_Chain[[#This Row],[Quantity]]</f>
        <v>4638.96</v>
      </c>
      <c r="P163" t="s">
        <v>641</v>
      </c>
      <c r="Q163" t="s">
        <v>68</v>
      </c>
      <c r="R163" t="s">
        <v>377</v>
      </c>
      <c r="S163" t="s">
        <v>37</v>
      </c>
      <c r="T163" t="s">
        <v>60</v>
      </c>
      <c r="U163" t="s">
        <v>356</v>
      </c>
      <c r="V163">
        <v>966</v>
      </c>
      <c r="W163">
        <v>369</v>
      </c>
      <c r="X163">
        <v>7</v>
      </c>
      <c r="Y163">
        <v>1912.28</v>
      </c>
      <c r="Z163">
        <v>363.88</v>
      </c>
      <c r="AA163" s="9">
        <v>2276.16</v>
      </c>
      <c r="AB163" t="s">
        <v>52</v>
      </c>
      <c r="AC163">
        <v>0</v>
      </c>
      <c r="AD163">
        <v>90.84</v>
      </c>
      <c r="AE163">
        <v>349</v>
      </c>
      <c r="AF163">
        <v>329</v>
      </c>
      <c r="AG163" s="11">
        <f>Supply_Chain[[#This Row],[Total_Cost]]/Supply_Chain[[#This Row],[Stock_On_Hand]]</f>
        <v>2.3562732919254659</v>
      </c>
    </row>
    <row r="164" spans="1:33" x14ac:dyDescent="0.25">
      <c r="A164" t="s">
        <v>642</v>
      </c>
      <c r="B164" t="s">
        <v>643</v>
      </c>
      <c r="C164" s="1">
        <v>45557</v>
      </c>
      <c r="D164" s="1">
        <v>44459</v>
      </c>
      <c r="E164" t="s">
        <v>55</v>
      </c>
      <c r="F164" t="s">
        <v>31</v>
      </c>
      <c r="G164" t="s">
        <v>247</v>
      </c>
      <c r="H164" t="s">
        <v>116</v>
      </c>
      <c r="I164" s="3" t="s">
        <v>2889</v>
      </c>
      <c r="J164" s="3" t="s">
        <v>84</v>
      </c>
      <c r="K164" s="3" t="s">
        <v>3526</v>
      </c>
      <c r="L164" s="3" t="s">
        <v>3688</v>
      </c>
      <c r="M164">
        <v>202.8</v>
      </c>
      <c r="N164">
        <v>15</v>
      </c>
      <c r="O164">
        <f>Supply_Chain[[#This Row],[Unit_Price]]*Supply_Chain[[#This Row],[Quantity]]</f>
        <v>3042</v>
      </c>
      <c r="P164" t="s">
        <v>644</v>
      </c>
      <c r="Q164" t="s">
        <v>86</v>
      </c>
      <c r="R164" t="s">
        <v>344</v>
      </c>
      <c r="S164" t="s">
        <v>70</v>
      </c>
      <c r="T164" t="s">
        <v>71</v>
      </c>
      <c r="U164" t="s">
        <v>61</v>
      </c>
      <c r="V164">
        <v>4545</v>
      </c>
      <c r="W164">
        <v>416</v>
      </c>
      <c r="X164">
        <v>24</v>
      </c>
      <c r="Y164">
        <v>1244.1500000000001</v>
      </c>
      <c r="Z164">
        <v>378.14</v>
      </c>
      <c r="AA164" s="9">
        <v>1622.29</v>
      </c>
      <c r="AB164" t="s">
        <v>52</v>
      </c>
      <c r="AC164">
        <v>0</v>
      </c>
      <c r="AD164">
        <v>73.16</v>
      </c>
      <c r="AE164">
        <v>62</v>
      </c>
      <c r="AF164">
        <v>58</v>
      </c>
      <c r="AG164" s="11">
        <f>Supply_Chain[[#This Row],[Total_Cost]]/Supply_Chain[[#This Row],[Stock_On_Hand]]</f>
        <v>0.35693949394939495</v>
      </c>
    </row>
    <row r="165" spans="1:33" x14ac:dyDescent="0.25">
      <c r="A165" t="s">
        <v>645</v>
      </c>
      <c r="B165" t="s">
        <v>646</v>
      </c>
      <c r="C165" s="1">
        <v>45137</v>
      </c>
      <c r="D165" s="1">
        <v>44992</v>
      </c>
      <c r="E165" t="s">
        <v>55</v>
      </c>
      <c r="F165" t="s">
        <v>75</v>
      </c>
      <c r="G165" t="s">
        <v>45</v>
      </c>
      <c r="H165" t="s">
        <v>92</v>
      </c>
      <c r="I165" s="3" t="s">
        <v>2890</v>
      </c>
      <c r="J165" s="3" t="s">
        <v>3518</v>
      </c>
      <c r="K165" s="3" t="s">
        <v>3525</v>
      </c>
      <c r="L165" s="3" t="s">
        <v>3689</v>
      </c>
      <c r="M165">
        <v>360.9</v>
      </c>
      <c r="N165">
        <v>89</v>
      </c>
      <c r="O165">
        <f>Supply_Chain[[#This Row],[Unit_Price]]*Supply_Chain[[#This Row],[Quantity]]</f>
        <v>32120.1</v>
      </c>
      <c r="P165" t="s">
        <v>647</v>
      </c>
      <c r="Q165" t="s">
        <v>68</v>
      </c>
      <c r="R165" t="s">
        <v>344</v>
      </c>
      <c r="S165" t="s">
        <v>119</v>
      </c>
      <c r="T165" t="s">
        <v>100</v>
      </c>
      <c r="U165" t="s">
        <v>95</v>
      </c>
      <c r="V165">
        <v>2577</v>
      </c>
      <c r="W165">
        <v>466</v>
      </c>
      <c r="X165">
        <v>21</v>
      </c>
      <c r="Y165">
        <v>716.53</v>
      </c>
      <c r="Z165">
        <v>80.22</v>
      </c>
      <c r="AA165" s="9">
        <v>796.75</v>
      </c>
      <c r="AB165" t="s">
        <v>52</v>
      </c>
      <c r="AC165">
        <v>0</v>
      </c>
      <c r="AD165">
        <v>93.14</v>
      </c>
      <c r="AE165">
        <v>140</v>
      </c>
      <c r="AF165">
        <v>144</v>
      </c>
      <c r="AG165" s="11">
        <f>Supply_Chain[[#This Row],[Total_Cost]]/Supply_Chain[[#This Row],[Stock_On_Hand]]</f>
        <v>0.30917733798991076</v>
      </c>
    </row>
    <row r="166" spans="1:33" x14ac:dyDescent="0.25">
      <c r="A166" t="s">
        <v>648</v>
      </c>
      <c r="B166" t="s">
        <v>649</v>
      </c>
      <c r="C166" s="1">
        <v>45235</v>
      </c>
      <c r="D166" s="1">
        <v>45403</v>
      </c>
      <c r="E166" t="s">
        <v>43</v>
      </c>
      <c r="F166" t="s">
        <v>31</v>
      </c>
      <c r="G166" t="s">
        <v>32</v>
      </c>
      <c r="H166" t="s">
        <v>166</v>
      </c>
      <c r="I166" s="3" t="s">
        <v>2891</v>
      </c>
      <c r="J166" s="3" t="s">
        <v>3518</v>
      </c>
      <c r="K166" s="3" t="s">
        <v>3525</v>
      </c>
      <c r="L166" s="3" t="s">
        <v>3690</v>
      </c>
      <c r="M166">
        <v>5.81</v>
      </c>
      <c r="N166">
        <v>36</v>
      </c>
      <c r="O166">
        <f>Supply_Chain[[#This Row],[Unit_Price]]*Supply_Chain[[#This Row],[Quantity]]</f>
        <v>209.16</v>
      </c>
      <c r="P166" t="s">
        <v>403</v>
      </c>
      <c r="Q166" t="s">
        <v>48</v>
      </c>
      <c r="R166" t="s">
        <v>388</v>
      </c>
      <c r="S166" t="s">
        <v>50</v>
      </c>
      <c r="T166" t="s">
        <v>60</v>
      </c>
      <c r="U166" t="s">
        <v>436</v>
      </c>
      <c r="V166">
        <v>2802</v>
      </c>
      <c r="W166">
        <v>413</v>
      </c>
      <c r="X166">
        <v>4</v>
      </c>
      <c r="Y166">
        <v>926.35</v>
      </c>
      <c r="Z166">
        <v>370.86</v>
      </c>
      <c r="AA166" s="9">
        <v>1297.21</v>
      </c>
      <c r="AB166" t="s">
        <v>52</v>
      </c>
      <c r="AC166">
        <v>0</v>
      </c>
      <c r="AD166">
        <v>86.63</v>
      </c>
      <c r="AE166">
        <v>457</v>
      </c>
      <c r="AF166">
        <v>482</v>
      </c>
      <c r="AG166" s="11">
        <f>Supply_Chain[[#This Row],[Total_Cost]]/Supply_Chain[[#This Row],[Stock_On_Hand]]</f>
        <v>0.46295860099928626</v>
      </c>
    </row>
    <row r="167" spans="1:33" x14ac:dyDescent="0.25">
      <c r="A167" t="s">
        <v>650</v>
      </c>
      <c r="B167" t="s">
        <v>651</v>
      </c>
      <c r="C167" s="1">
        <v>44282</v>
      </c>
      <c r="D167" s="1">
        <v>44384</v>
      </c>
      <c r="E167" t="s">
        <v>43</v>
      </c>
      <c r="F167" t="s">
        <v>64</v>
      </c>
      <c r="G167" t="s">
        <v>247</v>
      </c>
      <c r="H167" t="s">
        <v>46</v>
      </c>
      <c r="I167" s="3" t="s">
        <v>2892</v>
      </c>
      <c r="J167" s="3" t="s">
        <v>3518</v>
      </c>
      <c r="K167" s="3" t="s">
        <v>3522</v>
      </c>
      <c r="L167" s="3" t="s">
        <v>3691</v>
      </c>
      <c r="M167">
        <v>169.28</v>
      </c>
      <c r="N167">
        <v>8</v>
      </c>
      <c r="O167">
        <f>Supply_Chain[[#This Row],[Unit_Price]]*Supply_Chain[[#This Row],[Quantity]]</f>
        <v>1354.24</v>
      </c>
      <c r="P167" t="s">
        <v>652</v>
      </c>
      <c r="Q167" t="s">
        <v>35</v>
      </c>
      <c r="R167" t="s">
        <v>653</v>
      </c>
      <c r="S167" t="s">
        <v>50</v>
      </c>
      <c r="T167" t="s">
        <v>79</v>
      </c>
      <c r="U167" t="s">
        <v>615</v>
      </c>
      <c r="V167">
        <v>808</v>
      </c>
      <c r="W167">
        <v>432</v>
      </c>
      <c r="X167">
        <v>11</v>
      </c>
      <c r="Y167">
        <v>859.81</v>
      </c>
      <c r="Z167">
        <v>455.17</v>
      </c>
      <c r="AA167" s="9">
        <v>1314.98</v>
      </c>
      <c r="AB167" t="s">
        <v>52</v>
      </c>
      <c r="AC167">
        <v>0</v>
      </c>
      <c r="AD167">
        <v>75.900000000000006</v>
      </c>
      <c r="AE167">
        <v>194</v>
      </c>
      <c r="AF167">
        <v>239</v>
      </c>
      <c r="AG167" s="11">
        <f>Supply_Chain[[#This Row],[Total_Cost]]/Supply_Chain[[#This Row],[Stock_On_Hand]]</f>
        <v>1.627450495049505</v>
      </c>
    </row>
    <row r="168" spans="1:33" x14ac:dyDescent="0.25">
      <c r="A168" t="s">
        <v>654</v>
      </c>
      <c r="B168" t="s">
        <v>655</v>
      </c>
      <c r="C168" s="1">
        <v>44738</v>
      </c>
      <c r="D168" s="1">
        <v>44428</v>
      </c>
      <c r="E168" t="s">
        <v>43</v>
      </c>
      <c r="F168" t="s">
        <v>44</v>
      </c>
      <c r="G168" t="s">
        <v>247</v>
      </c>
      <c r="H168" t="s">
        <v>33</v>
      </c>
      <c r="I168" s="3" t="s">
        <v>2893</v>
      </c>
      <c r="J168" s="3" t="s">
        <v>3518</v>
      </c>
      <c r="K168" s="3" t="s">
        <v>3524</v>
      </c>
      <c r="L168" s="3" t="s">
        <v>3692</v>
      </c>
      <c r="M168">
        <v>267.14</v>
      </c>
      <c r="N168">
        <v>93</v>
      </c>
      <c r="O168">
        <f>Supply_Chain[[#This Row],[Unit_Price]]*Supply_Chain[[#This Row],[Quantity]]</f>
        <v>24844.02</v>
      </c>
      <c r="P168" t="s">
        <v>656</v>
      </c>
      <c r="Q168" t="s">
        <v>35</v>
      </c>
      <c r="R168" t="s">
        <v>323</v>
      </c>
      <c r="S168" t="s">
        <v>70</v>
      </c>
      <c r="T168" t="s">
        <v>79</v>
      </c>
      <c r="U168" t="s">
        <v>101</v>
      </c>
      <c r="V168">
        <v>4090</v>
      </c>
      <c r="W168">
        <v>457</v>
      </c>
      <c r="X168">
        <v>21</v>
      </c>
      <c r="Y168">
        <v>913.85</v>
      </c>
      <c r="Z168">
        <v>166.26</v>
      </c>
      <c r="AA168" s="9">
        <v>1080.1099999999999</v>
      </c>
      <c r="AB168" t="s">
        <v>52</v>
      </c>
      <c r="AC168">
        <v>0</v>
      </c>
      <c r="AD168">
        <v>94.98</v>
      </c>
      <c r="AE168">
        <v>107</v>
      </c>
      <c r="AF168">
        <v>148</v>
      </c>
      <c r="AG168" s="11">
        <f>Supply_Chain[[#This Row],[Total_Cost]]/Supply_Chain[[#This Row],[Stock_On_Hand]]</f>
        <v>0.26408557457212711</v>
      </c>
    </row>
    <row r="169" spans="1:33" x14ac:dyDescent="0.25">
      <c r="A169" t="s">
        <v>657</v>
      </c>
      <c r="B169" t="s">
        <v>658</v>
      </c>
      <c r="C169" s="1">
        <v>44220</v>
      </c>
      <c r="D169" s="1">
        <v>44583</v>
      </c>
      <c r="E169" t="s">
        <v>43</v>
      </c>
      <c r="F169" t="s">
        <v>75</v>
      </c>
      <c r="G169" t="s">
        <v>247</v>
      </c>
      <c r="H169" t="s">
        <v>57</v>
      </c>
      <c r="I169" s="3" t="s">
        <v>2894</v>
      </c>
      <c r="J169" s="3" t="s">
        <v>3518</v>
      </c>
      <c r="K169" s="3" t="s">
        <v>3524</v>
      </c>
      <c r="L169" s="3" t="s">
        <v>3693</v>
      </c>
      <c r="M169">
        <v>297.36</v>
      </c>
      <c r="N169">
        <v>38</v>
      </c>
      <c r="O169">
        <f>Supply_Chain[[#This Row],[Unit_Price]]*Supply_Chain[[#This Row],[Quantity]]</f>
        <v>11299.68</v>
      </c>
      <c r="P169" t="s">
        <v>659</v>
      </c>
      <c r="Q169" t="s">
        <v>48</v>
      </c>
      <c r="R169" t="s">
        <v>154</v>
      </c>
      <c r="S169" t="s">
        <v>37</v>
      </c>
      <c r="T169" t="s">
        <v>38</v>
      </c>
      <c r="U169" t="s">
        <v>331</v>
      </c>
      <c r="V169">
        <v>1311</v>
      </c>
      <c r="W169">
        <v>387</v>
      </c>
      <c r="X169">
        <v>12</v>
      </c>
      <c r="Y169">
        <v>869.18</v>
      </c>
      <c r="Z169">
        <v>62.51</v>
      </c>
      <c r="AA169" s="9">
        <v>931.68999999999994</v>
      </c>
      <c r="AB169" t="s">
        <v>52</v>
      </c>
      <c r="AC169">
        <v>0</v>
      </c>
      <c r="AD169">
        <v>97.71</v>
      </c>
      <c r="AE169">
        <v>346</v>
      </c>
      <c r="AF169">
        <v>339</v>
      </c>
      <c r="AG169" s="11">
        <f>Supply_Chain[[#This Row],[Total_Cost]]/Supply_Chain[[#This Row],[Stock_On_Hand]]</f>
        <v>0.71067124332570553</v>
      </c>
    </row>
    <row r="170" spans="1:33" x14ac:dyDescent="0.25">
      <c r="A170" t="s">
        <v>660</v>
      </c>
      <c r="B170" t="s">
        <v>661</v>
      </c>
      <c r="C170" s="1">
        <v>44563</v>
      </c>
      <c r="D170" s="1">
        <v>44502</v>
      </c>
      <c r="E170" t="s">
        <v>43</v>
      </c>
      <c r="F170" t="s">
        <v>44</v>
      </c>
      <c r="G170" t="s">
        <v>56</v>
      </c>
      <c r="H170" t="s">
        <v>57</v>
      </c>
      <c r="I170" s="3" t="s">
        <v>2895</v>
      </c>
      <c r="J170" s="3" t="s">
        <v>3518</v>
      </c>
      <c r="K170" s="3" t="s">
        <v>3525</v>
      </c>
      <c r="L170" s="3" t="s">
        <v>3694</v>
      </c>
      <c r="M170">
        <v>217</v>
      </c>
      <c r="N170">
        <v>20</v>
      </c>
      <c r="O170">
        <f>Supply_Chain[[#This Row],[Unit_Price]]*Supply_Chain[[#This Row],[Quantity]]</f>
        <v>4340</v>
      </c>
      <c r="P170" t="s">
        <v>662</v>
      </c>
      <c r="Q170" t="s">
        <v>86</v>
      </c>
      <c r="R170" t="s">
        <v>154</v>
      </c>
      <c r="S170" t="s">
        <v>70</v>
      </c>
      <c r="T170" t="s">
        <v>100</v>
      </c>
      <c r="U170" t="s">
        <v>291</v>
      </c>
      <c r="V170">
        <v>4118</v>
      </c>
      <c r="W170">
        <v>133</v>
      </c>
      <c r="X170">
        <v>17</v>
      </c>
      <c r="Y170">
        <v>801.16</v>
      </c>
      <c r="Z170">
        <v>295.33</v>
      </c>
      <c r="AA170" s="9">
        <v>1096.49</v>
      </c>
      <c r="AB170" t="s">
        <v>52</v>
      </c>
      <c r="AC170">
        <v>0</v>
      </c>
      <c r="AD170">
        <v>86.5</v>
      </c>
      <c r="AE170">
        <v>360</v>
      </c>
      <c r="AF170">
        <v>390</v>
      </c>
      <c r="AG170" s="11">
        <f>Supply_Chain[[#This Row],[Total_Cost]]/Supply_Chain[[#This Row],[Stock_On_Hand]]</f>
        <v>0.26626760563380281</v>
      </c>
    </row>
    <row r="171" spans="1:33" x14ac:dyDescent="0.25">
      <c r="A171" t="s">
        <v>663</v>
      </c>
      <c r="B171" t="s">
        <v>664</v>
      </c>
      <c r="C171" s="1">
        <v>44097</v>
      </c>
      <c r="D171" s="1">
        <v>44744</v>
      </c>
      <c r="E171" t="s">
        <v>55</v>
      </c>
      <c r="F171" t="s">
        <v>75</v>
      </c>
      <c r="G171" t="s">
        <v>65</v>
      </c>
      <c r="H171" t="s">
        <v>128</v>
      </c>
      <c r="I171" s="3" t="s">
        <v>2896</v>
      </c>
      <c r="J171" s="3" t="s">
        <v>3518</v>
      </c>
      <c r="K171" s="3" t="s">
        <v>3521</v>
      </c>
      <c r="L171" s="3" t="s">
        <v>3695</v>
      </c>
      <c r="M171">
        <v>188.09</v>
      </c>
      <c r="N171">
        <v>67</v>
      </c>
      <c r="O171">
        <f>Supply_Chain[[#This Row],[Unit_Price]]*Supply_Chain[[#This Row],[Quantity]]</f>
        <v>12602.03</v>
      </c>
      <c r="P171" t="s">
        <v>665</v>
      </c>
      <c r="Q171" t="s">
        <v>48</v>
      </c>
      <c r="R171" t="s">
        <v>377</v>
      </c>
      <c r="S171" t="s">
        <v>119</v>
      </c>
      <c r="T171" t="s">
        <v>100</v>
      </c>
      <c r="U171" t="s">
        <v>88</v>
      </c>
      <c r="V171">
        <v>2569</v>
      </c>
      <c r="W171">
        <v>283</v>
      </c>
      <c r="X171">
        <v>4</v>
      </c>
      <c r="Y171">
        <v>773.39</v>
      </c>
      <c r="Z171">
        <v>107.53</v>
      </c>
      <c r="AA171" s="9">
        <v>880.92</v>
      </c>
      <c r="AB171" t="s">
        <v>52</v>
      </c>
      <c r="AC171">
        <v>0</v>
      </c>
      <c r="AD171">
        <v>85.12</v>
      </c>
      <c r="AE171">
        <v>225</v>
      </c>
      <c r="AF171">
        <v>211</v>
      </c>
      <c r="AG171" s="11">
        <f>Supply_Chain[[#This Row],[Total_Cost]]/Supply_Chain[[#This Row],[Stock_On_Hand]]</f>
        <v>0.34290385363954845</v>
      </c>
    </row>
    <row r="172" spans="1:33" x14ac:dyDescent="0.25">
      <c r="A172" t="s">
        <v>666</v>
      </c>
      <c r="B172" t="s">
        <v>667</v>
      </c>
      <c r="C172" s="1">
        <v>45053</v>
      </c>
      <c r="D172" s="1">
        <v>44130</v>
      </c>
      <c r="E172" t="s">
        <v>30</v>
      </c>
      <c r="F172" t="s">
        <v>115</v>
      </c>
      <c r="G172" t="s">
        <v>56</v>
      </c>
      <c r="H172" t="s">
        <v>46</v>
      </c>
      <c r="I172" s="3" t="s">
        <v>2769</v>
      </c>
      <c r="J172" s="3" t="s">
        <v>3518</v>
      </c>
      <c r="K172" s="3" t="s">
        <v>3524</v>
      </c>
      <c r="L172" s="3" t="s">
        <v>3569</v>
      </c>
      <c r="M172">
        <v>15.31</v>
      </c>
      <c r="N172">
        <v>85</v>
      </c>
      <c r="O172">
        <f>Supply_Chain[[#This Row],[Unit_Price]]*Supply_Chain[[#This Row],[Quantity]]</f>
        <v>1301.3500000000001</v>
      </c>
      <c r="P172" t="s">
        <v>668</v>
      </c>
      <c r="Q172" t="s">
        <v>48</v>
      </c>
      <c r="R172" t="s">
        <v>186</v>
      </c>
      <c r="S172" t="s">
        <v>70</v>
      </c>
      <c r="T172" t="s">
        <v>79</v>
      </c>
      <c r="U172" t="s">
        <v>669</v>
      </c>
      <c r="V172">
        <v>3755</v>
      </c>
      <c r="W172">
        <v>177</v>
      </c>
      <c r="X172">
        <v>1</v>
      </c>
      <c r="Y172">
        <v>656.07</v>
      </c>
      <c r="Z172">
        <v>90.06</v>
      </c>
      <c r="AA172" s="9">
        <v>746.13000000000011</v>
      </c>
      <c r="AB172" t="s">
        <v>52</v>
      </c>
      <c r="AC172">
        <v>0</v>
      </c>
      <c r="AD172">
        <v>73.400000000000006</v>
      </c>
      <c r="AE172">
        <v>377</v>
      </c>
      <c r="AF172">
        <v>337</v>
      </c>
      <c r="AG172" s="11">
        <f>Supply_Chain[[#This Row],[Total_Cost]]/Supply_Chain[[#This Row],[Stock_On_Hand]]</f>
        <v>0.1987030625832224</v>
      </c>
    </row>
    <row r="173" spans="1:33" x14ac:dyDescent="0.25">
      <c r="A173" t="s">
        <v>670</v>
      </c>
      <c r="B173" t="s">
        <v>671</v>
      </c>
      <c r="C173" s="1">
        <v>43888</v>
      </c>
      <c r="D173" s="1">
        <v>45420</v>
      </c>
      <c r="E173" t="s">
        <v>55</v>
      </c>
      <c r="F173" t="s">
        <v>75</v>
      </c>
      <c r="G173" t="s">
        <v>65</v>
      </c>
      <c r="H173" t="s">
        <v>46</v>
      </c>
      <c r="I173" s="3" t="s">
        <v>2897</v>
      </c>
      <c r="J173" s="3" t="s">
        <v>84</v>
      </c>
      <c r="K173" s="3" t="s">
        <v>3529</v>
      </c>
      <c r="L173" s="3" t="s">
        <v>3696</v>
      </c>
      <c r="M173">
        <v>131.93</v>
      </c>
      <c r="N173">
        <v>5</v>
      </c>
      <c r="O173">
        <f>Supply_Chain[[#This Row],[Unit_Price]]*Supply_Chain[[#This Row],[Quantity]]</f>
        <v>659.65000000000009</v>
      </c>
      <c r="P173" t="s">
        <v>672</v>
      </c>
      <c r="Q173" t="s">
        <v>110</v>
      </c>
      <c r="R173" t="s">
        <v>236</v>
      </c>
      <c r="S173" t="s">
        <v>70</v>
      </c>
      <c r="T173" t="s">
        <v>71</v>
      </c>
      <c r="U173" t="s">
        <v>545</v>
      </c>
      <c r="V173">
        <v>1641</v>
      </c>
      <c r="W173">
        <v>339</v>
      </c>
      <c r="X173">
        <v>23</v>
      </c>
      <c r="Y173">
        <v>923.34</v>
      </c>
      <c r="Z173">
        <v>439.24</v>
      </c>
      <c r="AA173" s="9">
        <v>1362.58</v>
      </c>
      <c r="AB173" t="s">
        <v>52</v>
      </c>
      <c r="AC173">
        <v>0</v>
      </c>
      <c r="AD173">
        <v>83.93</v>
      </c>
      <c r="AE173">
        <v>130</v>
      </c>
      <c r="AF173">
        <v>142</v>
      </c>
      <c r="AG173" s="11">
        <f>Supply_Chain[[#This Row],[Total_Cost]]/Supply_Chain[[#This Row],[Stock_On_Hand]]</f>
        <v>0.83033516148689823</v>
      </c>
    </row>
    <row r="174" spans="1:33" x14ac:dyDescent="0.25">
      <c r="A174" t="s">
        <v>673</v>
      </c>
      <c r="B174" t="s">
        <v>674</v>
      </c>
      <c r="C174" s="1">
        <v>44146</v>
      </c>
      <c r="D174" s="1">
        <v>44566</v>
      </c>
      <c r="E174" t="s">
        <v>55</v>
      </c>
      <c r="F174" t="s">
        <v>115</v>
      </c>
      <c r="G174" t="s">
        <v>45</v>
      </c>
      <c r="H174" t="s">
        <v>33</v>
      </c>
      <c r="I174" s="3" t="s">
        <v>2898</v>
      </c>
      <c r="J174" s="3" t="s">
        <v>3518</v>
      </c>
      <c r="K174" s="3" t="s">
        <v>3533</v>
      </c>
      <c r="L174" s="3" t="s">
        <v>3697</v>
      </c>
      <c r="M174">
        <v>32.549999999999997</v>
      </c>
      <c r="N174">
        <v>52</v>
      </c>
      <c r="O174">
        <f>Supply_Chain[[#This Row],[Unit_Price]]*Supply_Chain[[#This Row],[Quantity]]</f>
        <v>1692.6</v>
      </c>
      <c r="P174" t="s">
        <v>675</v>
      </c>
      <c r="Q174" t="s">
        <v>35</v>
      </c>
      <c r="R174" t="s">
        <v>360</v>
      </c>
      <c r="S174" t="s">
        <v>119</v>
      </c>
      <c r="T174" t="s">
        <v>100</v>
      </c>
      <c r="U174" t="s">
        <v>112</v>
      </c>
      <c r="V174">
        <v>2143</v>
      </c>
      <c r="W174">
        <v>106</v>
      </c>
      <c r="X174">
        <v>11</v>
      </c>
      <c r="Y174">
        <v>691.88</v>
      </c>
      <c r="Z174">
        <v>88.57</v>
      </c>
      <c r="AA174" s="9">
        <v>780.45</v>
      </c>
      <c r="AB174" t="s">
        <v>52</v>
      </c>
      <c r="AC174">
        <v>0</v>
      </c>
      <c r="AD174">
        <v>92.31</v>
      </c>
      <c r="AE174">
        <v>283</v>
      </c>
      <c r="AF174">
        <v>270</v>
      </c>
      <c r="AG174" s="11">
        <f>Supply_Chain[[#This Row],[Total_Cost]]/Supply_Chain[[#This Row],[Stock_On_Hand]]</f>
        <v>0.36418572095193658</v>
      </c>
    </row>
    <row r="175" spans="1:33" x14ac:dyDescent="0.25">
      <c r="A175" t="s">
        <v>676</v>
      </c>
      <c r="B175" t="s">
        <v>677</v>
      </c>
      <c r="C175" s="1">
        <v>45096</v>
      </c>
      <c r="D175" s="1">
        <v>45069</v>
      </c>
      <c r="E175" t="s">
        <v>55</v>
      </c>
      <c r="F175" t="s">
        <v>44</v>
      </c>
      <c r="G175" t="s">
        <v>45</v>
      </c>
      <c r="H175" t="s">
        <v>128</v>
      </c>
      <c r="I175" s="3" t="s">
        <v>2899</v>
      </c>
      <c r="J175" s="3" t="s">
        <v>3518</v>
      </c>
      <c r="K175" s="3" t="s">
        <v>3525</v>
      </c>
      <c r="L175" s="3" t="s">
        <v>3698</v>
      </c>
      <c r="M175">
        <v>43.69</v>
      </c>
      <c r="N175">
        <v>92</v>
      </c>
      <c r="O175">
        <f>Supply_Chain[[#This Row],[Unit_Price]]*Supply_Chain[[#This Row],[Quantity]]</f>
        <v>4019.4799999999996</v>
      </c>
      <c r="P175" t="s">
        <v>678</v>
      </c>
      <c r="Q175" t="s">
        <v>35</v>
      </c>
      <c r="R175" t="s">
        <v>78</v>
      </c>
      <c r="S175" t="s">
        <v>119</v>
      </c>
      <c r="T175" t="s">
        <v>100</v>
      </c>
      <c r="U175" t="s">
        <v>120</v>
      </c>
      <c r="V175">
        <v>765</v>
      </c>
      <c r="W175">
        <v>321</v>
      </c>
      <c r="X175">
        <v>14</v>
      </c>
      <c r="Y175">
        <v>293.19</v>
      </c>
      <c r="Z175">
        <v>229.29</v>
      </c>
      <c r="AA175" s="9">
        <v>522.48</v>
      </c>
      <c r="AB175" t="s">
        <v>52</v>
      </c>
      <c r="AC175">
        <v>0</v>
      </c>
      <c r="AD175">
        <v>94.1</v>
      </c>
      <c r="AE175">
        <v>434</v>
      </c>
      <c r="AF175">
        <v>439</v>
      </c>
      <c r="AG175" s="11">
        <f>Supply_Chain[[#This Row],[Total_Cost]]/Supply_Chain[[#This Row],[Stock_On_Hand]]</f>
        <v>0.68298039215686279</v>
      </c>
    </row>
    <row r="176" spans="1:33" x14ac:dyDescent="0.25">
      <c r="A176" t="s">
        <v>679</v>
      </c>
      <c r="B176" t="s">
        <v>680</v>
      </c>
      <c r="C176" s="1">
        <v>44290</v>
      </c>
      <c r="D176" s="1">
        <v>45335</v>
      </c>
      <c r="E176" t="s">
        <v>55</v>
      </c>
      <c r="F176" t="s">
        <v>115</v>
      </c>
      <c r="G176" t="s">
        <v>83</v>
      </c>
      <c r="H176" t="s">
        <v>92</v>
      </c>
      <c r="I176" s="3" t="s">
        <v>2900</v>
      </c>
      <c r="J176" s="3" t="s">
        <v>3518</v>
      </c>
      <c r="K176" s="3" t="s">
        <v>3527</v>
      </c>
      <c r="L176" s="3" t="s">
        <v>3699</v>
      </c>
      <c r="M176">
        <v>170.57</v>
      </c>
      <c r="N176">
        <v>8</v>
      </c>
      <c r="O176">
        <f>Supply_Chain[[#This Row],[Unit_Price]]*Supply_Chain[[#This Row],[Quantity]]</f>
        <v>1364.56</v>
      </c>
      <c r="P176" t="s">
        <v>681</v>
      </c>
      <c r="Q176" t="s">
        <v>110</v>
      </c>
      <c r="R176" t="s">
        <v>277</v>
      </c>
      <c r="S176" t="s">
        <v>37</v>
      </c>
      <c r="T176" t="s">
        <v>100</v>
      </c>
      <c r="U176" t="s">
        <v>316</v>
      </c>
      <c r="V176">
        <v>1948</v>
      </c>
      <c r="W176">
        <v>150</v>
      </c>
      <c r="X176">
        <v>9</v>
      </c>
      <c r="Y176">
        <v>1362.85</v>
      </c>
      <c r="Z176">
        <v>111.53</v>
      </c>
      <c r="AA176" s="9">
        <v>1474.38</v>
      </c>
      <c r="AB176" t="s">
        <v>52</v>
      </c>
      <c r="AC176">
        <v>0</v>
      </c>
      <c r="AD176">
        <v>90.95</v>
      </c>
      <c r="AE176">
        <v>453</v>
      </c>
      <c r="AF176">
        <v>473</v>
      </c>
      <c r="AG176" s="11">
        <f>Supply_Chain[[#This Row],[Total_Cost]]/Supply_Chain[[#This Row],[Stock_On_Hand]]</f>
        <v>0.75686858316221772</v>
      </c>
    </row>
    <row r="177" spans="1:33" x14ac:dyDescent="0.25">
      <c r="A177" t="s">
        <v>682</v>
      </c>
      <c r="B177" t="s">
        <v>683</v>
      </c>
      <c r="C177" s="1">
        <v>44810</v>
      </c>
      <c r="D177" s="1">
        <v>45619</v>
      </c>
      <c r="E177" t="s">
        <v>55</v>
      </c>
      <c r="F177" t="s">
        <v>31</v>
      </c>
      <c r="G177" t="s">
        <v>56</v>
      </c>
      <c r="H177" t="s">
        <v>46</v>
      </c>
      <c r="I177" s="3" t="s">
        <v>2901</v>
      </c>
      <c r="J177" s="3" t="s">
        <v>3518</v>
      </c>
      <c r="K177" s="3" t="s">
        <v>3521</v>
      </c>
      <c r="L177" s="3" t="s">
        <v>3700</v>
      </c>
      <c r="M177">
        <v>170.17</v>
      </c>
      <c r="N177">
        <v>34</v>
      </c>
      <c r="O177">
        <f>Supply_Chain[[#This Row],[Unit_Price]]*Supply_Chain[[#This Row],[Quantity]]</f>
        <v>5785.78</v>
      </c>
      <c r="P177" t="s">
        <v>684</v>
      </c>
      <c r="Q177" t="s">
        <v>110</v>
      </c>
      <c r="R177" t="s">
        <v>154</v>
      </c>
      <c r="S177" t="s">
        <v>70</v>
      </c>
      <c r="T177" t="s">
        <v>60</v>
      </c>
      <c r="U177" t="s">
        <v>310</v>
      </c>
      <c r="V177">
        <v>2435</v>
      </c>
      <c r="W177">
        <v>469</v>
      </c>
      <c r="X177">
        <v>5</v>
      </c>
      <c r="Y177">
        <v>1947.25</v>
      </c>
      <c r="Z177">
        <v>243.05</v>
      </c>
      <c r="AA177" s="9">
        <v>2190.3000000000002</v>
      </c>
      <c r="AB177" t="s">
        <v>52</v>
      </c>
      <c r="AC177">
        <v>0</v>
      </c>
      <c r="AD177">
        <v>75.459999999999994</v>
      </c>
      <c r="AE177">
        <v>100</v>
      </c>
      <c r="AF177">
        <v>147</v>
      </c>
      <c r="AG177" s="11">
        <f>Supply_Chain[[#This Row],[Total_Cost]]/Supply_Chain[[#This Row],[Stock_On_Hand]]</f>
        <v>0.89950718685831632</v>
      </c>
    </row>
    <row r="178" spans="1:33" x14ac:dyDescent="0.25">
      <c r="A178" t="s">
        <v>685</v>
      </c>
      <c r="B178" t="s">
        <v>686</v>
      </c>
      <c r="C178" s="1">
        <v>45091</v>
      </c>
      <c r="D178" s="1">
        <v>45315</v>
      </c>
      <c r="E178" t="s">
        <v>55</v>
      </c>
      <c r="F178" t="s">
        <v>31</v>
      </c>
      <c r="G178" t="s">
        <v>83</v>
      </c>
      <c r="H178" t="s">
        <v>57</v>
      </c>
      <c r="I178" s="3" t="s">
        <v>2902</v>
      </c>
      <c r="J178" s="3" t="s">
        <v>3518</v>
      </c>
      <c r="K178" s="3" t="s">
        <v>3521</v>
      </c>
      <c r="L178" s="3" t="s">
        <v>3701</v>
      </c>
      <c r="M178">
        <v>107.39</v>
      </c>
      <c r="N178">
        <v>79</v>
      </c>
      <c r="O178">
        <f>Supply_Chain[[#This Row],[Unit_Price]]*Supply_Chain[[#This Row],[Quantity]]</f>
        <v>8483.81</v>
      </c>
      <c r="P178" t="s">
        <v>687</v>
      </c>
      <c r="Q178" t="s">
        <v>35</v>
      </c>
      <c r="R178" t="s">
        <v>231</v>
      </c>
      <c r="S178" t="s">
        <v>50</v>
      </c>
      <c r="T178" t="s">
        <v>71</v>
      </c>
      <c r="U178" t="s">
        <v>459</v>
      </c>
      <c r="V178">
        <v>4983</v>
      </c>
      <c r="W178">
        <v>489</v>
      </c>
      <c r="X178">
        <v>2</v>
      </c>
      <c r="Y178">
        <v>1799.84</v>
      </c>
      <c r="Z178">
        <v>482.22</v>
      </c>
      <c r="AA178" s="9">
        <v>2282.06</v>
      </c>
      <c r="AB178" t="s">
        <v>52</v>
      </c>
      <c r="AC178">
        <v>0</v>
      </c>
      <c r="AD178">
        <v>80.64</v>
      </c>
      <c r="AE178">
        <v>304</v>
      </c>
      <c r="AF178">
        <v>349</v>
      </c>
      <c r="AG178" s="11">
        <f>Supply_Chain[[#This Row],[Total_Cost]]/Supply_Chain[[#This Row],[Stock_On_Hand]]</f>
        <v>0.4579690949227373</v>
      </c>
    </row>
    <row r="179" spans="1:33" x14ac:dyDescent="0.25">
      <c r="A179" t="s">
        <v>688</v>
      </c>
      <c r="B179" t="s">
        <v>689</v>
      </c>
      <c r="C179" s="1">
        <v>45382</v>
      </c>
      <c r="D179" s="1">
        <v>44950</v>
      </c>
      <c r="E179" t="s">
        <v>55</v>
      </c>
      <c r="F179" t="s">
        <v>44</v>
      </c>
      <c r="G179" t="s">
        <v>83</v>
      </c>
      <c r="H179" t="s">
        <v>57</v>
      </c>
      <c r="I179" s="3" t="s">
        <v>2835</v>
      </c>
      <c r="J179" s="3" t="s">
        <v>3519</v>
      </c>
      <c r="K179" s="3" t="s">
        <v>3530</v>
      </c>
      <c r="L179" s="3" t="s">
        <v>3634</v>
      </c>
      <c r="M179">
        <v>106.12</v>
      </c>
      <c r="N179">
        <v>4</v>
      </c>
      <c r="O179">
        <f>Supply_Chain[[#This Row],[Unit_Price]]*Supply_Chain[[#This Row],[Quantity]]</f>
        <v>424.48</v>
      </c>
      <c r="P179" t="s">
        <v>690</v>
      </c>
      <c r="Q179" t="s">
        <v>35</v>
      </c>
      <c r="R179" t="s">
        <v>327</v>
      </c>
      <c r="S179" t="s">
        <v>119</v>
      </c>
      <c r="T179" t="s">
        <v>38</v>
      </c>
      <c r="U179" t="s">
        <v>691</v>
      </c>
      <c r="V179">
        <v>2817</v>
      </c>
      <c r="W179">
        <v>415</v>
      </c>
      <c r="X179">
        <v>19</v>
      </c>
      <c r="Y179">
        <v>1739.72</v>
      </c>
      <c r="Z179">
        <v>391.17</v>
      </c>
      <c r="AA179" s="9">
        <v>2130.89</v>
      </c>
      <c r="AB179" t="s">
        <v>52</v>
      </c>
      <c r="AC179">
        <v>0</v>
      </c>
      <c r="AD179">
        <v>93.97</v>
      </c>
      <c r="AE179">
        <v>246</v>
      </c>
      <c r="AF179">
        <v>198</v>
      </c>
      <c r="AG179" s="11">
        <f>Supply_Chain[[#This Row],[Total_Cost]]/Supply_Chain[[#This Row],[Stock_On_Hand]]</f>
        <v>0.75643947461838834</v>
      </c>
    </row>
    <row r="180" spans="1:33" x14ac:dyDescent="0.25">
      <c r="A180" t="s">
        <v>692</v>
      </c>
      <c r="B180" t="s">
        <v>402</v>
      </c>
      <c r="C180" s="1">
        <v>44770</v>
      </c>
      <c r="D180" s="1">
        <v>45469</v>
      </c>
      <c r="E180" t="s">
        <v>55</v>
      </c>
      <c r="F180" t="s">
        <v>31</v>
      </c>
      <c r="G180" t="s">
        <v>247</v>
      </c>
      <c r="H180" t="s">
        <v>116</v>
      </c>
      <c r="I180" s="3" t="s">
        <v>2903</v>
      </c>
      <c r="J180" s="3" t="s">
        <v>3519</v>
      </c>
      <c r="K180" s="3" t="s">
        <v>3528</v>
      </c>
      <c r="L180" s="3" t="s">
        <v>3702</v>
      </c>
      <c r="M180">
        <v>81.86</v>
      </c>
      <c r="N180">
        <v>42</v>
      </c>
      <c r="O180">
        <f>Supply_Chain[[#This Row],[Unit_Price]]*Supply_Chain[[#This Row],[Quantity]]</f>
        <v>3438.12</v>
      </c>
      <c r="P180" t="s">
        <v>693</v>
      </c>
      <c r="Q180" t="s">
        <v>110</v>
      </c>
      <c r="R180" t="s">
        <v>264</v>
      </c>
      <c r="S180" t="s">
        <v>37</v>
      </c>
      <c r="T180" t="s">
        <v>100</v>
      </c>
      <c r="U180" t="s">
        <v>141</v>
      </c>
      <c r="V180">
        <v>3025</v>
      </c>
      <c r="W180">
        <v>452</v>
      </c>
      <c r="X180">
        <v>11</v>
      </c>
      <c r="Y180">
        <v>1629.07</v>
      </c>
      <c r="Z180">
        <v>309.37</v>
      </c>
      <c r="AA180" s="9">
        <v>1938.44</v>
      </c>
      <c r="AB180" t="s">
        <v>52</v>
      </c>
      <c r="AC180">
        <v>0</v>
      </c>
      <c r="AD180">
        <v>90.97</v>
      </c>
      <c r="AE180">
        <v>468</v>
      </c>
      <c r="AF180">
        <v>467</v>
      </c>
      <c r="AG180" s="11">
        <f>Supply_Chain[[#This Row],[Total_Cost]]/Supply_Chain[[#This Row],[Stock_On_Hand]]</f>
        <v>0.64080661157024799</v>
      </c>
    </row>
    <row r="181" spans="1:33" x14ac:dyDescent="0.25">
      <c r="A181" t="s">
        <v>694</v>
      </c>
      <c r="B181" t="s">
        <v>695</v>
      </c>
      <c r="C181" s="1">
        <v>44675</v>
      </c>
      <c r="D181" s="1">
        <v>44974</v>
      </c>
      <c r="E181" t="s">
        <v>55</v>
      </c>
      <c r="F181" t="s">
        <v>75</v>
      </c>
      <c r="G181" t="s">
        <v>45</v>
      </c>
      <c r="H181" t="s">
        <v>46</v>
      </c>
      <c r="I181" s="4" t="s">
        <v>2744</v>
      </c>
      <c r="J181" s="4" t="s">
        <v>84</v>
      </c>
      <c r="K181" s="4" t="s">
        <v>3526</v>
      </c>
      <c r="L181" s="4" t="s">
        <v>3544</v>
      </c>
      <c r="M181">
        <v>183.69</v>
      </c>
      <c r="N181">
        <v>37</v>
      </c>
      <c r="O181">
        <f>Supply_Chain[[#This Row],[Unit_Price]]*Supply_Chain[[#This Row],[Quantity]]</f>
        <v>6796.53</v>
      </c>
      <c r="P181" t="s">
        <v>696</v>
      </c>
      <c r="Q181" t="s">
        <v>86</v>
      </c>
      <c r="R181" t="s">
        <v>653</v>
      </c>
      <c r="S181" t="s">
        <v>119</v>
      </c>
      <c r="T181" t="s">
        <v>71</v>
      </c>
      <c r="U181" t="s">
        <v>302</v>
      </c>
      <c r="V181">
        <v>1297</v>
      </c>
      <c r="W181">
        <v>372</v>
      </c>
      <c r="X181">
        <v>6</v>
      </c>
      <c r="Y181">
        <v>680.66</v>
      </c>
      <c r="Z181">
        <v>135.36000000000001</v>
      </c>
      <c r="AA181" s="9">
        <v>816.02</v>
      </c>
      <c r="AB181" t="s">
        <v>52</v>
      </c>
      <c r="AC181">
        <v>0</v>
      </c>
      <c r="AD181">
        <v>87.5</v>
      </c>
      <c r="AE181">
        <v>389</v>
      </c>
      <c r="AF181">
        <v>340</v>
      </c>
      <c r="AG181" s="11">
        <f>Supply_Chain[[#This Row],[Total_Cost]]/Supply_Chain[[#This Row],[Stock_On_Hand]]</f>
        <v>0.62915959907478791</v>
      </c>
    </row>
    <row r="182" spans="1:33" x14ac:dyDescent="0.25">
      <c r="A182" t="s">
        <v>697</v>
      </c>
      <c r="B182" t="s">
        <v>698</v>
      </c>
      <c r="C182" s="1">
        <v>45542</v>
      </c>
      <c r="D182" s="1">
        <v>44321</v>
      </c>
      <c r="E182" t="s">
        <v>55</v>
      </c>
      <c r="F182" t="s">
        <v>115</v>
      </c>
      <c r="G182" t="s">
        <v>45</v>
      </c>
      <c r="H182" t="s">
        <v>46</v>
      </c>
      <c r="I182" s="4" t="s">
        <v>2904</v>
      </c>
      <c r="J182" s="4" t="s">
        <v>84</v>
      </c>
      <c r="K182" s="4" t="s">
        <v>3529</v>
      </c>
      <c r="L182" s="4" t="s">
        <v>3703</v>
      </c>
      <c r="M182">
        <v>248.6</v>
      </c>
      <c r="N182">
        <v>11</v>
      </c>
      <c r="O182">
        <f>Supply_Chain[[#This Row],[Unit_Price]]*Supply_Chain[[#This Row],[Quantity]]</f>
        <v>2734.6</v>
      </c>
      <c r="P182" t="s">
        <v>699</v>
      </c>
      <c r="Q182" t="s">
        <v>86</v>
      </c>
      <c r="R182" t="s">
        <v>145</v>
      </c>
      <c r="S182" t="s">
        <v>119</v>
      </c>
      <c r="T182" t="s">
        <v>60</v>
      </c>
      <c r="U182" t="s">
        <v>331</v>
      </c>
      <c r="V182">
        <v>3415</v>
      </c>
      <c r="W182">
        <v>373</v>
      </c>
      <c r="X182">
        <v>3</v>
      </c>
      <c r="Y182">
        <v>1746.49</v>
      </c>
      <c r="Z182">
        <v>87.93</v>
      </c>
      <c r="AA182" s="9">
        <v>1834.42</v>
      </c>
      <c r="AB182" t="s">
        <v>52</v>
      </c>
      <c r="AC182">
        <v>0</v>
      </c>
      <c r="AD182">
        <v>91.1</v>
      </c>
      <c r="AE182">
        <v>472</v>
      </c>
      <c r="AF182">
        <v>471</v>
      </c>
      <c r="AG182" s="11">
        <f>Supply_Chain[[#This Row],[Total_Cost]]/Supply_Chain[[#This Row],[Stock_On_Hand]]</f>
        <v>0.53716544655929721</v>
      </c>
    </row>
    <row r="183" spans="1:33" x14ac:dyDescent="0.25">
      <c r="A183" t="s">
        <v>700</v>
      </c>
      <c r="B183" t="s">
        <v>701</v>
      </c>
      <c r="C183" s="1">
        <v>44380</v>
      </c>
      <c r="D183" s="1">
        <v>44739</v>
      </c>
      <c r="E183" t="s">
        <v>55</v>
      </c>
      <c r="F183" t="s">
        <v>64</v>
      </c>
      <c r="G183" t="s">
        <v>56</v>
      </c>
      <c r="H183" t="s">
        <v>116</v>
      </c>
      <c r="I183" s="3" t="s">
        <v>2905</v>
      </c>
      <c r="J183" s="3" t="s">
        <v>84</v>
      </c>
      <c r="K183" s="3" t="s">
        <v>3526</v>
      </c>
      <c r="L183" s="3" t="s">
        <v>3704</v>
      </c>
      <c r="M183">
        <v>175.3</v>
      </c>
      <c r="N183">
        <v>77</v>
      </c>
      <c r="O183">
        <f>Supply_Chain[[#This Row],[Unit_Price]]*Supply_Chain[[#This Row],[Quantity]]</f>
        <v>13498.1</v>
      </c>
      <c r="P183" t="s">
        <v>551</v>
      </c>
      <c r="Q183" t="s">
        <v>35</v>
      </c>
      <c r="R183" t="s">
        <v>377</v>
      </c>
      <c r="S183" t="s">
        <v>37</v>
      </c>
      <c r="T183" t="s">
        <v>38</v>
      </c>
      <c r="U183" t="s">
        <v>370</v>
      </c>
      <c r="V183">
        <v>1967</v>
      </c>
      <c r="W183">
        <v>288</v>
      </c>
      <c r="X183">
        <v>4</v>
      </c>
      <c r="Y183">
        <v>896.14</v>
      </c>
      <c r="Z183">
        <v>268.5</v>
      </c>
      <c r="AA183" s="9">
        <v>1164.6400000000001</v>
      </c>
      <c r="AB183" t="s">
        <v>52</v>
      </c>
      <c r="AC183">
        <v>0</v>
      </c>
      <c r="AD183">
        <v>77.900000000000006</v>
      </c>
      <c r="AE183">
        <v>253</v>
      </c>
      <c r="AF183">
        <v>212</v>
      </c>
      <c r="AG183" s="11">
        <f>Supply_Chain[[#This Row],[Total_Cost]]/Supply_Chain[[#This Row],[Stock_On_Hand]]</f>
        <v>0.59208947635993903</v>
      </c>
    </row>
    <row r="184" spans="1:33" x14ac:dyDescent="0.25">
      <c r="A184" t="s">
        <v>702</v>
      </c>
      <c r="B184" t="s">
        <v>703</v>
      </c>
      <c r="C184" s="1">
        <v>45481</v>
      </c>
      <c r="D184" s="1">
        <v>44718</v>
      </c>
      <c r="E184" t="s">
        <v>55</v>
      </c>
      <c r="F184" t="s">
        <v>44</v>
      </c>
      <c r="G184" t="s">
        <v>91</v>
      </c>
      <c r="H184" t="s">
        <v>33</v>
      </c>
      <c r="I184" s="3" t="s">
        <v>2906</v>
      </c>
      <c r="J184" s="3" t="s">
        <v>3518</v>
      </c>
      <c r="K184" s="3" t="s">
        <v>3525</v>
      </c>
      <c r="L184" s="3" t="s">
        <v>3705</v>
      </c>
      <c r="M184">
        <v>475.89</v>
      </c>
      <c r="N184">
        <v>54</v>
      </c>
      <c r="O184">
        <f>Supply_Chain[[#This Row],[Unit_Price]]*Supply_Chain[[#This Row],[Quantity]]</f>
        <v>25698.059999999998</v>
      </c>
      <c r="P184" t="s">
        <v>704</v>
      </c>
      <c r="Q184" t="s">
        <v>110</v>
      </c>
      <c r="R184" t="s">
        <v>87</v>
      </c>
      <c r="S184" t="s">
        <v>37</v>
      </c>
      <c r="T184" t="s">
        <v>79</v>
      </c>
      <c r="U184" t="s">
        <v>150</v>
      </c>
      <c r="V184">
        <v>241</v>
      </c>
      <c r="W184">
        <v>498</v>
      </c>
      <c r="X184">
        <v>20</v>
      </c>
      <c r="Y184">
        <v>1543.65</v>
      </c>
      <c r="Z184">
        <v>22.15</v>
      </c>
      <c r="AA184" s="9">
        <v>1565.8</v>
      </c>
      <c r="AB184" t="s">
        <v>40</v>
      </c>
      <c r="AC184">
        <v>10</v>
      </c>
      <c r="AD184">
        <v>86.32</v>
      </c>
      <c r="AE184">
        <v>194</v>
      </c>
      <c r="AF184">
        <v>237</v>
      </c>
      <c r="AG184" s="11">
        <f>Supply_Chain[[#This Row],[Total_Cost]]/Supply_Chain[[#This Row],[Stock_On_Hand]]</f>
        <v>6.4970954356846473</v>
      </c>
    </row>
    <row r="185" spans="1:33" x14ac:dyDescent="0.25">
      <c r="A185" t="s">
        <v>705</v>
      </c>
      <c r="B185" t="s">
        <v>706</v>
      </c>
      <c r="C185" s="1">
        <v>44540</v>
      </c>
      <c r="D185" s="1">
        <v>45402</v>
      </c>
      <c r="E185" t="s">
        <v>43</v>
      </c>
      <c r="F185" t="s">
        <v>115</v>
      </c>
      <c r="G185" t="s">
        <v>91</v>
      </c>
      <c r="H185" t="s">
        <v>66</v>
      </c>
      <c r="I185" s="3" t="s">
        <v>2883</v>
      </c>
      <c r="J185" s="3" t="s">
        <v>3518</v>
      </c>
      <c r="K185" s="3" t="s">
        <v>3522</v>
      </c>
      <c r="L185" s="3" t="s">
        <v>3682</v>
      </c>
      <c r="M185">
        <v>261.16000000000003</v>
      </c>
      <c r="N185">
        <v>58</v>
      </c>
      <c r="O185">
        <f>Supply_Chain[[#This Row],[Unit_Price]]*Supply_Chain[[#This Row],[Quantity]]</f>
        <v>15147.28</v>
      </c>
      <c r="P185" t="s">
        <v>707</v>
      </c>
      <c r="Q185" t="s">
        <v>86</v>
      </c>
      <c r="R185" t="s">
        <v>145</v>
      </c>
      <c r="S185" t="s">
        <v>70</v>
      </c>
      <c r="T185" t="s">
        <v>60</v>
      </c>
      <c r="U185" t="s">
        <v>499</v>
      </c>
      <c r="V185">
        <v>2161</v>
      </c>
      <c r="W185">
        <v>301</v>
      </c>
      <c r="X185">
        <v>21</v>
      </c>
      <c r="Y185">
        <v>176.7</v>
      </c>
      <c r="Z185">
        <v>327.84</v>
      </c>
      <c r="AA185" s="9">
        <v>504.54</v>
      </c>
      <c r="AB185" t="s">
        <v>40</v>
      </c>
      <c r="AC185">
        <v>5</v>
      </c>
      <c r="AD185">
        <v>88.06</v>
      </c>
      <c r="AE185">
        <v>229</v>
      </c>
      <c r="AF185">
        <v>270</v>
      </c>
      <c r="AG185" s="11">
        <f>Supply_Chain[[#This Row],[Total_Cost]]/Supply_Chain[[#This Row],[Stock_On_Hand]]</f>
        <v>0.23347524294308192</v>
      </c>
    </row>
    <row r="186" spans="1:33" x14ac:dyDescent="0.25">
      <c r="A186" t="s">
        <v>708</v>
      </c>
      <c r="B186" t="s">
        <v>709</v>
      </c>
      <c r="C186" s="1">
        <v>44602</v>
      </c>
      <c r="D186" s="1">
        <v>44779</v>
      </c>
      <c r="E186" t="s">
        <v>55</v>
      </c>
      <c r="F186" t="s">
        <v>31</v>
      </c>
      <c r="G186" t="s">
        <v>83</v>
      </c>
      <c r="H186" t="s">
        <v>33</v>
      </c>
      <c r="I186" s="3" t="s">
        <v>2907</v>
      </c>
      <c r="J186" s="3" t="s">
        <v>3518</v>
      </c>
      <c r="K186" s="3" t="s">
        <v>3522</v>
      </c>
      <c r="L186" s="3" t="s">
        <v>3706</v>
      </c>
      <c r="M186">
        <v>323.37</v>
      </c>
      <c r="N186">
        <v>7</v>
      </c>
      <c r="O186">
        <f>Supply_Chain[[#This Row],[Unit_Price]]*Supply_Chain[[#This Row],[Quantity]]</f>
        <v>2263.59</v>
      </c>
      <c r="P186" t="s">
        <v>710</v>
      </c>
      <c r="Q186" t="s">
        <v>86</v>
      </c>
      <c r="R186" t="s">
        <v>277</v>
      </c>
      <c r="S186" t="s">
        <v>119</v>
      </c>
      <c r="T186" t="s">
        <v>100</v>
      </c>
      <c r="U186" t="s">
        <v>545</v>
      </c>
      <c r="V186">
        <v>1864</v>
      </c>
      <c r="W186">
        <v>73</v>
      </c>
      <c r="X186">
        <v>3</v>
      </c>
      <c r="Y186">
        <v>438.63</v>
      </c>
      <c r="Z186">
        <v>12.74</v>
      </c>
      <c r="AA186" s="9">
        <v>451.37</v>
      </c>
      <c r="AB186" t="s">
        <v>52</v>
      </c>
      <c r="AC186">
        <v>0</v>
      </c>
      <c r="AD186">
        <v>71.27</v>
      </c>
      <c r="AE186">
        <v>246</v>
      </c>
      <c r="AF186">
        <v>229</v>
      </c>
      <c r="AG186" s="11">
        <f>Supply_Chain[[#This Row],[Total_Cost]]/Supply_Chain[[#This Row],[Stock_On_Hand]]</f>
        <v>0.24215128755364806</v>
      </c>
    </row>
    <row r="187" spans="1:33" x14ac:dyDescent="0.25">
      <c r="A187" t="s">
        <v>711</v>
      </c>
      <c r="B187" t="s">
        <v>712</v>
      </c>
      <c r="C187" s="1">
        <v>44659</v>
      </c>
      <c r="D187" s="1">
        <v>44951</v>
      </c>
      <c r="E187" t="s">
        <v>55</v>
      </c>
      <c r="F187" t="s">
        <v>31</v>
      </c>
      <c r="G187" t="s">
        <v>65</v>
      </c>
      <c r="H187" t="s">
        <v>46</v>
      </c>
      <c r="I187" s="3" t="s">
        <v>2908</v>
      </c>
      <c r="J187" s="3" t="s">
        <v>3518</v>
      </c>
      <c r="K187" s="3" t="s">
        <v>3521</v>
      </c>
      <c r="L187" s="3" t="s">
        <v>3707</v>
      </c>
      <c r="M187">
        <v>375.2</v>
      </c>
      <c r="N187">
        <v>91</v>
      </c>
      <c r="O187">
        <f>Supply_Chain[[#This Row],[Unit_Price]]*Supply_Chain[[#This Row],[Quantity]]</f>
        <v>34143.199999999997</v>
      </c>
      <c r="P187" t="s">
        <v>713</v>
      </c>
      <c r="Q187" t="s">
        <v>48</v>
      </c>
      <c r="R187" t="s">
        <v>323</v>
      </c>
      <c r="S187" t="s">
        <v>50</v>
      </c>
      <c r="T187" t="s">
        <v>60</v>
      </c>
      <c r="U187" t="s">
        <v>545</v>
      </c>
      <c r="V187">
        <v>1439</v>
      </c>
      <c r="W187">
        <v>321</v>
      </c>
      <c r="X187">
        <v>19</v>
      </c>
      <c r="Y187">
        <v>780.32</v>
      </c>
      <c r="Z187">
        <v>153.44</v>
      </c>
      <c r="AA187" s="9">
        <v>933.76</v>
      </c>
      <c r="AB187" t="s">
        <v>52</v>
      </c>
      <c r="AC187">
        <v>0</v>
      </c>
      <c r="AD187">
        <v>90.04</v>
      </c>
      <c r="AE187">
        <v>399</v>
      </c>
      <c r="AF187">
        <v>438</v>
      </c>
      <c r="AG187" s="11">
        <f>Supply_Chain[[#This Row],[Total_Cost]]/Supply_Chain[[#This Row],[Stock_On_Hand]]</f>
        <v>0.64889506601806812</v>
      </c>
    </row>
    <row r="188" spans="1:33" x14ac:dyDescent="0.25">
      <c r="A188" t="s">
        <v>714</v>
      </c>
      <c r="B188" t="s">
        <v>715</v>
      </c>
      <c r="C188" s="1">
        <v>45427</v>
      </c>
      <c r="D188" s="1">
        <v>45160</v>
      </c>
      <c r="E188" t="s">
        <v>55</v>
      </c>
      <c r="F188" t="s">
        <v>44</v>
      </c>
      <c r="G188" t="s">
        <v>83</v>
      </c>
      <c r="H188" t="s">
        <v>66</v>
      </c>
      <c r="I188" s="3" t="s">
        <v>2819</v>
      </c>
      <c r="J188" s="3" t="s">
        <v>3518</v>
      </c>
      <c r="K188" s="3" t="s">
        <v>3521</v>
      </c>
      <c r="L188" s="3" t="s">
        <v>3618</v>
      </c>
      <c r="M188">
        <v>340.4</v>
      </c>
      <c r="N188">
        <v>61</v>
      </c>
      <c r="O188">
        <f>Supply_Chain[[#This Row],[Unit_Price]]*Supply_Chain[[#This Row],[Quantity]]</f>
        <v>20764.399999999998</v>
      </c>
      <c r="P188" t="s">
        <v>716</v>
      </c>
      <c r="Q188" t="s">
        <v>110</v>
      </c>
      <c r="R188" t="s">
        <v>480</v>
      </c>
      <c r="S188" t="s">
        <v>37</v>
      </c>
      <c r="T188" t="s">
        <v>79</v>
      </c>
      <c r="U188" t="s">
        <v>39</v>
      </c>
      <c r="V188">
        <v>2141</v>
      </c>
      <c r="W188">
        <v>257</v>
      </c>
      <c r="X188">
        <v>4</v>
      </c>
      <c r="Y188">
        <v>1347.39</v>
      </c>
      <c r="Z188">
        <v>450.32</v>
      </c>
      <c r="AA188" s="9">
        <v>1797.71</v>
      </c>
      <c r="AB188" t="s">
        <v>52</v>
      </c>
      <c r="AC188">
        <v>0</v>
      </c>
      <c r="AD188">
        <v>79.7</v>
      </c>
      <c r="AE188">
        <v>410</v>
      </c>
      <c r="AF188">
        <v>421</v>
      </c>
      <c r="AG188" s="11">
        <f>Supply_Chain[[#This Row],[Total_Cost]]/Supply_Chain[[#This Row],[Stock_On_Hand]]</f>
        <v>0.83965903783278839</v>
      </c>
    </row>
    <row r="189" spans="1:33" x14ac:dyDescent="0.25">
      <c r="A189" t="s">
        <v>717</v>
      </c>
      <c r="B189" t="s">
        <v>718</v>
      </c>
      <c r="C189" s="1">
        <v>43915</v>
      </c>
      <c r="D189" s="1">
        <v>44448</v>
      </c>
      <c r="E189" t="s">
        <v>55</v>
      </c>
      <c r="F189" t="s">
        <v>44</v>
      </c>
      <c r="G189" t="s">
        <v>247</v>
      </c>
      <c r="H189" t="s">
        <v>128</v>
      </c>
      <c r="I189" s="3" t="s">
        <v>2909</v>
      </c>
      <c r="J189" s="3" t="s">
        <v>3518</v>
      </c>
      <c r="K189" s="3" t="s">
        <v>3521</v>
      </c>
      <c r="L189" s="3" t="s">
        <v>3708</v>
      </c>
      <c r="M189">
        <v>235.53</v>
      </c>
      <c r="N189">
        <v>55</v>
      </c>
      <c r="O189">
        <f>Supply_Chain[[#This Row],[Unit_Price]]*Supply_Chain[[#This Row],[Quantity]]</f>
        <v>12954.15</v>
      </c>
      <c r="P189" t="s">
        <v>684</v>
      </c>
      <c r="Q189" t="s">
        <v>35</v>
      </c>
      <c r="R189" t="s">
        <v>248</v>
      </c>
      <c r="S189" t="s">
        <v>70</v>
      </c>
      <c r="T189" t="s">
        <v>38</v>
      </c>
      <c r="U189" t="s">
        <v>131</v>
      </c>
      <c r="V189">
        <v>1642</v>
      </c>
      <c r="W189">
        <v>325</v>
      </c>
      <c r="X189">
        <v>23</v>
      </c>
      <c r="Y189">
        <v>507.61</v>
      </c>
      <c r="Z189">
        <v>99.31</v>
      </c>
      <c r="AA189" s="9">
        <v>606.92000000000007</v>
      </c>
      <c r="AB189" t="s">
        <v>52</v>
      </c>
      <c r="AC189">
        <v>0</v>
      </c>
      <c r="AD189">
        <v>82.82</v>
      </c>
      <c r="AE189">
        <v>214</v>
      </c>
      <c r="AF189">
        <v>217</v>
      </c>
      <c r="AG189" s="11">
        <f>Supply_Chain[[#This Row],[Total_Cost]]/Supply_Chain[[#This Row],[Stock_On_Hand]]</f>
        <v>0.36962241169305732</v>
      </c>
    </row>
    <row r="190" spans="1:33" x14ac:dyDescent="0.25">
      <c r="A190" t="s">
        <v>719</v>
      </c>
      <c r="B190" t="s">
        <v>720</v>
      </c>
      <c r="C190" s="1">
        <v>44269</v>
      </c>
      <c r="D190" s="1">
        <v>44225</v>
      </c>
      <c r="E190" t="s">
        <v>55</v>
      </c>
      <c r="F190" t="s">
        <v>44</v>
      </c>
      <c r="G190" t="s">
        <v>247</v>
      </c>
      <c r="H190" t="s">
        <v>166</v>
      </c>
      <c r="I190" s="3" t="s">
        <v>2910</v>
      </c>
      <c r="J190" s="3" t="s">
        <v>3518</v>
      </c>
      <c r="K190" s="3" t="s">
        <v>3524</v>
      </c>
      <c r="L190" s="3" t="s">
        <v>3709</v>
      </c>
      <c r="M190">
        <v>74.040000000000006</v>
      </c>
      <c r="N190">
        <v>7</v>
      </c>
      <c r="O190">
        <f>Supply_Chain[[#This Row],[Unit_Price]]*Supply_Chain[[#This Row],[Quantity]]</f>
        <v>518.28000000000009</v>
      </c>
      <c r="P190" t="s">
        <v>721</v>
      </c>
      <c r="Q190" t="s">
        <v>35</v>
      </c>
      <c r="R190" t="s">
        <v>118</v>
      </c>
      <c r="S190" t="s">
        <v>119</v>
      </c>
      <c r="T190" t="s">
        <v>100</v>
      </c>
      <c r="U190" t="s">
        <v>120</v>
      </c>
      <c r="V190">
        <v>3724</v>
      </c>
      <c r="W190">
        <v>466</v>
      </c>
      <c r="X190">
        <v>8</v>
      </c>
      <c r="Y190">
        <v>511.79</v>
      </c>
      <c r="Z190">
        <v>65.83</v>
      </c>
      <c r="AA190" s="9">
        <v>577.62</v>
      </c>
      <c r="AB190" t="s">
        <v>52</v>
      </c>
      <c r="AC190">
        <v>0</v>
      </c>
      <c r="AD190">
        <v>77.069999999999993</v>
      </c>
      <c r="AE190">
        <v>132</v>
      </c>
      <c r="AF190">
        <v>126</v>
      </c>
      <c r="AG190" s="11">
        <f>Supply_Chain[[#This Row],[Total_Cost]]/Supply_Chain[[#This Row],[Stock_On_Hand]]</f>
        <v>0.15510741138560688</v>
      </c>
    </row>
    <row r="191" spans="1:33" x14ac:dyDescent="0.25">
      <c r="A191" t="s">
        <v>722</v>
      </c>
      <c r="B191" t="s">
        <v>723</v>
      </c>
      <c r="C191" s="1">
        <v>44032</v>
      </c>
      <c r="D191" s="1">
        <v>43854</v>
      </c>
      <c r="E191" t="s">
        <v>30</v>
      </c>
      <c r="F191" t="s">
        <v>31</v>
      </c>
      <c r="G191" t="s">
        <v>91</v>
      </c>
      <c r="H191" t="s">
        <v>92</v>
      </c>
      <c r="I191" s="3" t="s">
        <v>2911</v>
      </c>
      <c r="J191" s="3" t="s">
        <v>3518</v>
      </c>
      <c r="K191" s="3" t="s">
        <v>3524</v>
      </c>
      <c r="L191" s="3" t="s">
        <v>3710</v>
      </c>
      <c r="M191">
        <v>199.53</v>
      </c>
      <c r="N191">
        <v>61</v>
      </c>
      <c r="O191">
        <f>Supply_Chain[[#This Row],[Unit_Price]]*Supply_Chain[[#This Row],[Quantity]]</f>
        <v>12171.33</v>
      </c>
      <c r="P191" t="s">
        <v>724</v>
      </c>
      <c r="Q191" t="s">
        <v>48</v>
      </c>
      <c r="R191" t="s">
        <v>94</v>
      </c>
      <c r="S191" t="s">
        <v>37</v>
      </c>
      <c r="T191" t="s">
        <v>79</v>
      </c>
      <c r="U191" t="s">
        <v>80</v>
      </c>
      <c r="V191">
        <v>4021</v>
      </c>
      <c r="W191">
        <v>137</v>
      </c>
      <c r="X191">
        <v>20</v>
      </c>
      <c r="Y191">
        <v>1430.03</v>
      </c>
      <c r="Z191">
        <v>258.5</v>
      </c>
      <c r="AA191" s="9">
        <v>1688.53</v>
      </c>
      <c r="AB191" t="s">
        <v>52</v>
      </c>
      <c r="AC191">
        <v>0</v>
      </c>
      <c r="AD191">
        <v>70.760000000000005</v>
      </c>
      <c r="AE191">
        <v>470</v>
      </c>
      <c r="AF191">
        <v>426</v>
      </c>
      <c r="AG191" s="11">
        <f>Supply_Chain[[#This Row],[Total_Cost]]/Supply_Chain[[#This Row],[Stock_On_Hand]]</f>
        <v>0.41992787863715492</v>
      </c>
    </row>
    <row r="192" spans="1:33" x14ac:dyDescent="0.25">
      <c r="A192" t="s">
        <v>725</v>
      </c>
      <c r="B192" t="s">
        <v>726</v>
      </c>
      <c r="C192" s="1">
        <v>45169</v>
      </c>
      <c r="D192" s="1">
        <v>43862</v>
      </c>
      <c r="E192" t="s">
        <v>43</v>
      </c>
      <c r="F192" t="s">
        <v>64</v>
      </c>
      <c r="G192" t="s">
        <v>76</v>
      </c>
      <c r="H192" t="s">
        <v>46</v>
      </c>
      <c r="I192" s="3" t="s">
        <v>2912</v>
      </c>
      <c r="J192" s="3" t="s">
        <v>3519</v>
      </c>
      <c r="K192" s="3" t="s">
        <v>3530</v>
      </c>
      <c r="L192" s="3" t="s">
        <v>3711</v>
      </c>
      <c r="M192">
        <v>355.56</v>
      </c>
      <c r="N192">
        <v>28</v>
      </c>
      <c r="O192">
        <f>Supply_Chain[[#This Row],[Unit_Price]]*Supply_Chain[[#This Row],[Quantity]]</f>
        <v>9955.68</v>
      </c>
      <c r="P192" t="s">
        <v>727</v>
      </c>
      <c r="Q192" t="s">
        <v>35</v>
      </c>
      <c r="R192" t="s">
        <v>111</v>
      </c>
      <c r="S192" t="s">
        <v>119</v>
      </c>
      <c r="T192" t="s">
        <v>79</v>
      </c>
      <c r="U192" t="s">
        <v>310</v>
      </c>
      <c r="V192">
        <v>3754</v>
      </c>
      <c r="W192">
        <v>367</v>
      </c>
      <c r="X192">
        <v>1</v>
      </c>
      <c r="Y192">
        <v>297.49</v>
      </c>
      <c r="Z192">
        <v>226.33</v>
      </c>
      <c r="AA192" s="9">
        <v>523.82000000000005</v>
      </c>
      <c r="AB192" t="s">
        <v>52</v>
      </c>
      <c r="AC192">
        <v>0</v>
      </c>
      <c r="AD192">
        <v>83.6</v>
      </c>
      <c r="AE192">
        <v>289</v>
      </c>
      <c r="AF192">
        <v>287</v>
      </c>
      <c r="AG192" s="11">
        <f>Supply_Chain[[#This Row],[Total_Cost]]/Supply_Chain[[#This Row],[Stock_On_Hand]]</f>
        <v>0.13953649440596699</v>
      </c>
    </row>
    <row r="193" spans="1:33" x14ac:dyDescent="0.25">
      <c r="A193" t="s">
        <v>728</v>
      </c>
      <c r="B193" t="s">
        <v>729</v>
      </c>
      <c r="C193" s="1">
        <v>45055</v>
      </c>
      <c r="D193" s="1">
        <v>44006</v>
      </c>
      <c r="E193" t="s">
        <v>43</v>
      </c>
      <c r="F193" t="s">
        <v>64</v>
      </c>
      <c r="G193" t="s">
        <v>247</v>
      </c>
      <c r="H193" t="s">
        <v>46</v>
      </c>
      <c r="I193" s="3" t="s">
        <v>2913</v>
      </c>
      <c r="J193" s="3" t="s">
        <v>3519</v>
      </c>
      <c r="K193" s="3" t="s">
        <v>3536</v>
      </c>
      <c r="L193" s="3" t="s">
        <v>3712</v>
      </c>
      <c r="M193">
        <v>107.85</v>
      </c>
      <c r="N193">
        <v>78</v>
      </c>
      <c r="O193">
        <f>Supply_Chain[[#This Row],[Unit_Price]]*Supply_Chain[[#This Row],[Quantity]]</f>
        <v>8412.2999999999993</v>
      </c>
      <c r="P193" t="s">
        <v>498</v>
      </c>
      <c r="Q193" t="s">
        <v>35</v>
      </c>
      <c r="R193" t="s">
        <v>264</v>
      </c>
      <c r="S193" t="s">
        <v>50</v>
      </c>
      <c r="T193" t="s">
        <v>79</v>
      </c>
      <c r="U193" t="s">
        <v>440</v>
      </c>
      <c r="V193">
        <v>4926</v>
      </c>
      <c r="W193">
        <v>387</v>
      </c>
      <c r="X193">
        <v>21</v>
      </c>
      <c r="Y193">
        <v>692.15</v>
      </c>
      <c r="Z193">
        <v>130.80000000000001</v>
      </c>
      <c r="AA193" s="9">
        <v>822.95</v>
      </c>
      <c r="AB193" t="s">
        <v>52</v>
      </c>
      <c r="AC193">
        <v>0</v>
      </c>
      <c r="AD193">
        <v>74.83</v>
      </c>
      <c r="AE193">
        <v>286</v>
      </c>
      <c r="AF193">
        <v>317</v>
      </c>
      <c r="AG193" s="11">
        <f>Supply_Chain[[#This Row],[Total_Cost]]/Supply_Chain[[#This Row],[Stock_On_Hand]]</f>
        <v>0.16706252537555827</v>
      </c>
    </row>
    <row r="194" spans="1:33" x14ac:dyDescent="0.25">
      <c r="A194" t="s">
        <v>730</v>
      </c>
      <c r="B194" t="s">
        <v>731</v>
      </c>
      <c r="C194" s="1">
        <v>45130</v>
      </c>
      <c r="D194" s="1">
        <v>45532</v>
      </c>
      <c r="E194" t="s">
        <v>55</v>
      </c>
      <c r="F194" t="s">
        <v>75</v>
      </c>
      <c r="G194" t="s">
        <v>76</v>
      </c>
      <c r="H194" t="s">
        <v>116</v>
      </c>
      <c r="I194" s="3" t="s">
        <v>2914</v>
      </c>
      <c r="J194" s="3" t="s">
        <v>84</v>
      </c>
      <c r="K194" s="3" t="s">
        <v>3529</v>
      </c>
      <c r="L194" s="3" t="s">
        <v>3713</v>
      </c>
      <c r="M194">
        <v>23.18</v>
      </c>
      <c r="N194">
        <v>37</v>
      </c>
      <c r="O194">
        <f>Supply_Chain[[#This Row],[Unit_Price]]*Supply_Chain[[#This Row],[Quantity]]</f>
        <v>857.66</v>
      </c>
      <c r="P194" t="s">
        <v>222</v>
      </c>
      <c r="Q194" t="s">
        <v>48</v>
      </c>
      <c r="R194" t="s">
        <v>172</v>
      </c>
      <c r="S194" t="s">
        <v>70</v>
      </c>
      <c r="T194" t="s">
        <v>60</v>
      </c>
      <c r="U194" t="s">
        <v>265</v>
      </c>
      <c r="V194">
        <v>2600</v>
      </c>
      <c r="W194">
        <v>122</v>
      </c>
      <c r="X194">
        <v>3</v>
      </c>
      <c r="Y194">
        <v>1942.19</v>
      </c>
      <c r="Z194">
        <v>452.53</v>
      </c>
      <c r="AA194" s="9">
        <v>2394.7199999999998</v>
      </c>
      <c r="AB194" t="s">
        <v>52</v>
      </c>
      <c r="AC194">
        <v>0</v>
      </c>
      <c r="AD194">
        <v>97.75</v>
      </c>
      <c r="AE194">
        <v>304</v>
      </c>
      <c r="AF194">
        <v>295</v>
      </c>
      <c r="AG194" s="11">
        <f>Supply_Chain[[#This Row],[Total_Cost]]/Supply_Chain[[#This Row],[Stock_On_Hand]]</f>
        <v>0.92104615384615374</v>
      </c>
    </row>
    <row r="195" spans="1:33" x14ac:dyDescent="0.25">
      <c r="A195" t="s">
        <v>732</v>
      </c>
      <c r="B195" t="s">
        <v>733</v>
      </c>
      <c r="C195" s="1">
        <v>44324</v>
      </c>
      <c r="D195" s="1">
        <v>44903</v>
      </c>
      <c r="E195" t="s">
        <v>43</v>
      </c>
      <c r="F195" t="s">
        <v>44</v>
      </c>
      <c r="G195" t="s">
        <v>76</v>
      </c>
      <c r="H195" t="s">
        <v>57</v>
      </c>
      <c r="I195" s="3" t="s">
        <v>2915</v>
      </c>
      <c r="J195" s="3" t="s">
        <v>3518</v>
      </c>
      <c r="K195" s="3" t="s">
        <v>3522</v>
      </c>
      <c r="L195" s="3" t="s">
        <v>3714</v>
      </c>
      <c r="M195">
        <v>27.74</v>
      </c>
      <c r="N195">
        <v>37</v>
      </c>
      <c r="O195">
        <f>Supply_Chain[[#This Row],[Unit_Price]]*Supply_Chain[[#This Row],[Quantity]]</f>
        <v>1026.3799999999999</v>
      </c>
      <c r="P195" t="s">
        <v>734</v>
      </c>
      <c r="Q195" t="s">
        <v>48</v>
      </c>
      <c r="R195" t="s">
        <v>253</v>
      </c>
      <c r="S195" t="s">
        <v>70</v>
      </c>
      <c r="T195" t="s">
        <v>79</v>
      </c>
      <c r="U195" t="s">
        <v>338</v>
      </c>
      <c r="V195">
        <v>1323</v>
      </c>
      <c r="W195">
        <v>274</v>
      </c>
      <c r="X195">
        <v>7</v>
      </c>
      <c r="Y195">
        <v>86.22</v>
      </c>
      <c r="Z195">
        <v>89.82</v>
      </c>
      <c r="AA195" s="9">
        <v>176.04</v>
      </c>
      <c r="AB195" t="s">
        <v>52</v>
      </c>
      <c r="AC195">
        <v>0</v>
      </c>
      <c r="AD195">
        <v>85.18</v>
      </c>
      <c r="AE195">
        <v>334</v>
      </c>
      <c r="AF195">
        <v>320</v>
      </c>
      <c r="AG195" s="11">
        <f>Supply_Chain[[#This Row],[Total_Cost]]/Supply_Chain[[#This Row],[Stock_On_Hand]]</f>
        <v>0.1330612244897959</v>
      </c>
    </row>
    <row r="196" spans="1:33" x14ac:dyDescent="0.25">
      <c r="A196" t="s">
        <v>735</v>
      </c>
      <c r="B196" t="s">
        <v>736</v>
      </c>
      <c r="C196" s="1">
        <v>45228</v>
      </c>
      <c r="D196" s="1">
        <v>45073</v>
      </c>
      <c r="E196" t="s">
        <v>55</v>
      </c>
      <c r="F196" t="s">
        <v>31</v>
      </c>
      <c r="G196" t="s">
        <v>76</v>
      </c>
      <c r="H196" t="s">
        <v>66</v>
      </c>
      <c r="I196" s="3" t="s">
        <v>2916</v>
      </c>
      <c r="J196" s="3" t="s">
        <v>3518</v>
      </c>
      <c r="K196" s="3" t="s">
        <v>3522</v>
      </c>
      <c r="L196" s="3" t="s">
        <v>3715</v>
      </c>
      <c r="M196">
        <v>414.94</v>
      </c>
      <c r="N196">
        <v>23</v>
      </c>
      <c r="O196">
        <f>Supply_Chain[[#This Row],[Unit_Price]]*Supply_Chain[[#This Row],[Quantity]]</f>
        <v>9543.6200000000008</v>
      </c>
      <c r="P196" t="s">
        <v>737</v>
      </c>
      <c r="Q196" t="s">
        <v>68</v>
      </c>
      <c r="R196" t="s">
        <v>653</v>
      </c>
      <c r="S196" t="s">
        <v>37</v>
      </c>
      <c r="T196" t="s">
        <v>71</v>
      </c>
      <c r="U196" t="s">
        <v>691</v>
      </c>
      <c r="V196">
        <v>2076</v>
      </c>
      <c r="W196">
        <v>147</v>
      </c>
      <c r="X196">
        <v>26</v>
      </c>
      <c r="Y196">
        <v>51.65</v>
      </c>
      <c r="Z196">
        <v>275.05</v>
      </c>
      <c r="AA196" s="9">
        <v>326.7</v>
      </c>
      <c r="AB196" t="s">
        <v>52</v>
      </c>
      <c r="AC196">
        <v>0</v>
      </c>
      <c r="AD196">
        <v>71.900000000000006</v>
      </c>
      <c r="AE196">
        <v>223</v>
      </c>
      <c r="AF196">
        <v>222</v>
      </c>
      <c r="AG196" s="11">
        <f>Supply_Chain[[#This Row],[Total_Cost]]/Supply_Chain[[#This Row],[Stock_On_Hand]]</f>
        <v>0.15736994219653178</v>
      </c>
    </row>
    <row r="197" spans="1:33" x14ac:dyDescent="0.25">
      <c r="A197" t="s">
        <v>738</v>
      </c>
      <c r="B197" t="s">
        <v>739</v>
      </c>
      <c r="C197" s="1">
        <v>43831</v>
      </c>
      <c r="D197" s="1">
        <v>45097</v>
      </c>
      <c r="E197" t="s">
        <v>43</v>
      </c>
      <c r="F197" t="s">
        <v>115</v>
      </c>
      <c r="G197" t="s">
        <v>83</v>
      </c>
      <c r="H197" t="s">
        <v>46</v>
      </c>
      <c r="I197" s="3" t="s">
        <v>2917</v>
      </c>
      <c r="J197" s="3" t="s">
        <v>3518</v>
      </c>
      <c r="K197" s="3" t="s">
        <v>3521</v>
      </c>
      <c r="L197" s="3" t="s">
        <v>3716</v>
      </c>
      <c r="M197">
        <v>247.47</v>
      </c>
      <c r="N197">
        <v>78</v>
      </c>
      <c r="O197">
        <f>Supply_Chain[[#This Row],[Unit_Price]]*Supply_Chain[[#This Row],[Quantity]]</f>
        <v>19302.66</v>
      </c>
      <c r="P197" t="s">
        <v>548</v>
      </c>
      <c r="Q197" t="s">
        <v>35</v>
      </c>
      <c r="R197" t="s">
        <v>78</v>
      </c>
      <c r="S197" t="s">
        <v>50</v>
      </c>
      <c r="T197" t="s">
        <v>38</v>
      </c>
      <c r="U197" t="s">
        <v>51</v>
      </c>
      <c r="V197">
        <v>4660</v>
      </c>
      <c r="W197">
        <v>439</v>
      </c>
      <c r="X197">
        <v>21</v>
      </c>
      <c r="Y197">
        <v>404.37</v>
      </c>
      <c r="Z197">
        <v>201.21</v>
      </c>
      <c r="AA197" s="9">
        <v>605.58000000000004</v>
      </c>
      <c r="AB197" t="s">
        <v>52</v>
      </c>
      <c r="AC197">
        <v>0</v>
      </c>
      <c r="AD197">
        <v>71.53</v>
      </c>
      <c r="AE197">
        <v>424</v>
      </c>
      <c r="AF197">
        <v>387</v>
      </c>
      <c r="AG197" s="11">
        <f>Supply_Chain[[#This Row],[Total_Cost]]/Supply_Chain[[#This Row],[Stock_On_Hand]]</f>
        <v>0.12995278969957083</v>
      </c>
    </row>
    <row r="198" spans="1:33" x14ac:dyDescent="0.25">
      <c r="A198" t="s">
        <v>740</v>
      </c>
      <c r="B198" t="s">
        <v>741</v>
      </c>
      <c r="C198" s="1">
        <v>44445</v>
      </c>
      <c r="D198" s="1">
        <v>44102</v>
      </c>
      <c r="E198" t="s">
        <v>55</v>
      </c>
      <c r="F198" t="s">
        <v>31</v>
      </c>
      <c r="G198" t="s">
        <v>91</v>
      </c>
      <c r="H198" t="s">
        <v>33</v>
      </c>
      <c r="I198" s="3" t="s">
        <v>2918</v>
      </c>
      <c r="J198" s="3" t="s">
        <v>3518</v>
      </c>
      <c r="K198" s="3" t="s">
        <v>3524</v>
      </c>
      <c r="L198" s="3" t="s">
        <v>3717</v>
      </c>
      <c r="M198">
        <v>110.28</v>
      </c>
      <c r="N198">
        <v>61</v>
      </c>
      <c r="O198">
        <f>Supply_Chain[[#This Row],[Unit_Price]]*Supply_Chain[[#This Row],[Quantity]]</f>
        <v>6727.08</v>
      </c>
      <c r="P198" t="s">
        <v>742</v>
      </c>
      <c r="Q198" t="s">
        <v>48</v>
      </c>
      <c r="R198" t="s">
        <v>94</v>
      </c>
      <c r="S198" t="s">
        <v>37</v>
      </c>
      <c r="T198" t="s">
        <v>79</v>
      </c>
      <c r="U198" t="s">
        <v>207</v>
      </c>
      <c r="V198">
        <v>4847</v>
      </c>
      <c r="W198">
        <v>54</v>
      </c>
      <c r="X198">
        <v>7</v>
      </c>
      <c r="Y198">
        <v>1775.82</v>
      </c>
      <c r="Z198">
        <v>272.06</v>
      </c>
      <c r="AA198" s="9">
        <v>2047.88</v>
      </c>
      <c r="AB198" t="s">
        <v>40</v>
      </c>
      <c r="AC198">
        <v>12</v>
      </c>
      <c r="AD198">
        <v>79.290000000000006</v>
      </c>
      <c r="AE198">
        <v>358</v>
      </c>
      <c r="AF198">
        <v>319</v>
      </c>
      <c r="AG198" s="11">
        <f>Supply_Chain[[#This Row],[Total_Cost]]/Supply_Chain[[#This Row],[Stock_On_Hand]]</f>
        <v>0.4225046420466268</v>
      </c>
    </row>
    <row r="199" spans="1:33" x14ac:dyDescent="0.25">
      <c r="A199" t="s">
        <v>743</v>
      </c>
      <c r="B199" t="s">
        <v>744</v>
      </c>
      <c r="C199" s="1">
        <v>44381</v>
      </c>
      <c r="D199" s="1">
        <v>45275</v>
      </c>
      <c r="E199" t="s">
        <v>30</v>
      </c>
      <c r="F199" t="s">
        <v>75</v>
      </c>
      <c r="G199" t="s">
        <v>76</v>
      </c>
      <c r="H199" t="s">
        <v>57</v>
      </c>
      <c r="I199" s="3" t="s">
        <v>2919</v>
      </c>
      <c r="J199" s="3" t="s">
        <v>3519</v>
      </c>
      <c r="K199" s="3" t="s">
        <v>3528</v>
      </c>
      <c r="L199" s="3" t="s">
        <v>3718</v>
      </c>
      <c r="M199">
        <v>459.68</v>
      </c>
      <c r="N199">
        <v>27</v>
      </c>
      <c r="O199">
        <f>Supply_Chain[[#This Row],[Unit_Price]]*Supply_Chain[[#This Row],[Quantity]]</f>
        <v>12411.36</v>
      </c>
      <c r="P199" t="s">
        <v>745</v>
      </c>
      <c r="Q199" t="s">
        <v>110</v>
      </c>
      <c r="R199" t="s">
        <v>369</v>
      </c>
      <c r="S199" t="s">
        <v>50</v>
      </c>
      <c r="T199" t="s">
        <v>100</v>
      </c>
      <c r="U199" t="s">
        <v>223</v>
      </c>
      <c r="V199">
        <v>188</v>
      </c>
      <c r="W199">
        <v>160</v>
      </c>
      <c r="X199">
        <v>24</v>
      </c>
      <c r="Y199">
        <v>272.56</v>
      </c>
      <c r="Z199">
        <v>314.79000000000002</v>
      </c>
      <c r="AA199" s="9">
        <v>587.35</v>
      </c>
      <c r="AB199" t="s">
        <v>52</v>
      </c>
      <c r="AC199">
        <v>0</v>
      </c>
      <c r="AD199">
        <v>76.39</v>
      </c>
      <c r="AE199">
        <v>457</v>
      </c>
      <c r="AF199">
        <v>435</v>
      </c>
      <c r="AG199" s="11">
        <f>Supply_Chain[[#This Row],[Total_Cost]]/Supply_Chain[[#This Row],[Stock_On_Hand]]</f>
        <v>3.1242021276595744</v>
      </c>
    </row>
    <row r="200" spans="1:33" x14ac:dyDescent="0.25">
      <c r="A200" t="s">
        <v>746</v>
      </c>
      <c r="B200" t="s">
        <v>747</v>
      </c>
      <c r="C200" s="1">
        <v>45003</v>
      </c>
      <c r="D200" s="1">
        <v>44359</v>
      </c>
      <c r="E200" t="s">
        <v>55</v>
      </c>
      <c r="F200" t="s">
        <v>31</v>
      </c>
      <c r="G200" t="s">
        <v>91</v>
      </c>
      <c r="H200" t="s">
        <v>116</v>
      </c>
      <c r="I200" s="3" t="s">
        <v>2920</v>
      </c>
      <c r="J200" s="3" t="s">
        <v>84</v>
      </c>
      <c r="K200" s="3" t="s">
        <v>3534</v>
      </c>
      <c r="L200" s="3" t="s">
        <v>3719</v>
      </c>
      <c r="M200">
        <v>177.53</v>
      </c>
      <c r="N200">
        <v>62</v>
      </c>
      <c r="O200">
        <f>Supply_Chain[[#This Row],[Unit_Price]]*Supply_Chain[[#This Row],[Quantity]]</f>
        <v>11006.86</v>
      </c>
      <c r="P200" t="s">
        <v>748</v>
      </c>
      <c r="Q200" t="s">
        <v>86</v>
      </c>
      <c r="R200" t="s">
        <v>78</v>
      </c>
      <c r="S200" t="s">
        <v>70</v>
      </c>
      <c r="T200" t="s">
        <v>71</v>
      </c>
      <c r="U200" t="s">
        <v>429</v>
      </c>
      <c r="V200">
        <v>4600</v>
      </c>
      <c r="W200">
        <v>365</v>
      </c>
      <c r="X200">
        <v>6</v>
      </c>
      <c r="Y200">
        <v>1142.79</v>
      </c>
      <c r="Z200">
        <v>392.48</v>
      </c>
      <c r="AA200" s="9">
        <v>1535.27</v>
      </c>
      <c r="AB200" t="s">
        <v>52</v>
      </c>
      <c r="AC200">
        <v>0</v>
      </c>
      <c r="AD200">
        <v>99.38</v>
      </c>
      <c r="AE200">
        <v>449</v>
      </c>
      <c r="AF200">
        <v>474</v>
      </c>
      <c r="AG200" s="11">
        <f>Supply_Chain[[#This Row],[Total_Cost]]/Supply_Chain[[#This Row],[Stock_On_Hand]]</f>
        <v>0.33375434782608693</v>
      </c>
    </row>
    <row r="201" spans="1:33" x14ac:dyDescent="0.25">
      <c r="A201" t="s">
        <v>749</v>
      </c>
      <c r="B201" t="s">
        <v>750</v>
      </c>
      <c r="C201" s="1">
        <v>44032</v>
      </c>
      <c r="D201" s="1">
        <v>45080</v>
      </c>
      <c r="E201" t="s">
        <v>55</v>
      </c>
      <c r="F201" t="s">
        <v>75</v>
      </c>
      <c r="G201" t="s">
        <v>83</v>
      </c>
      <c r="H201" t="s">
        <v>128</v>
      </c>
      <c r="I201" s="3" t="s">
        <v>2921</v>
      </c>
      <c r="J201" s="3" t="s">
        <v>84</v>
      </c>
      <c r="K201" s="3" t="s">
        <v>3534</v>
      </c>
      <c r="L201" s="3" t="s">
        <v>3720</v>
      </c>
      <c r="M201">
        <v>51.69</v>
      </c>
      <c r="N201">
        <v>37</v>
      </c>
      <c r="O201">
        <f>Supply_Chain[[#This Row],[Unit_Price]]*Supply_Chain[[#This Row],[Quantity]]</f>
        <v>1912.53</v>
      </c>
      <c r="P201" t="s">
        <v>751</v>
      </c>
      <c r="Q201" t="s">
        <v>35</v>
      </c>
      <c r="R201" t="s">
        <v>130</v>
      </c>
      <c r="S201" t="s">
        <v>37</v>
      </c>
      <c r="T201" t="s">
        <v>100</v>
      </c>
      <c r="U201" t="s">
        <v>106</v>
      </c>
      <c r="V201">
        <v>4713</v>
      </c>
      <c r="W201">
        <v>370</v>
      </c>
      <c r="X201">
        <v>8</v>
      </c>
      <c r="Y201">
        <v>686.76</v>
      </c>
      <c r="Z201">
        <v>263.17</v>
      </c>
      <c r="AA201" s="9">
        <v>949.93000000000006</v>
      </c>
      <c r="AB201" t="s">
        <v>52</v>
      </c>
      <c r="AC201">
        <v>0</v>
      </c>
      <c r="AD201">
        <v>91.28</v>
      </c>
      <c r="AE201">
        <v>206</v>
      </c>
      <c r="AF201">
        <v>212</v>
      </c>
      <c r="AG201" s="11">
        <f>Supply_Chain[[#This Row],[Total_Cost]]/Supply_Chain[[#This Row],[Stock_On_Hand]]</f>
        <v>0.20155527265011672</v>
      </c>
    </row>
    <row r="202" spans="1:33" x14ac:dyDescent="0.25">
      <c r="A202" t="s">
        <v>752</v>
      </c>
      <c r="B202" t="s">
        <v>753</v>
      </c>
      <c r="C202" s="1">
        <v>44798</v>
      </c>
      <c r="D202" s="1">
        <v>43884</v>
      </c>
      <c r="E202" t="s">
        <v>55</v>
      </c>
      <c r="F202" t="s">
        <v>31</v>
      </c>
      <c r="G202" t="s">
        <v>32</v>
      </c>
      <c r="H202" t="s">
        <v>33</v>
      </c>
      <c r="I202" s="3" t="s">
        <v>2922</v>
      </c>
      <c r="J202" s="3" t="s">
        <v>84</v>
      </c>
      <c r="K202" s="3" t="s">
        <v>3534</v>
      </c>
      <c r="L202" s="3" t="s">
        <v>3721</v>
      </c>
      <c r="M202">
        <v>13.4</v>
      </c>
      <c r="N202">
        <v>93</v>
      </c>
      <c r="O202">
        <f>Supply_Chain[[#This Row],[Unit_Price]]*Supply_Chain[[#This Row],[Quantity]]</f>
        <v>1246.2</v>
      </c>
      <c r="P202" t="s">
        <v>754</v>
      </c>
      <c r="Q202" t="s">
        <v>110</v>
      </c>
      <c r="R202" t="s">
        <v>290</v>
      </c>
      <c r="S202" t="s">
        <v>70</v>
      </c>
      <c r="T202" t="s">
        <v>38</v>
      </c>
      <c r="U202" t="s">
        <v>95</v>
      </c>
      <c r="V202">
        <v>4650</v>
      </c>
      <c r="W202">
        <v>434</v>
      </c>
      <c r="X202">
        <v>19</v>
      </c>
      <c r="Y202">
        <v>690.84</v>
      </c>
      <c r="Z202">
        <v>475.24</v>
      </c>
      <c r="AA202" s="9">
        <v>1166.08</v>
      </c>
      <c r="AB202" t="s">
        <v>52</v>
      </c>
      <c r="AC202">
        <v>0</v>
      </c>
      <c r="AD202">
        <v>93.73</v>
      </c>
      <c r="AE202">
        <v>273</v>
      </c>
      <c r="AF202">
        <v>307</v>
      </c>
      <c r="AG202" s="11">
        <f>Supply_Chain[[#This Row],[Total_Cost]]/Supply_Chain[[#This Row],[Stock_On_Hand]]</f>
        <v>0.25076989247311826</v>
      </c>
    </row>
    <row r="203" spans="1:33" x14ac:dyDescent="0.25">
      <c r="A203" t="s">
        <v>755</v>
      </c>
      <c r="B203" t="s">
        <v>756</v>
      </c>
      <c r="C203" s="1">
        <v>44059</v>
      </c>
      <c r="D203" s="1">
        <v>44058</v>
      </c>
      <c r="E203" t="s">
        <v>55</v>
      </c>
      <c r="F203" t="s">
        <v>115</v>
      </c>
      <c r="G203" t="s">
        <v>83</v>
      </c>
      <c r="H203" t="s">
        <v>33</v>
      </c>
      <c r="I203" s="3" t="s">
        <v>2923</v>
      </c>
      <c r="J203" s="3" t="s">
        <v>3518</v>
      </c>
      <c r="K203" s="3" t="s">
        <v>3533</v>
      </c>
      <c r="L203" s="3" t="s">
        <v>3722</v>
      </c>
      <c r="M203">
        <v>357.32</v>
      </c>
      <c r="N203">
        <v>73</v>
      </c>
      <c r="O203">
        <f>Supply_Chain[[#This Row],[Unit_Price]]*Supply_Chain[[#This Row],[Quantity]]</f>
        <v>26084.36</v>
      </c>
      <c r="P203" t="s">
        <v>757</v>
      </c>
      <c r="Q203" t="s">
        <v>48</v>
      </c>
      <c r="R203" t="s">
        <v>145</v>
      </c>
      <c r="S203" t="s">
        <v>50</v>
      </c>
      <c r="T203" t="s">
        <v>38</v>
      </c>
      <c r="U203" t="s">
        <v>191</v>
      </c>
      <c r="V203">
        <v>1937</v>
      </c>
      <c r="W203">
        <v>251</v>
      </c>
      <c r="X203">
        <v>6</v>
      </c>
      <c r="Y203">
        <v>1161.28</v>
      </c>
      <c r="Z203">
        <v>497.52</v>
      </c>
      <c r="AA203" s="9">
        <v>1658.8</v>
      </c>
      <c r="AB203" t="s">
        <v>52</v>
      </c>
      <c r="AC203">
        <v>0</v>
      </c>
      <c r="AD203">
        <v>84.19</v>
      </c>
      <c r="AE203">
        <v>328</v>
      </c>
      <c r="AF203">
        <v>330</v>
      </c>
      <c r="AG203" s="11">
        <f>Supply_Chain[[#This Row],[Total_Cost]]/Supply_Chain[[#This Row],[Stock_On_Hand]]</f>
        <v>0.85637583892617453</v>
      </c>
    </row>
    <row r="204" spans="1:33" x14ac:dyDescent="0.25">
      <c r="A204" t="s">
        <v>758</v>
      </c>
      <c r="B204" t="s">
        <v>759</v>
      </c>
      <c r="C204" s="1">
        <v>44046</v>
      </c>
      <c r="D204" s="1">
        <v>44773</v>
      </c>
      <c r="E204" t="s">
        <v>55</v>
      </c>
      <c r="F204" t="s">
        <v>44</v>
      </c>
      <c r="G204" t="s">
        <v>45</v>
      </c>
      <c r="H204" t="s">
        <v>166</v>
      </c>
      <c r="I204" s="3" t="s">
        <v>2924</v>
      </c>
      <c r="J204" s="3" t="s">
        <v>3518</v>
      </c>
      <c r="K204" s="3" t="s">
        <v>3533</v>
      </c>
      <c r="L204" s="3" t="s">
        <v>3723</v>
      </c>
      <c r="M204">
        <v>242.51</v>
      </c>
      <c r="N204">
        <v>54</v>
      </c>
      <c r="O204">
        <f>Supply_Chain[[#This Row],[Unit_Price]]*Supply_Chain[[#This Row],[Quantity]]</f>
        <v>13095.539999999999</v>
      </c>
      <c r="P204" t="s">
        <v>760</v>
      </c>
      <c r="Q204" t="s">
        <v>48</v>
      </c>
      <c r="R204" t="s">
        <v>344</v>
      </c>
      <c r="S204" t="s">
        <v>50</v>
      </c>
      <c r="T204" t="s">
        <v>38</v>
      </c>
      <c r="U204" t="s">
        <v>265</v>
      </c>
      <c r="V204">
        <v>4884</v>
      </c>
      <c r="W204">
        <v>459</v>
      </c>
      <c r="X204">
        <v>12</v>
      </c>
      <c r="Y204">
        <v>1037.33</v>
      </c>
      <c r="Z204">
        <v>350.54</v>
      </c>
      <c r="AA204" s="9">
        <v>1387.87</v>
      </c>
      <c r="AB204" t="s">
        <v>52</v>
      </c>
      <c r="AC204">
        <v>0</v>
      </c>
      <c r="AD204">
        <v>70.739999999999995</v>
      </c>
      <c r="AE204">
        <v>354</v>
      </c>
      <c r="AF204">
        <v>334</v>
      </c>
      <c r="AG204" s="11">
        <f>Supply_Chain[[#This Row],[Total_Cost]]/Supply_Chain[[#This Row],[Stock_On_Hand]]</f>
        <v>0.28416666666666662</v>
      </c>
    </row>
    <row r="205" spans="1:33" x14ac:dyDescent="0.25">
      <c r="A205" t="s">
        <v>761</v>
      </c>
      <c r="B205" t="s">
        <v>762</v>
      </c>
      <c r="C205" s="1">
        <v>43990</v>
      </c>
      <c r="D205" s="1">
        <v>45018</v>
      </c>
      <c r="E205" t="s">
        <v>30</v>
      </c>
      <c r="F205" t="s">
        <v>75</v>
      </c>
      <c r="G205" t="s">
        <v>247</v>
      </c>
      <c r="H205" t="s">
        <v>66</v>
      </c>
      <c r="I205" s="3" t="s">
        <v>2925</v>
      </c>
      <c r="J205" s="3" t="s">
        <v>3518</v>
      </c>
      <c r="K205" s="3" t="s">
        <v>3525</v>
      </c>
      <c r="L205" s="3" t="s">
        <v>3724</v>
      </c>
      <c r="M205">
        <v>156.01</v>
      </c>
      <c r="N205">
        <v>5</v>
      </c>
      <c r="O205">
        <f>Supply_Chain[[#This Row],[Unit_Price]]*Supply_Chain[[#This Row],[Quantity]]</f>
        <v>780.05</v>
      </c>
      <c r="P205" t="s">
        <v>763</v>
      </c>
      <c r="Q205" t="s">
        <v>68</v>
      </c>
      <c r="R205" t="s">
        <v>145</v>
      </c>
      <c r="S205" t="s">
        <v>37</v>
      </c>
      <c r="T205" t="s">
        <v>100</v>
      </c>
      <c r="U205" t="s">
        <v>691</v>
      </c>
      <c r="V205">
        <v>4114</v>
      </c>
      <c r="W205">
        <v>402</v>
      </c>
      <c r="X205">
        <v>25</v>
      </c>
      <c r="Y205">
        <v>1786.27</v>
      </c>
      <c r="Z205">
        <v>273.60000000000002</v>
      </c>
      <c r="AA205" s="9">
        <v>2059.87</v>
      </c>
      <c r="AB205" t="s">
        <v>40</v>
      </c>
      <c r="AC205">
        <v>13</v>
      </c>
      <c r="AD205">
        <v>77.319999999999993</v>
      </c>
      <c r="AE205">
        <v>497</v>
      </c>
      <c r="AF205">
        <v>546</v>
      </c>
      <c r="AG205" s="11">
        <f>Supply_Chain[[#This Row],[Total_Cost]]/Supply_Chain[[#This Row],[Stock_On_Hand]]</f>
        <v>0.50069761789013123</v>
      </c>
    </row>
    <row r="206" spans="1:33" x14ac:dyDescent="0.25">
      <c r="A206" t="s">
        <v>764</v>
      </c>
      <c r="B206" t="s">
        <v>765</v>
      </c>
      <c r="C206" s="1">
        <v>44991</v>
      </c>
      <c r="D206" s="1">
        <v>44384</v>
      </c>
      <c r="E206" t="s">
        <v>43</v>
      </c>
      <c r="F206" t="s">
        <v>64</v>
      </c>
      <c r="G206" t="s">
        <v>83</v>
      </c>
      <c r="H206" t="s">
        <v>57</v>
      </c>
      <c r="I206" s="3" t="s">
        <v>2926</v>
      </c>
      <c r="J206" s="3" t="s">
        <v>3518</v>
      </c>
      <c r="K206" s="3" t="s">
        <v>3525</v>
      </c>
      <c r="L206" s="3" t="s">
        <v>3725</v>
      </c>
      <c r="M206">
        <v>60.29</v>
      </c>
      <c r="N206">
        <v>45</v>
      </c>
      <c r="O206">
        <f>Supply_Chain[[#This Row],[Unit_Price]]*Supply_Chain[[#This Row],[Quantity]]</f>
        <v>2713.05</v>
      </c>
      <c r="P206" t="s">
        <v>766</v>
      </c>
      <c r="Q206" t="s">
        <v>86</v>
      </c>
      <c r="R206" t="s">
        <v>130</v>
      </c>
      <c r="S206" t="s">
        <v>50</v>
      </c>
      <c r="T206" t="s">
        <v>71</v>
      </c>
      <c r="U206" t="s">
        <v>265</v>
      </c>
      <c r="V206">
        <v>4273</v>
      </c>
      <c r="W206">
        <v>287</v>
      </c>
      <c r="X206">
        <v>7</v>
      </c>
      <c r="Y206">
        <v>1400.45</v>
      </c>
      <c r="Z206">
        <v>28.15</v>
      </c>
      <c r="AA206" s="9">
        <v>1428.6</v>
      </c>
      <c r="AB206" t="s">
        <v>52</v>
      </c>
      <c r="AC206">
        <v>0</v>
      </c>
      <c r="AD206">
        <v>77.760000000000005</v>
      </c>
      <c r="AE206">
        <v>151</v>
      </c>
      <c r="AF206">
        <v>158</v>
      </c>
      <c r="AG206" s="11">
        <f>Supply_Chain[[#This Row],[Total_Cost]]/Supply_Chain[[#This Row],[Stock_On_Hand]]</f>
        <v>0.33433185115843667</v>
      </c>
    </row>
    <row r="207" spans="1:33" x14ac:dyDescent="0.25">
      <c r="A207" t="s">
        <v>767</v>
      </c>
      <c r="B207" t="s">
        <v>768</v>
      </c>
      <c r="C207" s="1">
        <v>44880</v>
      </c>
      <c r="D207" s="1">
        <v>45355</v>
      </c>
      <c r="E207" t="s">
        <v>55</v>
      </c>
      <c r="F207" t="s">
        <v>115</v>
      </c>
      <c r="G207" t="s">
        <v>76</v>
      </c>
      <c r="H207" t="s">
        <v>116</v>
      </c>
      <c r="I207" s="3" t="s">
        <v>2927</v>
      </c>
      <c r="J207" s="3" t="s">
        <v>3518</v>
      </c>
      <c r="K207" s="3" t="s">
        <v>3522</v>
      </c>
      <c r="L207" s="3" t="s">
        <v>3726</v>
      </c>
      <c r="M207">
        <v>242.39</v>
      </c>
      <c r="N207">
        <v>65</v>
      </c>
      <c r="O207">
        <f>Supply_Chain[[#This Row],[Unit_Price]]*Supply_Chain[[#This Row],[Quantity]]</f>
        <v>15755.349999999999</v>
      </c>
      <c r="P207" t="s">
        <v>769</v>
      </c>
      <c r="Q207" t="s">
        <v>48</v>
      </c>
      <c r="R207" t="s">
        <v>269</v>
      </c>
      <c r="S207" t="s">
        <v>119</v>
      </c>
      <c r="T207" t="s">
        <v>79</v>
      </c>
      <c r="U207" t="s">
        <v>770</v>
      </c>
      <c r="V207">
        <v>1323</v>
      </c>
      <c r="W207">
        <v>134</v>
      </c>
      <c r="X207">
        <v>26</v>
      </c>
      <c r="Y207">
        <v>721.05</v>
      </c>
      <c r="Z207">
        <v>186.83</v>
      </c>
      <c r="AA207" s="9">
        <v>907.88</v>
      </c>
      <c r="AB207" t="s">
        <v>52</v>
      </c>
      <c r="AC207">
        <v>0</v>
      </c>
      <c r="AD207">
        <v>79.959999999999994</v>
      </c>
      <c r="AE207">
        <v>314</v>
      </c>
      <c r="AF207">
        <v>350</v>
      </c>
      <c r="AG207" s="11">
        <f>Supply_Chain[[#This Row],[Total_Cost]]/Supply_Chain[[#This Row],[Stock_On_Hand]]</f>
        <v>0.6862282690854119</v>
      </c>
    </row>
    <row r="208" spans="1:33" x14ac:dyDescent="0.25">
      <c r="A208" t="s">
        <v>771</v>
      </c>
      <c r="B208" t="s">
        <v>772</v>
      </c>
      <c r="C208" s="1">
        <v>45081</v>
      </c>
      <c r="D208" s="1">
        <v>43951</v>
      </c>
      <c r="E208" t="s">
        <v>55</v>
      </c>
      <c r="F208" t="s">
        <v>44</v>
      </c>
      <c r="G208" t="s">
        <v>91</v>
      </c>
      <c r="H208" t="s">
        <v>46</v>
      </c>
      <c r="I208" s="3" t="s">
        <v>2928</v>
      </c>
      <c r="J208" s="3" t="s">
        <v>3518</v>
      </c>
      <c r="K208" s="3" t="s">
        <v>3522</v>
      </c>
      <c r="L208" s="3" t="s">
        <v>3727</v>
      </c>
      <c r="M208">
        <v>255.87</v>
      </c>
      <c r="N208">
        <v>12</v>
      </c>
      <c r="O208">
        <f>Supply_Chain[[#This Row],[Unit_Price]]*Supply_Chain[[#This Row],[Quantity]]</f>
        <v>3070.44</v>
      </c>
      <c r="P208" t="s">
        <v>479</v>
      </c>
      <c r="Q208" t="s">
        <v>35</v>
      </c>
      <c r="R208" t="s">
        <v>111</v>
      </c>
      <c r="S208" t="s">
        <v>70</v>
      </c>
      <c r="T208" t="s">
        <v>60</v>
      </c>
      <c r="U208" t="s">
        <v>611</v>
      </c>
      <c r="V208">
        <v>4585</v>
      </c>
      <c r="W208">
        <v>304</v>
      </c>
      <c r="X208">
        <v>15</v>
      </c>
      <c r="Y208">
        <v>1977.02</v>
      </c>
      <c r="Z208">
        <v>249.04</v>
      </c>
      <c r="AA208" s="9">
        <v>2226.06</v>
      </c>
      <c r="AB208" t="s">
        <v>52</v>
      </c>
      <c r="AC208">
        <v>0</v>
      </c>
      <c r="AD208">
        <v>86.17</v>
      </c>
      <c r="AE208">
        <v>61</v>
      </c>
      <c r="AF208">
        <v>66</v>
      </c>
      <c r="AG208" s="11">
        <f>Supply_Chain[[#This Row],[Total_Cost]]/Supply_Chain[[#This Row],[Stock_On_Hand]]</f>
        <v>0.48550926935659761</v>
      </c>
    </row>
    <row r="209" spans="1:33" x14ac:dyDescent="0.25">
      <c r="A209" t="s">
        <v>773</v>
      </c>
      <c r="B209" t="s">
        <v>774</v>
      </c>
      <c r="C209" s="1">
        <v>45212</v>
      </c>
      <c r="D209" s="1">
        <v>45203</v>
      </c>
      <c r="E209" t="s">
        <v>55</v>
      </c>
      <c r="F209" t="s">
        <v>31</v>
      </c>
      <c r="G209" t="s">
        <v>45</v>
      </c>
      <c r="H209" t="s">
        <v>128</v>
      </c>
      <c r="I209" s="3" t="s">
        <v>2790</v>
      </c>
      <c r="J209" s="3" t="s">
        <v>3518</v>
      </c>
      <c r="K209" s="3" t="s">
        <v>3522</v>
      </c>
      <c r="L209" s="3" t="s">
        <v>3590</v>
      </c>
      <c r="M209">
        <v>480.68</v>
      </c>
      <c r="N209">
        <v>53</v>
      </c>
      <c r="O209">
        <f>Supply_Chain[[#This Row],[Unit_Price]]*Supply_Chain[[#This Row],[Quantity]]</f>
        <v>25476.04</v>
      </c>
      <c r="P209" t="s">
        <v>775</v>
      </c>
      <c r="Q209" t="s">
        <v>68</v>
      </c>
      <c r="R209" t="s">
        <v>130</v>
      </c>
      <c r="S209" t="s">
        <v>50</v>
      </c>
      <c r="T209" t="s">
        <v>38</v>
      </c>
      <c r="U209" t="s">
        <v>545</v>
      </c>
      <c r="V209">
        <v>765</v>
      </c>
      <c r="W209">
        <v>443</v>
      </c>
      <c r="X209">
        <v>27</v>
      </c>
      <c r="Y209">
        <v>287.43</v>
      </c>
      <c r="Z209">
        <v>85.94</v>
      </c>
      <c r="AA209" s="9">
        <v>373.37</v>
      </c>
      <c r="AB209" t="s">
        <v>52</v>
      </c>
      <c r="AC209">
        <v>0</v>
      </c>
      <c r="AD209">
        <v>78.12</v>
      </c>
      <c r="AE209">
        <v>134</v>
      </c>
      <c r="AF209">
        <v>153</v>
      </c>
      <c r="AG209" s="11">
        <f>Supply_Chain[[#This Row],[Total_Cost]]/Supply_Chain[[#This Row],[Stock_On_Hand]]</f>
        <v>0.48806535947712421</v>
      </c>
    </row>
    <row r="210" spans="1:33" x14ac:dyDescent="0.25">
      <c r="A210" t="s">
        <v>776</v>
      </c>
      <c r="B210" t="s">
        <v>777</v>
      </c>
      <c r="C210" s="1">
        <v>44217</v>
      </c>
      <c r="D210" s="1">
        <v>44778</v>
      </c>
      <c r="E210" t="s">
        <v>55</v>
      </c>
      <c r="F210" t="s">
        <v>115</v>
      </c>
      <c r="G210" t="s">
        <v>91</v>
      </c>
      <c r="H210" t="s">
        <v>128</v>
      </c>
      <c r="I210" s="3" t="s">
        <v>2809</v>
      </c>
      <c r="J210" s="3" t="s">
        <v>3518</v>
      </c>
      <c r="K210" s="3" t="s">
        <v>3522</v>
      </c>
      <c r="L210" s="3" t="s">
        <v>3608</v>
      </c>
      <c r="M210">
        <v>58.8</v>
      </c>
      <c r="N210">
        <v>76</v>
      </c>
      <c r="O210">
        <f>Supply_Chain[[#This Row],[Unit_Price]]*Supply_Chain[[#This Row],[Quantity]]</f>
        <v>4468.8</v>
      </c>
      <c r="P210" t="s">
        <v>475</v>
      </c>
      <c r="Q210" t="s">
        <v>48</v>
      </c>
      <c r="R210" t="s">
        <v>181</v>
      </c>
      <c r="S210" t="s">
        <v>50</v>
      </c>
      <c r="T210" t="s">
        <v>100</v>
      </c>
      <c r="U210" t="s">
        <v>691</v>
      </c>
      <c r="V210">
        <v>2392</v>
      </c>
      <c r="W210">
        <v>349</v>
      </c>
      <c r="X210">
        <v>9</v>
      </c>
      <c r="Y210">
        <v>1418.58</v>
      </c>
      <c r="Z210">
        <v>117.76</v>
      </c>
      <c r="AA210" s="9">
        <v>1536.34</v>
      </c>
      <c r="AB210" t="s">
        <v>52</v>
      </c>
      <c r="AC210">
        <v>0</v>
      </c>
      <c r="AD210">
        <v>78.8</v>
      </c>
      <c r="AE210">
        <v>89</v>
      </c>
      <c r="AF210">
        <v>59</v>
      </c>
      <c r="AG210" s="11">
        <f>Supply_Chain[[#This Row],[Total_Cost]]/Supply_Chain[[#This Row],[Stock_On_Hand]]</f>
        <v>0.64228260869565212</v>
      </c>
    </row>
    <row r="211" spans="1:33" x14ac:dyDescent="0.25">
      <c r="A211" t="s">
        <v>778</v>
      </c>
      <c r="B211" t="s">
        <v>779</v>
      </c>
      <c r="C211" s="1">
        <v>43979</v>
      </c>
      <c r="D211" s="1">
        <v>44447</v>
      </c>
      <c r="E211" t="s">
        <v>55</v>
      </c>
      <c r="F211" t="s">
        <v>44</v>
      </c>
      <c r="G211" t="s">
        <v>76</v>
      </c>
      <c r="H211" t="s">
        <v>57</v>
      </c>
      <c r="I211" s="3" t="s">
        <v>2847</v>
      </c>
      <c r="J211" s="3" t="s">
        <v>3518</v>
      </c>
      <c r="K211" s="3" t="s">
        <v>3521</v>
      </c>
      <c r="L211" s="3" t="s">
        <v>3646</v>
      </c>
      <c r="M211">
        <v>219.57</v>
      </c>
      <c r="N211">
        <v>96</v>
      </c>
      <c r="O211">
        <f>Supply_Chain[[#This Row],[Unit_Price]]*Supply_Chain[[#This Row],[Quantity]]</f>
        <v>21078.720000000001</v>
      </c>
      <c r="P211" t="s">
        <v>780</v>
      </c>
      <c r="Q211" t="s">
        <v>86</v>
      </c>
      <c r="R211" t="s">
        <v>248</v>
      </c>
      <c r="S211" t="s">
        <v>50</v>
      </c>
      <c r="T211" t="s">
        <v>79</v>
      </c>
      <c r="U211" t="s">
        <v>191</v>
      </c>
      <c r="V211">
        <v>2606</v>
      </c>
      <c r="W211">
        <v>68</v>
      </c>
      <c r="X211">
        <v>6</v>
      </c>
      <c r="Y211">
        <v>1169.51</v>
      </c>
      <c r="Z211">
        <v>480.26</v>
      </c>
      <c r="AA211" s="9">
        <v>1649.77</v>
      </c>
      <c r="AB211" t="s">
        <v>52</v>
      </c>
      <c r="AC211">
        <v>0</v>
      </c>
      <c r="AD211">
        <v>70.95</v>
      </c>
      <c r="AE211">
        <v>272</v>
      </c>
      <c r="AF211">
        <v>271</v>
      </c>
      <c r="AG211" s="11">
        <f>Supply_Chain[[#This Row],[Total_Cost]]/Supply_Chain[[#This Row],[Stock_On_Hand]]</f>
        <v>0.63306600153491943</v>
      </c>
    </row>
    <row r="212" spans="1:33" x14ac:dyDescent="0.25">
      <c r="A212" t="s">
        <v>781</v>
      </c>
      <c r="B212" t="s">
        <v>782</v>
      </c>
      <c r="C212" s="1">
        <v>45187</v>
      </c>
      <c r="D212" s="1">
        <v>45023</v>
      </c>
      <c r="E212" t="s">
        <v>30</v>
      </c>
      <c r="F212" t="s">
        <v>115</v>
      </c>
      <c r="G212" t="s">
        <v>247</v>
      </c>
      <c r="H212" t="s">
        <v>33</v>
      </c>
      <c r="I212" s="3" t="s">
        <v>2929</v>
      </c>
      <c r="J212" s="3" t="s">
        <v>3518</v>
      </c>
      <c r="K212" s="3" t="s">
        <v>3521</v>
      </c>
      <c r="L212" s="3" t="s">
        <v>3728</v>
      </c>
      <c r="M212">
        <v>327.27</v>
      </c>
      <c r="N212">
        <v>23</v>
      </c>
      <c r="O212">
        <f>Supply_Chain[[#This Row],[Unit_Price]]*Supply_Chain[[#This Row],[Quantity]]</f>
        <v>7527.2099999999991</v>
      </c>
      <c r="P212" t="s">
        <v>783</v>
      </c>
      <c r="Q212" t="s">
        <v>68</v>
      </c>
      <c r="R212" t="s">
        <v>277</v>
      </c>
      <c r="S212" t="s">
        <v>119</v>
      </c>
      <c r="T212" t="s">
        <v>79</v>
      </c>
      <c r="U212" t="s">
        <v>112</v>
      </c>
      <c r="V212">
        <v>4012</v>
      </c>
      <c r="W212">
        <v>437</v>
      </c>
      <c r="X212">
        <v>28</v>
      </c>
      <c r="Y212">
        <v>391.41</v>
      </c>
      <c r="Z212">
        <v>108.58</v>
      </c>
      <c r="AA212" s="9">
        <v>499.99</v>
      </c>
      <c r="AB212" t="s">
        <v>52</v>
      </c>
      <c r="AC212">
        <v>0</v>
      </c>
      <c r="AD212">
        <v>88.48</v>
      </c>
      <c r="AE212">
        <v>493</v>
      </c>
      <c r="AF212">
        <v>472</v>
      </c>
      <c r="AG212" s="11">
        <f>Supply_Chain[[#This Row],[Total_Cost]]/Supply_Chain[[#This Row],[Stock_On_Hand]]</f>
        <v>0.12462362911266202</v>
      </c>
    </row>
    <row r="213" spans="1:33" x14ac:dyDescent="0.25">
      <c r="A213" t="s">
        <v>784</v>
      </c>
      <c r="B213" t="s">
        <v>785</v>
      </c>
      <c r="C213" s="1">
        <v>44768</v>
      </c>
      <c r="D213" s="1">
        <v>44988</v>
      </c>
      <c r="E213" t="s">
        <v>55</v>
      </c>
      <c r="F213" t="s">
        <v>115</v>
      </c>
      <c r="G213" t="s">
        <v>65</v>
      </c>
      <c r="H213" t="s">
        <v>66</v>
      </c>
      <c r="I213" s="3" t="s">
        <v>2930</v>
      </c>
      <c r="J213" s="3" t="s">
        <v>3518</v>
      </c>
      <c r="K213" s="3" t="s">
        <v>3521</v>
      </c>
      <c r="L213" s="3" t="s">
        <v>3729</v>
      </c>
      <c r="M213">
        <v>350.58</v>
      </c>
      <c r="N213">
        <v>18</v>
      </c>
      <c r="O213">
        <f>Supply_Chain[[#This Row],[Unit_Price]]*Supply_Chain[[#This Row],[Quantity]]</f>
        <v>6310.44</v>
      </c>
      <c r="P213" t="s">
        <v>786</v>
      </c>
      <c r="Q213" t="s">
        <v>110</v>
      </c>
      <c r="R213" t="s">
        <v>253</v>
      </c>
      <c r="S213" t="s">
        <v>119</v>
      </c>
      <c r="T213" t="s">
        <v>38</v>
      </c>
      <c r="U213" t="s">
        <v>131</v>
      </c>
      <c r="V213">
        <v>2582</v>
      </c>
      <c r="W213">
        <v>231</v>
      </c>
      <c r="X213">
        <v>4</v>
      </c>
      <c r="Y213">
        <v>1442.07</v>
      </c>
      <c r="Z213">
        <v>74.040000000000006</v>
      </c>
      <c r="AA213" s="9">
        <v>1516.11</v>
      </c>
      <c r="AB213" t="s">
        <v>52</v>
      </c>
      <c r="AC213">
        <v>0</v>
      </c>
      <c r="AD213">
        <v>71.760000000000005</v>
      </c>
      <c r="AE213">
        <v>388</v>
      </c>
      <c r="AF213">
        <v>373</v>
      </c>
      <c r="AG213" s="11">
        <f>Supply_Chain[[#This Row],[Total_Cost]]/Supply_Chain[[#This Row],[Stock_On_Hand]]</f>
        <v>0.5871843532145623</v>
      </c>
    </row>
    <row r="214" spans="1:33" x14ac:dyDescent="0.25">
      <c r="A214" t="s">
        <v>787</v>
      </c>
      <c r="B214" t="s">
        <v>788</v>
      </c>
      <c r="C214" s="1">
        <v>45459</v>
      </c>
      <c r="D214" s="1">
        <v>44631</v>
      </c>
      <c r="E214" t="s">
        <v>43</v>
      </c>
      <c r="F214" t="s">
        <v>44</v>
      </c>
      <c r="G214" t="s">
        <v>56</v>
      </c>
      <c r="H214" t="s">
        <v>33</v>
      </c>
      <c r="I214" s="3" t="s">
        <v>2931</v>
      </c>
      <c r="J214" s="3" t="s">
        <v>3518</v>
      </c>
      <c r="K214" s="3" t="s">
        <v>3521</v>
      </c>
      <c r="L214" s="3" t="s">
        <v>3730</v>
      </c>
      <c r="M214">
        <v>215.89</v>
      </c>
      <c r="N214">
        <v>54</v>
      </c>
      <c r="O214">
        <f>Supply_Chain[[#This Row],[Unit_Price]]*Supply_Chain[[#This Row],[Quantity]]</f>
        <v>11658.06</v>
      </c>
      <c r="P214" t="s">
        <v>789</v>
      </c>
      <c r="Q214" t="s">
        <v>110</v>
      </c>
      <c r="R214" t="s">
        <v>253</v>
      </c>
      <c r="S214" t="s">
        <v>37</v>
      </c>
      <c r="T214" t="s">
        <v>38</v>
      </c>
      <c r="U214" t="s">
        <v>51</v>
      </c>
      <c r="V214">
        <v>2888</v>
      </c>
      <c r="W214">
        <v>301</v>
      </c>
      <c r="X214">
        <v>10</v>
      </c>
      <c r="Y214">
        <v>1400.61</v>
      </c>
      <c r="Z214">
        <v>167.19</v>
      </c>
      <c r="AA214" s="9">
        <v>1567.8</v>
      </c>
      <c r="AB214" t="s">
        <v>52</v>
      </c>
      <c r="AC214">
        <v>0</v>
      </c>
      <c r="AD214">
        <v>75.59</v>
      </c>
      <c r="AE214">
        <v>56</v>
      </c>
      <c r="AF214">
        <v>10</v>
      </c>
      <c r="AG214" s="11">
        <f>Supply_Chain[[#This Row],[Total_Cost]]/Supply_Chain[[#This Row],[Stock_On_Hand]]</f>
        <v>0.54286703601108033</v>
      </c>
    </row>
    <row r="215" spans="1:33" x14ac:dyDescent="0.25">
      <c r="A215" t="s">
        <v>790</v>
      </c>
      <c r="B215" t="s">
        <v>791</v>
      </c>
      <c r="C215" s="1">
        <v>44355</v>
      </c>
      <c r="D215" s="1">
        <v>44026</v>
      </c>
      <c r="E215" t="s">
        <v>55</v>
      </c>
      <c r="F215" t="s">
        <v>64</v>
      </c>
      <c r="G215" t="s">
        <v>76</v>
      </c>
      <c r="H215" t="s">
        <v>66</v>
      </c>
      <c r="I215" s="3" t="s">
        <v>2932</v>
      </c>
      <c r="J215" s="3" t="s">
        <v>3518</v>
      </c>
      <c r="K215" s="3" t="s">
        <v>3521</v>
      </c>
      <c r="L215" s="3" t="s">
        <v>3731</v>
      </c>
      <c r="M215">
        <v>210.82</v>
      </c>
      <c r="N215">
        <v>30</v>
      </c>
      <c r="O215">
        <f>Supply_Chain[[#This Row],[Unit_Price]]*Supply_Chain[[#This Row],[Quantity]]</f>
        <v>6324.5999999999995</v>
      </c>
      <c r="P215" t="s">
        <v>330</v>
      </c>
      <c r="Q215" t="s">
        <v>68</v>
      </c>
      <c r="R215" t="s">
        <v>140</v>
      </c>
      <c r="S215" t="s">
        <v>70</v>
      </c>
      <c r="T215" t="s">
        <v>100</v>
      </c>
      <c r="U215" t="s">
        <v>131</v>
      </c>
      <c r="V215">
        <v>2100</v>
      </c>
      <c r="W215">
        <v>71</v>
      </c>
      <c r="X215">
        <v>15</v>
      </c>
      <c r="Y215">
        <v>90.13</v>
      </c>
      <c r="Z215">
        <v>382.79</v>
      </c>
      <c r="AA215" s="9">
        <v>472.92</v>
      </c>
      <c r="AB215" t="s">
        <v>52</v>
      </c>
      <c r="AC215">
        <v>0</v>
      </c>
      <c r="AD215">
        <v>98.07</v>
      </c>
      <c r="AE215">
        <v>337</v>
      </c>
      <c r="AF215">
        <v>287</v>
      </c>
      <c r="AG215" s="11">
        <f>Supply_Chain[[#This Row],[Total_Cost]]/Supply_Chain[[#This Row],[Stock_On_Hand]]</f>
        <v>0.22520000000000001</v>
      </c>
    </row>
    <row r="216" spans="1:33" x14ac:dyDescent="0.25">
      <c r="A216" t="s">
        <v>792</v>
      </c>
      <c r="B216" t="s">
        <v>793</v>
      </c>
      <c r="C216" s="1">
        <v>44719</v>
      </c>
      <c r="D216" s="1">
        <v>44216</v>
      </c>
      <c r="E216" t="s">
        <v>55</v>
      </c>
      <c r="F216" t="s">
        <v>44</v>
      </c>
      <c r="G216" t="s">
        <v>247</v>
      </c>
      <c r="H216" t="s">
        <v>128</v>
      </c>
      <c r="I216" s="3" t="s">
        <v>2933</v>
      </c>
      <c r="J216" s="3" t="s">
        <v>3518</v>
      </c>
      <c r="K216" s="3" t="s">
        <v>3521</v>
      </c>
      <c r="L216" s="3" t="s">
        <v>3732</v>
      </c>
      <c r="M216">
        <v>19.489999999999998</v>
      </c>
      <c r="N216">
        <v>94</v>
      </c>
      <c r="O216">
        <f>Supply_Chain[[#This Row],[Unit_Price]]*Supply_Chain[[#This Row],[Quantity]]</f>
        <v>1832.06</v>
      </c>
      <c r="P216" t="s">
        <v>794</v>
      </c>
      <c r="Q216" t="s">
        <v>35</v>
      </c>
      <c r="R216" t="s">
        <v>231</v>
      </c>
      <c r="S216" t="s">
        <v>70</v>
      </c>
      <c r="T216" t="s">
        <v>79</v>
      </c>
      <c r="U216" t="s">
        <v>545</v>
      </c>
      <c r="V216">
        <v>2273</v>
      </c>
      <c r="W216">
        <v>163</v>
      </c>
      <c r="X216">
        <v>18</v>
      </c>
      <c r="Y216">
        <v>1335.07</v>
      </c>
      <c r="Z216">
        <v>434.22</v>
      </c>
      <c r="AA216" s="9">
        <v>1769.29</v>
      </c>
      <c r="AB216" t="s">
        <v>40</v>
      </c>
      <c r="AC216">
        <v>10</v>
      </c>
      <c r="AD216">
        <v>91.97</v>
      </c>
      <c r="AE216">
        <v>425</v>
      </c>
      <c r="AF216">
        <v>386</v>
      </c>
      <c r="AG216" s="11">
        <f>Supply_Chain[[#This Row],[Total_Cost]]/Supply_Chain[[#This Row],[Stock_On_Hand]]</f>
        <v>0.77839419269687637</v>
      </c>
    </row>
    <row r="217" spans="1:33" x14ac:dyDescent="0.25">
      <c r="A217" t="s">
        <v>795</v>
      </c>
      <c r="B217" t="s">
        <v>796</v>
      </c>
      <c r="C217" s="1">
        <v>44013</v>
      </c>
      <c r="D217" s="1">
        <v>44047</v>
      </c>
      <c r="E217" t="s">
        <v>55</v>
      </c>
      <c r="F217" t="s">
        <v>64</v>
      </c>
      <c r="G217" t="s">
        <v>45</v>
      </c>
      <c r="H217" t="s">
        <v>46</v>
      </c>
      <c r="I217" s="3" t="s">
        <v>2934</v>
      </c>
      <c r="J217" s="3" t="s">
        <v>3518</v>
      </c>
      <c r="K217" s="3" t="s">
        <v>3521</v>
      </c>
      <c r="L217" s="3" t="s">
        <v>3733</v>
      </c>
      <c r="M217">
        <v>387.24</v>
      </c>
      <c r="N217">
        <v>61</v>
      </c>
      <c r="O217">
        <f>Supply_Chain[[#This Row],[Unit_Price]]*Supply_Chain[[#This Row],[Quantity]]</f>
        <v>23621.64</v>
      </c>
      <c r="P217" t="s">
        <v>797</v>
      </c>
      <c r="Q217" t="s">
        <v>86</v>
      </c>
      <c r="R217" t="s">
        <v>181</v>
      </c>
      <c r="S217" t="s">
        <v>119</v>
      </c>
      <c r="T217" t="s">
        <v>38</v>
      </c>
      <c r="U217" t="s">
        <v>219</v>
      </c>
      <c r="V217">
        <v>373</v>
      </c>
      <c r="W217">
        <v>150</v>
      </c>
      <c r="X217">
        <v>25</v>
      </c>
      <c r="Y217">
        <v>1515.68</v>
      </c>
      <c r="Z217">
        <v>42.93</v>
      </c>
      <c r="AA217" s="9">
        <v>1558.61</v>
      </c>
      <c r="AB217" t="s">
        <v>52</v>
      </c>
      <c r="AC217">
        <v>0</v>
      </c>
      <c r="AD217">
        <v>89.89</v>
      </c>
      <c r="AE217">
        <v>279</v>
      </c>
      <c r="AF217">
        <v>286</v>
      </c>
      <c r="AG217" s="11">
        <f>Supply_Chain[[#This Row],[Total_Cost]]/Supply_Chain[[#This Row],[Stock_On_Hand]]</f>
        <v>4.1785790884718494</v>
      </c>
    </row>
    <row r="218" spans="1:33" x14ac:dyDescent="0.25">
      <c r="A218" t="s">
        <v>798</v>
      </c>
      <c r="B218" t="s">
        <v>799</v>
      </c>
      <c r="C218" s="1">
        <v>44093</v>
      </c>
      <c r="D218" s="1">
        <v>44904</v>
      </c>
      <c r="E218" t="s">
        <v>55</v>
      </c>
      <c r="F218" t="s">
        <v>44</v>
      </c>
      <c r="G218" t="s">
        <v>45</v>
      </c>
      <c r="H218" t="s">
        <v>92</v>
      </c>
      <c r="I218" s="3" t="s">
        <v>2935</v>
      </c>
      <c r="J218" s="3" t="s">
        <v>3518</v>
      </c>
      <c r="K218" s="3" t="s">
        <v>3521</v>
      </c>
      <c r="L218" s="3" t="s">
        <v>3734</v>
      </c>
      <c r="M218">
        <v>6.19</v>
      </c>
      <c r="N218">
        <v>15</v>
      </c>
      <c r="O218">
        <f>Supply_Chain[[#This Row],[Unit_Price]]*Supply_Chain[[#This Row],[Quantity]]</f>
        <v>92.850000000000009</v>
      </c>
      <c r="P218" t="s">
        <v>800</v>
      </c>
      <c r="Q218" t="s">
        <v>86</v>
      </c>
      <c r="R218" t="s">
        <v>105</v>
      </c>
      <c r="S218" t="s">
        <v>50</v>
      </c>
      <c r="T218" t="s">
        <v>38</v>
      </c>
      <c r="U218" t="s">
        <v>297</v>
      </c>
      <c r="V218">
        <v>748</v>
      </c>
      <c r="W218">
        <v>347</v>
      </c>
      <c r="X218">
        <v>29</v>
      </c>
      <c r="Y218">
        <v>516.28</v>
      </c>
      <c r="Z218">
        <v>411.45</v>
      </c>
      <c r="AA218" s="9">
        <v>927.73</v>
      </c>
      <c r="AB218" t="s">
        <v>52</v>
      </c>
      <c r="AC218">
        <v>0</v>
      </c>
      <c r="AD218">
        <v>92.78</v>
      </c>
      <c r="AE218">
        <v>68</v>
      </c>
      <c r="AF218">
        <v>83</v>
      </c>
      <c r="AG218" s="11">
        <f>Supply_Chain[[#This Row],[Total_Cost]]/Supply_Chain[[#This Row],[Stock_On_Hand]]</f>
        <v>1.2402807486631016</v>
      </c>
    </row>
    <row r="219" spans="1:33" x14ac:dyDescent="0.25">
      <c r="A219" t="s">
        <v>801</v>
      </c>
      <c r="B219" t="s">
        <v>802</v>
      </c>
      <c r="C219" s="1">
        <v>43881</v>
      </c>
      <c r="D219" s="1">
        <v>45650</v>
      </c>
      <c r="E219" t="s">
        <v>43</v>
      </c>
      <c r="F219" t="s">
        <v>115</v>
      </c>
      <c r="G219" t="s">
        <v>65</v>
      </c>
      <c r="H219" t="s">
        <v>66</v>
      </c>
      <c r="I219" s="3" t="s">
        <v>2936</v>
      </c>
      <c r="J219" s="3" t="s">
        <v>84</v>
      </c>
      <c r="K219" s="3" t="s">
        <v>3531</v>
      </c>
      <c r="L219" s="3" t="s">
        <v>3735</v>
      </c>
      <c r="M219">
        <v>447.26</v>
      </c>
      <c r="N219">
        <v>93</v>
      </c>
      <c r="O219">
        <f>Supply_Chain[[#This Row],[Unit_Price]]*Supply_Chain[[#This Row],[Quantity]]</f>
        <v>41595.18</v>
      </c>
      <c r="P219" t="s">
        <v>803</v>
      </c>
      <c r="Q219" t="s">
        <v>68</v>
      </c>
      <c r="R219" t="s">
        <v>105</v>
      </c>
      <c r="S219" t="s">
        <v>119</v>
      </c>
      <c r="T219" t="s">
        <v>71</v>
      </c>
      <c r="U219" t="s">
        <v>72</v>
      </c>
      <c r="V219">
        <v>2686</v>
      </c>
      <c r="W219">
        <v>89</v>
      </c>
      <c r="X219">
        <v>3</v>
      </c>
      <c r="Y219">
        <v>797.51</v>
      </c>
      <c r="Z219">
        <v>152.94999999999999</v>
      </c>
      <c r="AA219" s="9">
        <v>950.46</v>
      </c>
      <c r="AB219" t="s">
        <v>52</v>
      </c>
      <c r="AC219">
        <v>0</v>
      </c>
      <c r="AD219">
        <v>94.05</v>
      </c>
      <c r="AE219">
        <v>494</v>
      </c>
      <c r="AF219">
        <v>511</v>
      </c>
      <c r="AG219" s="11">
        <f>Supply_Chain[[#This Row],[Total_Cost]]/Supply_Chain[[#This Row],[Stock_On_Hand]]</f>
        <v>0.35385703648548028</v>
      </c>
    </row>
    <row r="220" spans="1:33" x14ac:dyDescent="0.25">
      <c r="A220" t="s">
        <v>804</v>
      </c>
      <c r="B220" t="s">
        <v>805</v>
      </c>
      <c r="C220" s="1">
        <v>45261</v>
      </c>
      <c r="D220" s="1">
        <v>44796</v>
      </c>
      <c r="E220" t="s">
        <v>55</v>
      </c>
      <c r="F220" t="s">
        <v>64</v>
      </c>
      <c r="G220" t="s">
        <v>45</v>
      </c>
      <c r="H220" t="s">
        <v>46</v>
      </c>
      <c r="I220" s="3" t="s">
        <v>2937</v>
      </c>
      <c r="J220" s="3" t="s">
        <v>84</v>
      </c>
      <c r="K220" s="3" t="s">
        <v>3529</v>
      </c>
      <c r="L220" s="3" t="s">
        <v>3736</v>
      </c>
      <c r="M220">
        <v>484.64</v>
      </c>
      <c r="N220">
        <v>47</v>
      </c>
      <c r="O220">
        <f>Supply_Chain[[#This Row],[Unit_Price]]*Supply_Chain[[#This Row],[Quantity]]</f>
        <v>22778.079999999998</v>
      </c>
      <c r="P220" t="s">
        <v>806</v>
      </c>
      <c r="Q220" t="s">
        <v>48</v>
      </c>
      <c r="R220" t="s">
        <v>480</v>
      </c>
      <c r="S220" t="s">
        <v>37</v>
      </c>
      <c r="T220" t="s">
        <v>100</v>
      </c>
      <c r="U220" t="s">
        <v>429</v>
      </c>
      <c r="V220">
        <v>3685</v>
      </c>
      <c r="W220">
        <v>334</v>
      </c>
      <c r="X220">
        <v>13</v>
      </c>
      <c r="Y220">
        <v>563.38</v>
      </c>
      <c r="Z220">
        <v>88.12</v>
      </c>
      <c r="AA220" s="9">
        <v>651.5</v>
      </c>
      <c r="AB220" t="s">
        <v>40</v>
      </c>
      <c r="AC220">
        <v>12</v>
      </c>
      <c r="AD220">
        <v>90.36</v>
      </c>
      <c r="AE220">
        <v>170</v>
      </c>
      <c r="AF220">
        <v>125</v>
      </c>
      <c r="AG220" s="11">
        <f>Supply_Chain[[#This Row],[Total_Cost]]/Supply_Chain[[#This Row],[Stock_On_Hand]]</f>
        <v>0.17679782903663502</v>
      </c>
    </row>
    <row r="221" spans="1:33" x14ac:dyDescent="0.25">
      <c r="A221" t="s">
        <v>807</v>
      </c>
      <c r="B221" t="s">
        <v>808</v>
      </c>
      <c r="C221" s="1">
        <v>45111</v>
      </c>
      <c r="D221" s="1">
        <v>43846</v>
      </c>
      <c r="E221" t="s">
        <v>55</v>
      </c>
      <c r="F221" t="s">
        <v>115</v>
      </c>
      <c r="G221" t="s">
        <v>56</v>
      </c>
      <c r="H221" t="s">
        <v>33</v>
      </c>
      <c r="I221" s="3" t="s">
        <v>2938</v>
      </c>
      <c r="J221" s="3" t="s">
        <v>84</v>
      </c>
      <c r="K221" s="3" t="s">
        <v>3529</v>
      </c>
      <c r="L221" s="3" t="s">
        <v>3737</v>
      </c>
      <c r="M221">
        <v>22.27</v>
      </c>
      <c r="N221">
        <v>53</v>
      </c>
      <c r="O221">
        <f>Supply_Chain[[#This Row],[Unit_Price]]*Supply_Chain[[#This Row],[Quantity]]</f>
        <v>1180.31</v>
      </c>
      <c r="P221" t="s">
        <v>47</v>
      </c>
      <c r="Q221" t="s">
        <v>86</v>
      </c>
      <c r="R221" t="s">
        <v>248</v>
      </c>
      <c r="S221" t="s">
        <v>37</v>
      </c>
      <c r="T221" t="s">
        <v>71</v>
      </c>
      <c r="U221" t="s">
        <v>809</v>
      </c>
      <c r="V221">
        <v>2717</v>
      </c>
      <c r="W221">
        <v>391</v>
      </c>
      <c r="X221">
        <v>9</v>
      </c>
      <c r="Y221">
        <v>1498.26</v>
      </c>
      <c r="Z221">
        <v>165.05</v>
      </c>
      <c r="AA221" s="9">
        <v>1663.31</v>
      </c>
      <c r="AB221" t="s">
        <v>52</v>
      </c>
      <c r="AC221">
        <v>0</v>
      </c>
      <c r="AD221">
        <v>74.760000000000005</v>
      </c>
      <c r="AE221">
        <v>89</v>
      </c>
      <c r="AF221">
        <v>54</v>
      </c>
      <c r="AG221" s="11">
        <f>Supply_Chain[[#This Row],[Total_Cost]]/Supply_Chain[[#This Row],[Stock_On_Hand]]</f>
        <v>0.61218623481781376</v>
      </c>
    </row>
    <row r="222" spans="1:33" x14ac:dyDescent="0.25">
      <c r="A222" t="s">
        <v>810</v>
      </c>
      <c r="B222" t="s">
        <v>811</v>
      </c>
      <c r="C222" s="1">
        <v>44169</v>
      </c>
      <c r="D222" s="1">
        <v>44326</v>
      </c>
      <c r="E222" t="s">
        <v>43</v>
      </c>
      <c r="F222" t="s">
        <v>64</v>
      </c>
      <c r="G222" t="s">
        <v>32</v>
      </c>
      <c r="H222" t="s">
        <v>92</v>
      </c>
      <c r="I222" s="3" t="s">
        <v>2939</v>
      </c>
      <c r="J222" s="3" t="s">
        <v>84</v>
      </c>
      <c r="K222" s="3" t="s">
        <v>3529</v>
      </c>
      <c r="L222" s="3" t="s">
        <v>3738</v>
      </c>
      <c r="M222">
        <v>383.48</v>
      </c>
      <c r="N222">
        <v>3</v>
      </c>
      <c r="O222">
        <f>Supply_Chain[[#This Row],[Unit_Price]]*Supply_Chain[[#This Row],[Quantity]]</f>
        <v>1150.44</v>
      </c>
      <c r="P222" t="s">
        <v>812</v>
      </c>
      <c r="Q222" t="s">
        <v>35</v>
      </c>
      <c r="R222" t="s">
        <v>135</v>
      </c>
      <c r="S222" t="s">
        <v>119</v>
      </c>
      <c r="T222" t="s">
        <v>100</v>
      </c>
      <c r="U222" t="s">
        <v>39</v>
      </c>
      <c r="V222">
        <v>3572</v>
      </c>
      <c r="W222">
        <v>294</v>
      </c>
      <c r="X222">
        <v>5</v>
      </c>
      <c r="Y222">
        <v>649.48</v>
      </c>
      <c r="Z222">
        <v>91.1</v>
      </c>
      <c r="AA222" s="9">
        <v>740.58</v>
      </c>
      <c r="AB222" t="s">
        <v>52</v>
      </c>
      <c r="AC222">
        <v>0</v>
      </c>
      <c r="AD222">
        <v>96.58</v>
      </c>
      <c r="AE222">
        <v>181</v>
      </c>
      <c r="AF222">
        <v>224</v>
      </c>
      <c r="AG222" s="11">
        <f>Supply_Chain[[#This Row],[Total_Cost]]/Supply_Chain[[#This Row],[Stock_On_Hand]]</f>
        <v>0.20732922732362824</v>
      </c>
    </row>
    <row r="223" spans="1:33" x14ac:dyDescent="0.25">
      <c r="A223" t="s">
        <v>813</v>
      </c>
      <c r="B223" t="s">
        <v>814</v>
      </c>
      <c r="C223" s="1">
        <v>44717</v>
      </c>
      <c r="D223" s="1">
        <v>44787</v>
      </c>
      <c r="E223" t="s">
        <v>43</v>
      </c>
      <c r="F223" t="s">
        <v>75</v>
      </c>
      <c r="G223" t="s">
        <v>91</v>
      </c>
      <c r="H223" t="s">
        <v>116</v>
      </c>
      <c r="I223" s="3" t="s">
        <v>2940</v>
      </c>
      <c r="J223" s="3" t="s">
        <v>3518</v>
      </c>
      <c r="K223" s="3" t="s">
        <v>3525</v>
      </c>
      <c r="L223" s="3" t="s">
        <v>3739</v>
      </c>
      <c r="M223">
        <v>335.86</v>
      </c>
      <c r="N223">
        <v>98</v>
      </c>
      <c r="O223">
        <f>Supply_Chain[[#This Row],[Unit_Price]]*Supply_Chain[[#This Row],[Quantity]]</f>
        <v>32914.28</v>
      </c>
      <c r="P223" t="s">
        <v>815</v>
      </c>
      <c r="Q223" t="s">
        <v>68</v>
      </c>
      <c r="R223" t="s">
        <v>36</v>
      </c>
      <c r="S223" t="s">
        <v>37</v>
      </c>
      <c r="T223" t="s">
        <v>60</v>
      </c>
      <c r="U223" t="s">
        <v>51</v>
      </c>
      <c r="V223">
        <v>3157</v>
      </c>
      <c r="W223">
        <v>397</v>
      </c>
      <c r="X223">
        <v>9</v>
      </c>
      <c r="Y223">
        <v>1743.8</v>
      </c>
      <c r="Z223">
        <v>388.5</v>
      </c>
      <c r="AA223" s="9">
        <v>2132.3000000000002</v>
      </c>
      <c r="AB223" t="s">
        <v>52</v>
      </c>
      <c r="AC223">
        <v>0</v>
      </c>
      <c r="AD223">
        <v>95.56</v>
      </c>
      <c r="AE223">
        <v>83</v>
      </c>
      <c r="AF223">
        <v>68</v>
      </c>
      <c r="AG223" s="11">
        <f>Supply_Chain[[#This Row],[Total_Cost]]/Supply_Chain[[#This Row],[Stock_On_Hand]]</f>
        <v>0.67541970224897063</v>
      </c>
    </row>
    <row r="224" spans="1:33" x14ac:dyDescent="0.25">
      <c r="A224" t="s">
        <v>816</v>
      </c>
      <c r="B224" t="s">
        <v>817</v>
      </c>
      <c r="C224" s="1">
        <v>44510</v>
      </c>
      <c r="D224" s="1">
        <v>44749</v>
      </c>
      <c r="E224" t="s">
        <v>43</v>
      </c>
      <c r="F224" t="s">
        <v>44</v>
      </c>
      <c r="G224" t="s">
        <v>65</v>
      </c>
      <c r="H224" t="s">
        <v>166</v>
      </c>
      <c r="I224" s="3" t="s">
        <v>2941</v>
      </c>
      <c r="J224" s="3" t="s">
        <v>3518</v>
      </c>
      <c r="K224" s="3" t="s">
        <v>3527</v>
      </c>
      <c r="L224" s="3" t="s">
        <v>3623</v>
      </c>
      <c r="M224">
        <v>203.49</v>
      </c>
      <c r="N224">
        <v>95</v>
      </c>
      <c r="O224">
        <f>Supply_Chain[[#This Row],[Unit_Price]]*Supply_Chain[[#This Row],[Quantity]]</f>
        <v>19331.55</v>
      </c>
      <c r="P224" t="s">
        <v>818</v>
      </c>
      <c r="Q224" t="s">
        <v>86</v>
      </c>
      <c r="R224" t="s">
        <v>819</v>
      </c>
      <c r="S224" t="s">
        <v>119</v>
      </c>
      <c r="T224" t="s">
        <v>79</v>
      </c>
      <c r="U224" t="s">
        <v>499</v>
      </c>
      <c r="V224">
        <v>1208</v>
      </c>
      <c r="W224">
        <v>318</v>
      </c>
      <c r="X224">
        <v>5</v>
      </c>
      <c r="Y224">
        <v>1145.6500000000001</v>
      </c>
      <c r="Z224">
        <v>18.62</v>
      </c>
      <c r="AA224" s="9">
        <v>1164.27</v>
      </c>
      <c r="AB224" t="s">
        <v>52</v>
      </c>
      <c r="AC224">
        <v>0</v>
      </c>
      <c r="AD224">
        <v>98.62</v>
      </c>
      <c r="AE224">
        <v>366</v>
      </c>
      <c r="AF224">
        <v>360</v>
      </c>
      <c r="AG224" s="11">
        <f>Supply_Chain[[#This Row],[Total_Cost]]/Supply_Chain[[#This Row],[Stock_On_Hand]]</f>
        <v>0.96379966887417212</v>
      </c>
    </row>
    <row r="225" spans="1:33" x14ac:dyDescent="0.25">
      <c r="A225" t="s">
        <v>820</v>
      </c>
      <c r="B225" t="s">
        <v>821</v>
      </c>
      <c r="C225" s="1">
        <v>44825</v>
      </c>
      <c r="D225" s="1">
        <v>45086</v>
      </c>
      <c r="E225" t="s">
        <v>43</v>
      </c>
      <c r="F225" t="s">
        <v>115</v>
      </c>
      <c r="G225" t="s">
        <v>247</v>
      </c>
      <c r="H225" t="s">
        <v>46</v>
      </c>
      <c r="I225" s="3" t="s">
        <v>2805</v>
      </c>
      <c r="J225" s="3" t="s">
        <v>3518</v>
      </c>
      <c r="K225" s="3" t="s">
        <v>3521</v>
      </c>
      <c r="L225" s="3" t="s">
        <v>3604</v>
      </c>
      <c r="M225">
        <v>352.9</v>
      </c>
      <c r="N225">
        <v>99</v>
      </c>
      <c r="O225">
        <f>Supply_Chain[[#This Row],[Unit_Price]]*Supply_Chain[[#This Row],[Quantity]]</f>
        <v>34937.1</v>
      </c>
      <c r="P225" t="s">
        <v>822</v>
      </c>
      <c r="Q225" t="s">
        <v>68</v>
      </c>
      <c r="R225" t="s">
        <v>181</v>
      </c>
      <c r="S225" t="s">
        <v>37</v>
      </c>
      <c r="T225" t="s">
        <v>60</v>
      </c>
      <c r="U225" t="s">
        <v>809</v>
      </c>
      <c r="V225">
        <v>2642</v>
      </c>
      <c r="W225">
        <v>325</v>
      </c>
      <c r="X225">
        <v>10</v>
      </c>
      <c r="Y225">
        <v>137.06</v>
      </c>
      <c r="Z225">
        <v>283.73</v>
      </c>
      <c r="AA225" s="9">
        <v>420.79</v>
      </c>
      <c r="AB225" t="s">
        <v>52</v>
      </c>
      <c r="AC225">
        <v>0</v>
      </c>
      <c r="AD225">
        <v>96.69</v>
      </c>
      <c r="AE225">
        <v>406</v>
      </c>
      <c r="AF225">
        <v>404</v>
      </c>
      <c r="AG225" s="11">
        <f>Supply_Chain[[#This Row],[Total_Cost]]/Supply_Chain[[#This Row],[Stock_On_Hand]]</f>
        <v>0.15926949280847844</v>
      </c>
    </row>
    <row r="226" spans="1:33" x14ac:dyDescent="0.25">
      <c r="A226" t="s">
        <v>823</v>
      </c>
      <c r="B226" t="s">
        <v>824</v>
      </c>
      <c r="C226" s="1">
        <v>44155</v>
      </c>
      <c r="D226" s="1">
        <v>44120</v>
      </c>
      <c r="E226" t="s">
        <v>30</v>
      </c>
      <c r="F226" t="s">
        <v>75</v>
      </c>
      <c r="G226" t="s">
        <v>56</v>
      </c>
      <c r="H226" t="s">
        <v>128</v>
      </c>
      <c r="I226" s="3" t="s">
        <v>2769</v>
      </c>
      <c r="J226" s="3" t="s">
        <v>3518</v>
      </c>
      <c r="K226" s="3" t="s">
        <v>3524</v>
      </c>
      <c r="L226" s="3" t="s">
        <v>3569</v>
      </c>
      <c r="M226">
        <v>353.64</v>
      </c>
      <c r="N226">
        <v>2</v>
      </c>
      <c r="O226">
        <f>Supply_Chain[[#This Row],[Unit_Price]]*Supply_Chain[[#This Row],[Quantity]]</f>
        <v>707.28</v>
      </c>
      <c r="P226" t="s">
        <v>548</v>
      </c>
      <c r="Q226" t="s">
        <v>86</v>
      </c>
      <c r="R226" t="s">
        <v>480</v>
      </c>
      <c r="S226" t="s">
        <v>70</v>
      </c>
      <c r="T226" t="s">
        <v>100</v>
      </c>
      <c r="U226" t="s">
        <v>316</v>
      </c>
      <c r="V226">
        <v>4991</v>
      </c>
      <c r="W226">
        <v>435</v>
      </c>
      <c r="X226">
        <v>15</v>
      </c>
      <c r="Y226">
        <v>1373.97</v>
      </c>
      <c r="Z226">
        <v>331.93</v>
      </c>
      <c r="AA226" s="9">
        <v>1705.9</v>
      </c>
      <c r="AB226" t="s">
        <v>52</v>
      </c>
      <c r="AC226">
        <v>0</v>
      </c>
      <c r="AD226">
        <v>73.47</v>
      </c>
      <c r="AE226">
        <v>132</v>
      </c>
      <c r="AF226">
        <v>166</v>
      </c>
      <c r="AG226" s="11">
        <f>Supply_Chain[[#This Row],[Total_Cost]]/Supply_Chain[[#This Row],[Stock_On_Hand]]</f>
        <v>0.34179523141654983</v>
      </c>
    </row>
    <row r="227" spans="1:33" x14ac:dyDescent="0.25">
      <c r="A227" t="s">
        <v>825</v>
      </c>
      <c r="B227" t="s">
        <v>826</v>
      </c>
      <c r="C227" s="1">
        <v>45118</v>
      </c>
      <c r="D227" s="1">
        <v>44555</v>
      </c>
      <c r="E227" t="s">
        <v>55</v>
      </c>
      <c r="F227" t="s">
        <v>31</v>
      </c>
      <c r="G227" t="s">
        <v>45</v>
      </c>
      <c r="H227" t="s">
        <v>33</v>
      </c>
      <c r="I227" s="3" t="s">
        <v>2942</v>
      </c>
      <c r="J227" s="3" t="s">
        <v>3519</v>
      </c>
      <c r="K227" s="3" t="s">
        <v>3536</v>
      </c>
      <c r="L227" s="3" t="s">
        <v>3740</v>
      </c>
      <c r="M227">
        <v>163.87</v>
      </c>
      <c r="N227">
        <v>76</v>
      </c>
      <c r="O227">
        <f>Supply_Chain[[#This Row],[Unit_Price]]*Supply_Chain[[#This Row],[Quantity]]</f>
        <v>12454.12</v>
      </c>
      <c r="P227" t="s">
        <v>827</v>
      </c>
      <c r="Q227" t="s">
        <v>35</v>
      </c>
      <c r="R227" t="s">
        <v>253</v>
      </c>
      <c r="S227" t="s">
        <v>119</v>
      </c>
      <c r="T227" t="s">
        <v>100</v>
      </c>
      <c r="U227" t="s">
        <v>88</v>
      </c>
      <c r="V227">
        <v>654</v>
      </c>
      <c r="W227">
        <v>208</v>
      </c>
      <c r="X227">
        <v>2</v>
      </c>
      <c r="Y227">
        <v>129.46</v>
      </c>
      <c r="Z227">
        <v>342.94</v>
      </c>
      <c r="AA227" s="9">
        <v>472.4</v>
      </c>
      <c r="AB227" t="s">
        <v>52</v>
      </c>
      <c r="AC227">
        <v>0</v>
      </c>
      <c r="AD227">
        <v>80.84</v>
      </c>
      <c r="AE227">
        <v>170</v>
      </c>
      <c r="AF227">
        <v>204</v>
      </c>
      <c r="AG227" s="11">
        <f>Supply_Chain[[#This Row],[Total_Cost]]/Supply_Chain[[#This Row],[Stock_On_Hand]]</f>
        <v>0.72232415902140668</v>
      </c>
    </row>
    <row r="228" spans="1:33" x14ac:dyDescent="0.25">
      <c r="A228" t="s">
        <v>828</v>
      </c>
      <c r="B228" t="s">
        <v>829</v>
      </c>
      <c r="C228" s="1">
        <v>44255</v>
      </c>
      <c r="D228" s="1">
        <v>45187</v>
      </c>
      <c r="E228" t="s">
        <v>55</v>
      </c>
      <c r="F228" t="s">
        <v>31</v>
      </c>
      <c r="G228" t="s">
        <v>83</v>
      </c>
      <c r="H228" t="s">
        <v>128</v>
      </c>
      <c r="I228" s="3" t="s">
        <v>2943</v>
      </c>
      <c r="J228" s="3" t="s">
        <v>3519</v>
      </c>
      <c r="K228" s="3" t="s">
        <v>3536</v>
      </c>
      <c r="L228" s="3" t="s">
        <v>3741</v>
      </c>
      <c r="M228">
        <v>111.35</v>
      </c>
      <c r="N228">
        <v>4</v>
      </c>
      <c r="O228">
        <f>Supply_Chain[[#This Row],[Unit_Price]]*Supply_Chain[[#This Row],[Quantity]]</f>
        <v>445.4</v>
      </c>
      <c r="P228" t="s">
        <v>775</v>
      </c>
      <c r="Q228" t="s">
        <v>110</v>
      </c>
      <c r="R228" t="s">
        <v>323</v>
      </c>
      <c r="S228" t="s">
        <v>37</v>
      </c>
      <c r="T228" t="s">
        <v>71</v>
      </c>
      <c r="U228" t="s">
        <v>331</v>
      </c>
      <c r="V228">
        <v>2329</v>
      </c>
      <c r="W228">
        <v>473</v>
      </c>
      <c r="X228">
        <v>17</v>
      </c>
      <c r="Y228">
        <v>1400.16</v>
      </c>
      <c r="Z228">
        <v>479.23</v>
      </c>
      <c r="AA228" s="9">
        <v>1879.39</v>
      </c>
      <c r="AB228" t="s">
        <v>40</v>
      </c>
      <c r="AC228">
        <v>6</v>
      </c>
      <c r="AD228">
        <v>95.79</v>
      </c>
      <c r="AE228">
        <v>406</v>
      </c>
      <c r="AF228">
        <v>371</v>
      </c>
      <c r="AG228" s="11">
        <f>Supply_Chain[[#This Row],[Total_Cost]]/Supply_Chain[[#This Row],[Stock_On_Hand]]</f>
        <v>0.80695148132245609</v>
      </c>
    </row>
    <row r="229" spans="1:33" x14ac:dyDescent="0.25">
      <c r="A229" t="s">
        <v>830</v>
      </c>
      <c r="B229" t="s">
        <v>831</v>
      </c>
      <c r="C229" s="1">
        <v>45545</v>
      </c>
      <c r="D229" s="1">
        <v>44890</v>
      </c>
      <c r="E229" t="s">
        <v>43</v>
      </c>
      <c r="F229" t="s">
        <v>64</v>
      </c>
      <c r="G229" t="s">
        <v>56</v>
      </c>
      <c r="H229" t="s">
        <v>116</v>
      </c>
      <c r="I229" s="3" t="s">
        <v>2913</v>
      </c>
      <c r="J229" s="3" t="s">
        <v>3519</v>
      </c>
      <c r="K229" s="3" t="s">
        <v>3536</v>
      </c>
      <c r="L229" s="3" t="s">
        <v>3712</v>
      </c>
      <c r="M229">
        <v>123.62</v>
      </c>
      <c r="N229">
        <v>52</v>
      </c>
      <c r="O229">
        <f>Supply_Chain[[#This Row],[Unit_Price]]*Supply_Chain[[#This Row],[Quantity]]</f>
        <v>6428.24</v>
      </c>
      <c r="P229" t="s">
        <v>716</v>
      </c>
      <c r="Q229" t="s">
        <v>48</v>
      </c>
      <c r="R229" t="s">
        <v>480</v>
      </c>
      <c r="S229" t="s">
        <v>119</v>
      </c>
      <c r="T229" t="s">
        <v>60</v>
      </c>
      <c r="U229" t="s">
        <v>691</v>
      </c>
      <c r="V229">
        <v>1657</v>
      </c>
      <c r="W229">
        <v>298</v>
      </c>
      <c r="X229">
        <v>23</v>
      </c>
      <c r="Y229">
        <v>1779.68</v>
      </c>
      <c r="Z229">
        <v>123.49</v>
      </c>
      <c r="AA229" s="9">
        <v>1903.17</v>
      </c>
      <c r="AB229" t="s">
        <v>52</v>
      </c>
      <c r="AC229">
        <v>0</v>
      </c>
      <c r="AD229">
        <v>73.400000000000006</v>
      </c>
      <c r="AE229">
        <v>356</v>
      </c>
      <c r="AF229">
        <v>320</v>
      </c>
      <c r="AG229" s="11">
        <f>Supply_Chain[[#This Row],[Total_Cost]]/Supply_Chain[[#This Row],[Stock_On_Hand]]</f>
        <v>1.1485636692818346</v>
      </c>
    </row>
    <row r="230" spans="1:33" x14ac:dyDescent="0.25">
      <c r="A230" t="s">
        <v>832</v>
      </c>
      <c r="B230" t="s">
        <v>833</v>
      </c>
      <c r="C230" s="1">
        <v>44982</v>
      </c>
      <c r="D230" s="1">
        <v>43950</v>
      </c>
      <c r="E230" t="s">
        <v>43</v>
      </c>
      <c r="F230" t="s">
        <v>64</v>
      </c>
      <c r="G230" t="s">
        <v>65</v>
      </c>
      <c r="H230" t="s">
        <v>128</v>
      </c>
      <c r="I230" s="3" t="s">
        <v>2944</v>
      </c>
      <c r="J230" s="3" t="s">
        <v>84</v>
      </c>
      <c r="K230" s="3" t="s">
        <v>3529</v>
      </c>
      <c r="L230" s="3" t="s">
        <v>3742</v>
      </c>
      <c r="M230">
        <v>201.26</v>
      </c>
      <c r="N230">
        <v>62</v>
      </c>
      <c r="O230">
        <f>Supply_Chain[[#This Row],[Unit_Price]]*Supply_Chain[[#This Row],[Quantity]]</f>
        <v>12478.119999999999</v>
      </c>
      <c r="P230" t="s">
        <v>834</v>
      </c>
      <c r="Q230" t="s">
        <v>35</v>
      </c>
      <c r="R230" t="s">
        <v>172</v>
      </c>
      <c r="S230" t="s">
        <v>37</v>
      </c>
      <c r="T230" t="s">
        <v>71</v>
      </c>
      <c r="U230" t="s">
        <v>241</v>
      </c>
      <c r="V230">
        <v>805</v>
      </c>
      <c r="W230">
        <v>200</v>
      </c>
      <c r="X230">
        <v>17</v>
      </c>
      <c r="Y230">
        <v>219.25</v>
      </c>
      <c r="Z230">
        <v>427.91</v>
      </c>
      <c r="AA230" s="9">
        <v>647.16000000000008</v>
      </c>
      <c r="AB230" t="s">
        <v>52</v>
      </c>
      <c r="AC230">
        <v>0</v>
      </c>
      <c r="AD230">
        <v>87.11</v>
      </c>
      <c r="AE230">
        <v>265</v>
      </c>
      <c r="AF230">
        <v>268</v>
      </c>
      <c r="AG230" s="11">
        <f>Supply_Chain[[#This Row],[Total_Cost]]/Supply_Chain[[#This Row],[Stock_On_Hand]]</f>
        <v>0.80392546583850943</v>
      </c>
    </row>
    <row r="231" spans="1:33" x14ac:dyDescent="0.25">
      <c r="A231" t="s">
        <v>835</v>
      </c>
      <c r="B231" t="s">
        <v>836</v>
      </c>
      <c r="C231" s="1">
        <v>45221</v>
      </c>
      <c r="D231" s="1">
        <v>44459</v>
      </c>
      <c r="E231" t="s">
        <v>55</v>
      </c>
      <c r="F231" t="s">
        <v>64</v>
      </c>
      <c r="G231" t="s">
        <v>32</v>
      </c>
      <c r="H231" t="s">
        <v>166</v>
      </c>
      <c r="I231" s="3" t="s">
        <v>2897</v>
      </c>
      <c r="J231" s="3" t="s">
        <v>84</v>
      </c>
      <c r="K231" s="3" t="s">
        <v>3529</v>
      </c>
      <c r="L231" s="3" t="s">
        <v>3696</v>
      </c>
      <c r="M231">
        <v>347.18</v>
      </c>
      <c r="N231">
        <v>14</v>
      </c>
      <c r="O231">
        <f>Supply_Chain[[#This Row],[Unit_Price]]*Supply_Chain[[#This Row],[Quantity]]</f>
        <v>4860.5200000000004</v>
      </c>
      <c r="P231" t="s">
        <v>355</v>
      </c>
      <c r="Q231" t="s">
        <v>35</v>
      </c>
      <c r="R231" t="s">
        <v>130</v>
      </c>
      <c r="S231" t="s">
        <v>119</v>
      </c>
      <c r="T231" t="s">
        <v>60</v>
      </c>
      <c r="U231" t="s">
        <v>257</v>
      </c>
      <c r="V231">
        <v>4971</v>
      </c>
      <c r="W231">
        <v>434</v>
      </c>
      <c r="X231">
        <v>12</v>
      </c>
      <c r="Y231">
        <v>1856.36</v>
      </c>
      <c r="Z231">
        <v>254.31</v>
      </c>
      <c r="AA231" s="9">
        <v>2110.67</v>
      </c>
      <c r="AB231" t="s">
        <v>40</v>
      </c>
      <c r="AC231">
        <v>10</v>
      </c>
      <c r="AD231">
        <v>70.36</v>
      </c>
      <c r="AE231">
        <v>159</v>
      </c>
      <c r="AF231">
        <v>133</v>
      </c>
      <c r="AG231" s="11">
        <f>Supply_Chain[[#This Row],[Total_Cost]]/Supply_Chain[[#This Row],[Stock_On_Hand]]</f>
        <v>0.42459666063166368</v>
      </c>
    </row>
    <row r="232" spans="1:33" x14ac:dyDescent="0.25">
      <c r="A232" t="s">
        <v>837</v>
      </c>
      <c r="B232" t="s">
        <v>838</v>
      </c>
      <c r="C232" s="1">
        <v>44381</v>
      </c>
      <c r="D232" s="1">
        <v>44496</v>
      </c>
      <c r="E232" t="s">
        <v>55</v>
      </c>
      <c r="F232" t="s">
        <v>64</v>
      </c>
      <c r="G232" t="s">
        <v>56</v>
      </c>
      <c r="H232" t="s">
        <v>46</v>
      </c>
      <c r="I232" s="3" t="s">
        <v>2830</v>
      </c>
      <c r="J232" s="3" t="s">
        <v>3518</v>
      </c>
      <c r="K232" s="3" t="s">
        <v>3522</v>
      </c>
      <c r="L232" s="3" t="s">
        <v>3629</v>
      </c>
      <c r="M232">
        <v>130.51</v>
      </c>
      <c r="N232">
        <v>39</v>
      </c>
      <c r="O232">
        <f>Supply_Chain[[#This Row],[Unit_Price]]*Supply_Chain[[#This Row],[Quantity]]</f>
        <v>5089.8899999999994</v>
      </c>
      <c r="P232" t="s">
        <v>839</v>
      </c>
      <c r="Q232" t="s">
        <v>110</v>
      </c>
      <c r="R232" t="s">
        <v>277</v>
      </c>
      <c r="S232" t="s">
        <v>70</v>
      </c>
      <c r="T232" t="s">
        <v>79</v>
      </c>
      <c r="U232" t="s">
        <v>131</v>
      </c>
      <c r="V232">
        <v>4663</v>
      </c>
      <c r="W232">
        <v>74</v>
      </c>
      <c r="X232">
        <v>1</v>
      </c>
      <c r="Y232">
        <v>188.65</v>
      </c>
      <c r="Z232">
        <v>280.64</v>
      </c>
      <c r="AA232" s="9">
        <v>469.29</v>
      </c>
      <c r="AB232" t="s">
        <v>52</v>
      </c>
      <c r="AC232">
        <v>0</v>
      </c>
      <c r="AD232">
        <v>95.23</v>
      </c>
      <c r="AE232">
        <v>202</v>
      </c>
      <c r="AF232">
        <v>242</v>
      </c>
      <c r="AG232" s="11">
        <f>Supply_Chain[[#This Row],[Total_Cost]]/Supply_Chain[[#This Row],[Stock_On_Hand]]</f>
        <v>0.10064121809993566</v>
      </c>
    </row>
    <row r="233" spans="1:33" x14ac:dyDescent="0.25">
      <c r="A233" t="s">
        <v>840</v>
      </c>
      <c r="B233" t="s">
        <v>841</v>
      </c>
      <c r="C233" s="1">
        <v>45084</v>
      </c>
      <c r="D233" s="1">
        <v>43908</v>
      </c>
      <c r="E233" t="s">
        <v>55</v>
      </c>
      <c r="F233" t="s">
        <v>75</v>
      </c>
      <c r="G233" t="s">
        <v>91</v>
      </c>
      <c r="H233" t="s">
        <v>33</v>
      </c>
      <c r="I233" s="3" t="s">
        <v>2945</v>
      </c>
      <c r="J233" s="3" t="s">
        <v>3518</v>
      </c>
      <c r="K233" s="3" t="s">
        <v>3523</v>
      </c>
      <c r="L233" s="3" t="s">
        <v>3743</v>
      </c>
      <c r="M233">
        <v>120.66</v>
      </c>
      <c r="N233">
        <v>4</v>
      </c>
      <c r="O233">
        <f>Supply_Chain[[#This Row],[Unit_Price]]*Supply_Chain[[#This Row],[Quantity]]</f>
        <v>482.64</v>
      </c>
      <c r="P233" t="s">
        <v>842</v>
      </c>
      <c r="Q233" t="s">
        <v>86</v>
      </c>
      <c r="R233" t="s">
        <v>186</v>
      </c>
      <c r="S233" t="s">
        <v>119</v>
      </c>
      <c r="T233" t="s">
        <v>79</v>
      </c>
      <c r="U233" t="s">
        <v>291</v>
      </c>
      <c r="V233">
        <v>644</v>
      </c>
      <c r="W233">
        <v>429</v>
      </c>
      <c r="X233">
        <v>15</v>
      </c>
      <c r="Y233">
        <v>575.09</v>
      </c>
      <c r="Z233">
        <v>313.87</v>
      </c>
      <c r="AA233" s="9">
        <v>888.96</v>
      </c>
      <c r="AB233" t="s">
        <v>52</v>
      </c>
      <c r="AC233">
        <v>0</v>
      </c>
      <c r="AD233">
        <v>72.45</v>
      </c>
      <c r="AE233">
        <v>282</v>
      </c>
      <c r="AF233">
        <v>274</v>
      </c>
      <c r="AG233" s="11">
        <f>Supply_Chain[[#This Row],[Total_Cost]]/Supply_Chain[[#This Row],[Stock_On_Hand]]</f>
        <v>1.3803726708074535</v>
      </c>
    </row>
    <row r="234" spans="1:33" x14ac:dyDescent="0.25">
      <c r="A234" t="s">
        <v>843</v>
      </c>
      <c r="B234" t="s">
        <v>844</v>
      </c>
      <c r="C234" s="1">
        <v>45570</v>
      </c>
      <c r="D234" s="1">
        <v>44195</v>
      </c>
      <c r="E234" t="s">
        <v>55</v>
      </c>
      <c r="F234" t="s">
        <v>75</v>
      </c>
      <c r="G234" t="s">
        <v>83</v>
      </c>
      <c r="H234" t="s">
        <v>116</v>
      </c>
      <c r="I234" s="3" t="s">
        <v>2946</v>
      </c>
      <c r="J234" s="3" t="s">
        <v>3518</v>
      </c>
      <c r="K234" s="3" t="s">
        <v>3524</v>
      </c>
      <c r="L234" s="3" t="s">
        <v>3744</v>
      </c>
      <c r="M234">
        <v>282.81</v>
      </c>
      <c r="N234">
        <v>39</v>
      </c>
      <c r="O234">
        <f>Supply_Chain[[#This Row],[Unit_Price]]*Supply_Chain[[#This Row],[Quantity]]</f>
        <v>11029.59</v>
      </c>
      <c r="P234" t="s">
        <v>845</v>
      </c>
      <c r="Q234" t="s">
        <v>48</v>
      </c>
      <c r="R234" t="s">
        <v>253</v>
      </c>
      <c r="S234" t="s">
        <v>50</v>
      </c>
      <c r="T234" t="s">
        <v>71</v>
      </c>
      <c r="U234" t="s">
        <v>310</v>
      </c>
      <c r="V234">
        <v>3419</v>
      </c>
      <c r="W234">
        <v>288</v>
      </c>
      <c r="X234">
        <v>23</v>
      </c>
      <c r="Y234">
        <v>262.55</v>
      </c>
      <c r="Z234">
        <v>401.9</v>
      </c>
      <c r="AA234" s="9">
        <v>664.45</v>
      </c>
      <c r="AB234" t="s">
        <v>52</v>
      </c>
      <c r="AC234">
        <v>0</v>
      </c>
      <c r="AD234">
        <v>91.97</v>
      </c>
      <c r="AE234">
        <v>165</v>
      </c>
      <c r="AF234">
        <v>151</v>
      </c>
      <c r="AG234" s="11">
        <f>Supply_Chain[[#This Row],[Total_Cost]]/Supply_Chain[[#This Row],[Stock_On_Hand]]</f>
        <v>0.19434045042410061</v>
      </c>
    </row>
    <row r="235" spans="1:33" x14ac:dyDescent="0.25">
      <c r="A235" t="s">
        <v>846</v>
      </c>
      <c r="B235" t="s">
        <v>847</v>
      </c>
      <c r="C235" s="1">
        <v>44012</v>
      </c>
      <c r="D235" s="1">
        <v>45222</v>
      </c>
      <c r="E235" t="s">
        <v>55</v>
      </c>
      <c r="F235" t="s">
        <v>44</v>
      </c>
      <c r="G235" t="s">
        <v>76</v>
      </c>
      <c r="H235" t="s">
        <v>33</v>
      </c>
      <c r="I235" s="3" t="s">
        <v>2947</v>
      </c>
      <c r="J235" s="3" t="s">
        <v>3519</v>
      </c>
      <c r="K235" s="3" t="s">
        <v>3530</v>
      </c>
      <c r="L235" s="3" t="s">
        <v>3745</v>
      </c>
      <c r="M235">
        <v>414.51</v>
      </c>
      <c r="N235">
        <v>76</v>
      </c>
      <c r="O235">
        <f>Supply_Chain[[#This Row],[Unit_Price]]*Supply_Chain[[#This Row],[Quantity]]</f>
        <v>31502.76</v>
      </c>
      <c r="P235" t="s">
        <v>848</v>
      </c>
      <c r="Q235" t="s">
        <v>110</v>
      </c>
      <c r="R235" t="s">
        <v>135</v>
      </c>
      <c r="S235" t="s">
        <v>37</v>
      </c>
      <c r="T235" t="s">
        <v>79</v>
      </c>
      <c r="U235" t="s">
        <v>440</v>
      </c>
      <c r="V235">
        <v>3339</v>
      </c>
      <c r="W235">
        <v>384</v>
      </c>
      <c r="X235">
        <v>29</v>
      </c>
      <c r="Y235">
        <v>190.4</v>
      </c>
      <c r="Z235">
        <v>129.66</v>
      </c>
      <c r="AA235" s="9">
        <v>320.06</v>
      </c>
      <c r="AB235" t="s">
        <v>52</v>
      </c>
      <c r="AC235">
        <v>0</v>
      </c>
      <c r="AD235">
        <v>73.77</v>
      </c>
      <c r="AE235">
        <v>285</v>
      </c>
      <c r="AF235">
        <v>293</v>
      </c>
      <c r="AG235" s="11">
        <f>Supply_Chain[[#This Row],[Total_Cost]]/Supply_Chain[[#This Row],[Stock_On_Hand]]</f>
        <v>9.5855046421084153E-2</v>
      </c>
    </row>
    <row r="236" spans="1:33" x14ac:dyDescent="0.25">
      <c r="A236" t="s">
        <v>849</v>
      </c>
      <c r="B236" t="s">
        <v>850</v>
      </c>
      <c r="C236" s="1">
        <v>44650</v>
      </c>
      <c r="D236" s="1">
        <v>44941</v>
      </c>
      <c r="E236" t="s">
        <v>55</v>
      </c>
      <c r="F236" t="s">
        <v>75</v>
      </c>
      <c r="G236" t="s">
        <v>247</v>
      </c>
      <c r="H236" t="s">
        <v>116</v>
      </c>
      <c r="I236" s="3" t="s">
        <v>2948</v>
      </c>
      <c r="J236" s="3" t="s">
        <v>3519</v>
      </c>
      <c r="K236" s="3" t="s">
        <v>3528</v>
      </c>
      <c r="L236" s="3" t="s">
        <v>3746</v>
      </c>
      <c r="M236">
        <v>114.57</v>
      </c>
      <c r="N236">
        <v>21</v>
      </c>
      <c r="O236">
        <f>Supply_Chain[[#This Row],[Unit_Price]]*Supply_Chain[[#This Row],[Quantity]]</f>
        <v>2405.9699999999998</v>
      </c>
      <c r="P236" t="s">
        <v>851</v>
      </c>
      <c r="Q236" t="s">
        <v>110</v>
      </c>
      <c r="R236" t="s">
        <v>94</v>
      </c>
      <c r="S236" t="s">
        <v>70</v>
      </c>
      <c r="T236" t="s">
        <v>38</v>
      </c>
      <c r="U236" t="s">
        <v>440</v>
      </c>
      <c r="V236">
        <v>3913</v>
      </c>
      <c r="W236">
        <v>156</v>
      </c>
      <c r="X236">
        <v>1</v>
      </c>
      <c r="Y236">
        <v>759.77</v>
      </c>
      <c r="Z236">
        <v>372.21</v>
      </c>
      <c r="AA236" s="9">
        <v>1131.98</v>
      </c>
      <c r="AB236" t="s">
        <v>52</v>
      </c>
      <c r="AC236">
        <v>0</v>
      </c>
      <c r="AD236">
        <v>74.08</v>
      </c>
      <c r="AE236">
        <v>353</v>
      </c>
      <c r="AF236">
        <v>401</v>
      </c>
      <c r="AG236" s="11">
        <f>Supply_Chain[[#This Row],[Total_Cost]]/Supply_Chain[[#This Row],[Stock_On_Hand]]</f>
        <v>0.28928699207768976</v>
      </c>
    </row>
    <row r="237" spans="1:33" x14ac:dyDescent="0.25">
      <c r="A237" t="s">
        <v>852</v>
      </c>
      <c r="B237" t="s">
        <v>853</v>
      </c>
      <c r="C237" s="1">
        <v>44331</v>
      </c>
      <c r="D237" s="1">
        <v>45122</v>
      </c>
      <c r="E237" t="s">
        <v>55</v>
      </c>
      <c r="F237" t="s">
        <v>31</v>
      </c>
      <c r="G237" t="s">
        <v>247</v>
      </c>
      <c r="H237" t="s">
        <v>166</v>
      </c>
      <c r="I237" s="3" t="s">
        <v>2761</v>
      </c>
      <c r="J237" s="3" t="s">
        <v>84</v>
      </c>
      <c r="K237" s="3" t="s">
        <v>3526</v>
      </c>
      <c r="L237" s="3" t="s">
        <v>3561</v>
      </c>
      <c r="M237">
        <v>27.76</v>
      </c>
      <c r="N237">
        <v>74</v>
      </c>
      <c r="O237">
        <f>Supply_Chain[[#This Row],[Unit_Price]]*Supply_Chain[[#This Row],[Quantity]]</f>
        <v>2054.2400000000002</v>
      </c>
      <c r="P237" t="s">
        <v>854</v>
      </c>
      <c r="Q237" t="s">
        <v>35</v>
      </c>
      <c r="R237" t="s">
        <v>323</v>
      </c>
      <c r="S237" t="s">
        <v>119</v>
      </c>
      <c r="T237" t="s">
        <v>60</v>
      </c>
      <c r="U237" t="s">
        <v>855</v>
      </c>
      <c r="V237">
        <v>1286</v>
      </c>
      <c r="W237">
        <v>129</v>
      </c>
      <c r="X237">
        <v>1</v>
      </c>
      <c r="Y237">
        <v>1964.59</v>
      </c>
      <c r="Z237">
        <v>155.62</v>
      </c>
      <c r="AA237" s="9">
        <v>2120.21</v>
      </c>
      <c r="AB237" t="s">
        <v>52</v>
      </c>
      <c r="AC237">
        <v>0</v>
      </c>
      <c r="AD237">
        <v>72.319999999999993</v>
      </c>
      <c r="AE237">
        <v>405</v>
      </c>
      <c r="AF237">
        <v>422</v>
      </c>
      <c r="AG237" s="11">
        <f>Supply_Chain[[#This Row],[Total_Cost]]/Supply_Chain[[#This Row],[Stock_On_Hand]]</f>
        <v>1.6486858475894246</v>
      </c>
    </row>
    <row r="238" spans="1:33" x14ac:dyDescent="0.25">
      <c r="A238" t="s">
        <v>856</v>
      </c>
      <c r="B238" t="s">
        <v>857</v>
      </c>
      <c r="C238" s="1">
        <v>44180</v>
      </c>
      <c r="D238" s="1">
        <v>44408</v>
      </c>
      <c r="E238" t="s">
        <v>55</v>
      </c>
      <c r="F238" t="s">
        <v>44</v>
      </c>
      <c r="G238" t="s">
        <v>247</v>
      </c>
      <c r="H238" t="s">
        <v>46</v>
      </c>
      <c r="I238" s="3" t="s">
        <v>2949</v>
      </c>
      <c r="J238" s="3" t="s">
        <v>84</v>
      </c>
      <c r="K238" s="3" t="s">
        <v>3529</v>
      </c>
      <c r="L238" s="3" t="s">
        <v>3747</v>
      </c>
      <c r="M238">
        <v>416.74</v>
      </c>
      <c r="N238">
        <v>42</v>
      </c>
      <c r="O238">
        <f>Supply_Chain[[#This Row],[Unit_Price]]*Supply_Chain[[#This Row],[Quantity]]</f>
        <v>17503.080000000002</v>
      </c>
      <c r="P238" t="s">
        <v>858</v>
      </c>
      <c r="Q238" t="s">
        <v>68</v>
      </c>
      <c r="R238" t="s">
        <v>162</v>
      </c>
      <c r="S238" t="s">
        <v>70</v>
      </c>
      <c r="T238" t="s">
        <v>79</v>
      </c>
      <c r="U238" t="s">
        <v>150</v>
      </c>
      <c r="V238">
        <v>2850</v>
      </c>
      <c r="W238">
        <v>477</v>
      </c>
      <c r="X238">
        <v>26</v>
      </c>
      <c r="Y238">
        <v>315.58999999999997</v>
      </c>
      <c r="Z238">
        <v>142.06</v>
      </c>
      <c r="AA238" s="9">
        <v>457.65</v>
      </c>
      <c r="AB238" t="s">
        <v>52</v>
      </c>
      <c r="AC238">
        <v>0</v>
      </c>
      <c r="AD238">
        <v>91.62</v>
      </c>
      <c r="AE238">
        <v>288</v>
      </c>
      <c r="AF238">
        <v>335</v>
      </c>
      <c r="AG238" s="11">
        <f>Supply_Chain[[#This Row],[Total_Cost]]/Supply_Chain[[#This Row],[Stock_On_Hand]]</f>
        <v>0.16057894736842104</v>
      </c>
    </row>
    <row r="239" spans="1:33" x14ac:dyDescent="0.25">
      <c r="A239" t="s">
        <v>859</v>
      </c>
      <c r="B239" t="s">
        <v>860</v>
      </c>
      <c r="C239" s="1">
        <v>45351</v>
      </c>
      <c r="D239" s="1">
        <v>44646</v>
      </c>
      <c r="E239" t="s">
        <v>55</v>
      </c>
      <c r="F239" t="s">
        <v>31</v>
      </c>
      <c r="G239" t="s">
        <v>91</v>
      </c>
      <c r="H239" t="s">
        <v>33</v>
      </c>
      <c r="I239" s="3" t="s">
        <v>2950</v>
      </c>
      <c r="J239" s="3" t="s">
        <v>3518</v>
      </c>
      <c r="K239" s="3" t="s">
        <v>3525</v>
      </c>
      <c r="L239" s="3" t="s">
        <v>3748</v>
      </c>
      <c r="M239">
        <v>116.12</v>
      </c>
      <c r="N239">
        <v>44</v>
      </c>
      <c r="O239">
        <f>Supply_Chain[[#This Row],[Unit_Price]]*Supply_Chain[[#This Row],[Quantity]]</f>
        <v>5109.2800000000007</v>
      </c>
      <c r="P239" t="s">
        <v>861</v>
      </c>
      <c r="Q239" t="s">
        <v>68</v>
      </c>
      <c r="R239" t="s">
        <v>94</v>
      </c>
      <c r="S239" t="s">
        <v>50</v>
      </c>
      <c r="T239" t="s">
        <v>79</v>
      </c>
      <c r="U239" t="s">
        <v>310</v>
      </c>
      <c r="V239">
        <v>4542</v>
      </c>
      <c r="W239">
        <v>182</v>
      </c>
      <c r="X239">
        <v>11</v>
      </c>
      <c r="Y239">
        <v>1786.29</v>
      </c>
      <c r="Z239">
        <v>36.9</v>
      </c>
      <c r="AA239" s="9">
        <v>1823.19</v>
      </c>
      <c r="AB239" t="s">
        <v>52</v>
      </c>
      <c r="AC239">
        <v>0</v>
      </c>
      <c r="AD239">
        <v>76.94</v>
      </c>
      <c r="AE239">
        <v>444</v>
      </c>
      <c r="AF239">
        <v>466</v>
      </c>
      <c r="AG239" s="11">
        <f>Supply_Chain[[#This Row],[Total_Cost]]/Supply_Chain[[#This Row],[Stock_On_Hand]]</f>
        <v>0.4014068692206077</v>
      </c>
    </row>
    <row r="240" spans="1:33" x14ac:dyDescent="0.25">
      <c r="A240" t="s">
        <v>862</v>
      </c>
      <c r="B240" t="s">
        <v>863</v>
      </c>
      <c r="C240" s="1">
        <v>44380</v>
      </c>
      <c r="D240" s="1">
        <v>45293</v>
      </c>
      <c r="E240" t="s">
        <v>55</v>
      </c>
      <c r="F240" t="s">
        <v>115</v>
      </c>
      <c r="G240" t="s">
        <v>247</v>
      </c>
      <c r="H240" t="s">
        <v>46</v>
      </c>
      <c r="I240" s="3" t="s">
        <v>2951</v>
      </c>
      <c r="J240" s="3" t="s">
        <v>3518</v>
      </c>
      <c r="K240" s="3" t="s">
        <v>3525</v>
      </c>
      <c r="L240" s="3" t="s">
        <v>3749</v>
      </c>
      <c r="M240">
        <v>321.14999999999998</v>
      </c>
      <c r="N240">
        <v>68</v>
      </c>
      <c r="O240">
        <f>Supply_Chain[[#This Row],[Unit_Price]]*Supply_Chain[[#This Row],[Quantity]]</f>
        <v>21838.199999999997</v>
      </c>
      <c r="P240" t="s">
        <v>864</v>
      </c>
      <c r="Q240" t="s">
        <v>35</v>
      </c>
      <c r="R240" t="s">
        <v>176</v>
      </c>
      <c r="S240" t="s">
        <v>50</v>
      </c>
      <c r="T240" t="s">
        <v>100</v>
      </c>
      <c r="U240" t="s">
        <v>72</v>
      </c>
      <c r="V240">
        <v>89</v>
      </c>
      <c r="W240">
        <v>431</v>
      </c>
      <c r="X240">
        <v>10</v>
      </c>
      <c r="Y240">
        <v>1980.82</v>
      </c>
      <c r="Z240">
        <v>94.51</v>
      </c>
      <c r="AA240" s="9">
        <v>2075.33</v>
      </c>
      <c r="AB240" t="s">
        <v>40</v>
      </c>
      <c r="AC240">
        <v>4</v>
      </c>
      <c r="AD240">
        <v>82.91</v>
      </c>
      <c r="AE240">
        <v>356</v>
      </c>
      <c r="AF240">
        <v>348</v>
      </c>
      <c r="AG240" s="11">
        <f>Supply_Chain[[#This Row],[Total_Cost]]/Supply_Chain[[#This Row],[Stock_On_Hand]]</f>
        <v>23.318314606741573</v>
      </c>
    </row>
    <row r="241" spans="1:33" x14ac:dyDescent="0.25">
      <c r="A241" t="s">
        <v>865</v>
      </c>
      <c r="B241" t="s">
        <v>866</v>
      </c>
      <c r="C241" s="1">
        <v>44825</v>
      </c>
      <c r="D241" s="1">
        <v>44614</v>
      </c>
      <c r="E241" t="s">
        <v>43</v>
      </c>
      <c r="F241" t="s">
        <v>115</v>
      </c>
      <c r="G241" t="s">
        <v>56</v>
      </c>
      <c r="H241" t="s">
        <v>166</v>
      </c>
      <c r="I241" s="3" t="s">
        <v>2952</v>
      </c>
      <c r="J241" s="3" t="s">
        <v>3518</v>
      </c>
      <c r="K241" s="3" t="s">
        <v>3525</v>
      </c>
      <c r="L241" s="3" t="s">
        <v>3750</v>
      </c>
      <c r="M241">
        <v>284.12</v>
      </c>
      <c r="N241">
        <v>5</v>
      </c>
      <c r="O241">
        <f>Supply_Chain[[#This Row],[Unit_Price]]*Supply_Chain[[#This Row],[Quantity]]</f>
        <v>1420.6</v>
      </c>
      <c r="P241" t="s">
        <v>867</v>
      </c>
      <c r="Q241" t="s">
        <v>35</v>
      </c>
      <c r="R241" t="s">
        <v>130</v>
      </c>
      <c r="S241" t="s">
        <v>50</v>
      </c>
      <c r="T241" t="s">
        <v>100</v>
      </c>
      <c r="U241" t="s">
        <v>215</v>
      </c>
      <c r="V241">
        <v>3062</v>
      </c>
      <c r="W241">
        <v>358</v>
      </c>
      <c r="X241">
        <v>7</v>
      </c>
      <c r="Y241">
        <v>679.17</v>
      </c>
      <c r="Z241">
        <v>181.66</v>
      </c>
      <c r="AA241" s="9">
        <v>860.82999999999993</v>
      </c>
      <c r="AB241" t="s">
        <v>52</v>
      </c>
      <c r="AC241">
        <v>0</v>
      </c>
      <c r="AD241">
        <v>91.46</v>
      </c>
      <c r="AE241">
        <v>122</v>
      </c>
      <c r="AF241">
        <v>131</v>
      </c>
      <c r="AG241" s="11">
        <f>Supply_Chain[[#This Row],[Total_Cost]]/Supply_Chain[[#This Row],[Stock_On_Hand]]</f>
        <v>0.28113324624428476</v>
      </c>
    </row>
    <row r="242" spans="1:33" x14ac:dyDescent="0.25">
      <c r="A242" t="s">
        <v>868</v>
      </c>
      <c r="B242" t="s">
        <v>869</v>
      </c>
      <c r="C242" s="1">
        <v>44434</v>
      </c>
      <c r="D242" s="1">
        <v>45492</v>
      </c>
      <c r="E242" t="s">
        <v>55</v>
      </c>
      <c r="F242" t="s">
        <v>31</v>
      </c>
      <c r="G242" t="s">
        <v>247</v>
      </c>
      <c r="H242" t="s">
        <v>57</v>
      </c>
      <c r="I242" s="3" t="s">
        <v>2953</v>
      </c>
      <c r="J242" s="3" t="s">
        <v>3518</v>
      </c>
      <c r="K242" s="3" t="s">
        <v>3522</v>
      </c>
      <c r="L242" s="3" t="s">
        <v>3751</v>
      </c>
      <c r="M242">
        <v>460.62</v>
      </c>
      <c r="N242">
        <v>46</v>
      </c>
      <c r="O242">
        <f>Supply_Chain[[#This Row],[Unit_Price]]*Supply_Chain[[#This Row],[Quantity]]</f>
        <v>21188.52</v>
      </c>
      <c r="P242" t="s">
        <v>870</v>
      </c>
      <c r="Q242" t="s">
        <v>48</v>
      </c>
      <c r="R242" t="s">
        <v>466</v>
      </c>
      <c r="S242" t="s">
        <v>37</v>
      </c>
      <c r="T242" t="s">
        <v>38</v>
      </c>
      <c r="U242" t="s">
        <v>125</v>
      </c>
      <c r="V242">
        <v>3336</v>
      </c>
      <c r="W242">
        <v>83</v>
      </c>
      <c r="X242">
        <v>14</v>
      </c>
      <c r="Y242">
        <v>1144.1300000000001</v>
      </c>
      <c r="Z242">
        <v>365.61</v>
      </c>
      <c r="AA242" s="9">
        <v>1509.74</v>
      </c>
      <c r="AB242" t="s">
        <v>40</v>
      </c>
      <c r="AC242">
        <v>5</v>
      </c>
      <c r="AD242">
        <v>79.510000000000005</v>
      </c>
      <c r="AE242">
        <v>254</v>
      </c>
      <c r="AF242">
        <v>206</v>
      </c>
      <c r="AG242" s="11">
        <f>Supply_Chain[[#This Row],[Total_Cost]]/Supply_Chain[[#This Row],[Stock_On_Hand]]</f>
        <v>0.4525599520383693</v>
      </c>
    </row>
    <row r="243" spans="1:33" x14ac:dyDescent="0.25">
      <c r="A243" t="s">
        <v>871</v>
      </c>
      <c r="B243" t="s">
        <v>872</v>
      </c>
      <c r="C243" s="1">
        <v>45034</v>
      </c>
      <c r="D243" s="1">
        <v>45488</v>
      </c>
      <c r="E243" t="s">
        <v>55</v>
      </c>
      <c r="F243" t="s">
        <v>75</v>
      </c>
      <c r="G243" t="s">
        <v>56</v>
      </c>
      <c r="H243" t="s">
        <v>128</v>
      </c>
      <c r="I243" s="3" t="s">
        <v>2954</v>
      </c>
      <c r="J243" s="3" t="s">
        <v>3518</v>
      </c>
      <c r="K243" s="3" t="s">
        <v>3523</v>
      </c>
      <c r="L243" s="3" t="s">
        <v>3752</v>
      </c>
      <c r="M243">
        <v>200.03</v>
      </c>
      <c r="N243">
        <v>51</v>
      </c>
      <c r="O243">
        <f>Supply_Chain[[#This Row],[Unit_Price]]*Supply_Chain[[#This Row],[Quantity]]</f>
        <v>10201.530000000001</v>
      </c>
      <c r="P243" t="s">
        <v>873</v>
      </c>
      <c r="Q243" t="s">
        <v>110</v>
      </c>
      <c r="R243" t="s">
        <v>94</v>
      </c>
      <c r="S243" t="s">
        <v>37</v>
      </c>
      <c r="T243" t="s">
        <v>60</v>
      </c>
      <c r="U243" t="s">
        <v>155</v>
      </c>
      <c r="V243">
        <v>801</v>
      </c>
      <c r="W243">
        <v>311</v>
      </c>
      <c r="X243">
        <v>19</v>
      </c>
      <c r="Y243">
        <v>376.26</v>
      </c>
      <c r="Z243">
        <v>121.34</v>
      </c>
      <c r="AA243" s="9">
        <v>497.6</v>
      </c>
      <c r="AB243" t="s">
        <v>52</v>
      </c>
      <c r="AC243">
        <v>0</v>
      </c>
      <c r="AD243">
        <v>94.49</v>
      </c>
      <c r="AE243">
        <v>236</v>
      </c>
      <c r="AF243">
        <v>223</v>
      </c>
      <c r="AG243" s="11">
        <f>Supply_Chain[[#This Row],[Total_Cost]]/Supply_Chain[[#This Row],[Stock_On_Hand]]</f>
        <v>0.62122347066167294</v>
      </c>
    </row>
    <row r="244" spans="1:33" x14ac:dyDescent="0.25">
      <c r="A244" t="s">
        <v>874</v>
      </c>
      <c r="B244" t="s">
        <v>875</v>
      </c>
      <c r="C244" s="1">
        <v>44450</v>
      </c>
      <c r="D244" s="1">
        <v>44073</v>
      </c>
      <c r="E244" t="s">
        <v>43</v>
      </c>
      <c r="F244" t="s">
        <v>31</v>
      </c>
      <c r="G244" t="s">
        <v>76</v>
      </c>
      <c r="H244" t="s">
        <v>166</v>
      </c>
      <c r="I244" s="3" t="s">
        <v>2955</v>
      </c>
      <c r="J244" s="3" t="s">
        <v>3518</v>
      </c>
      <c r="K244" s="3" t="s">
        <v>3523</v>
      </c>
      <c r="L244" s="3" t="s">
        <v>3753</v>
      </c>
      <c r="M244">
        <v>297.33999999999997</v>
      </c>
      <c r="N244">
        <v>82</v>
      </c>
      <c r="O244">
        <f>Supply_Chain[[#This Row],[Unit_Price]]*Supply_Chain[[#This Row],[Quantity]]</f>
        <v>24381.879999999997</v>
      </c>
      <c r="P244" t="s">
        <v>864</v>
      </c>
      <c r="Q244" t="s">
        <v>68</v>
      </c>
      <c r="R244" t="s">
        <v>186</v>
      </c>
      <c r="S244" t="s">
        <v>119</v>
      </c>
      <c r="T244" t="s">
        <v>71</v>
      </c>
      <c r="U244" t="s">
        <v>187</v>
      </c>
      <c r="V244">
        <v>4049</v>
      </c>
      <c r="W244">
        <v>416</v>
      </c>
      <c r="X244">
        <v>14</v>
      </c>
      <c r="Y244">
        <v>1341.3</v>
      </c>
      <c r="Z244">
        <v>392.99</v>
      </c>
      <c r="AA244" s="9">
        <v>1734.29</v>
      </c>
      <c r="AB244" t="s">
        <v>52</v>
      </c>
      <c r="AC244">
        <v>0</v>
      </c>
      <c r="AD244">
        <v>98.44</v>
      </c>
      <c r="AE244">
        <v>320</v>
      </c>
      <c r="AF244">
        <v>331</v>
      </c>
      <c r="AG244" s="11">
        <f>Supply_Chain[[#This Row],[Total_Cost]]/Supply_Chain[[#This Row],[Stock_On_Hand]]</f>
        <v>0.42832551247221534</v>
      </c>
    </row>
    <row r="245" spans="1:33" x14ac:dyDescent="0.25">
      <c r="A245" t="s">
        <v>876</v>
      </c>
      <c r="B245" t="s">
        <v>877</v>
      </c>
      <c r="C245" s="1">
        <v>44231</v>
      </c>
      <c r="D245" s="1">
        <v>44930</v>
      </c>
      <c r="E245" t="s">
        <v>55</v>
      </c>
      <c r="F245" t="s">
        <v>31</v>
      </c>
      <c r="G245" t="s">
        <v>247</v>
      </c>
      <c r="H245" t="s">
        <v>33</v>
      </c>
      <c r="I245" s="3" t="s">
        <v>2956</v>
      </c>
      <c r="J245" s="3" t="s">
        <v>3518</v>
      </c>
      <c r="K245" s="3" t="s">
        <v>3521</v>
      </c>
      <c r="L245" s="3" t="s">
        <v>3754</v>
      </c>
      <c r="M245">
        <v>295.55</v>
      </c>
      <c r="N245">
        <v>62</v>
      </c>
      <c r="O245">
        <f>Supply_Chain[[#This Row],[Unit_Price]]*Supply_Chain[[#This Row],[Quantity]]</f>
        <v>18324.100000000002</v>
      </c>
      <c r="P245" t="s">
        <v>878</v>
      </c>
      <c r="Q245" t="s">
        <v>86</v>
      </c>
      <c r="R245" t="s">
        <v>269</v>
      </c>
      <c r="S245" t="s">
        <v>50</v>
      </c>
      <c r="T245" t="s">
        <v>79</v>
      </c>
      <c r="U245" t="s">
        <v>489</v>
      </c>
      <c r="V245">
        <v>2055</v>
      </c>
      <c r="W245">
        <v>295</v>
      </c>
      <c r="X245">
        <v>6</v>
      </c>
      <c r="Y245">
        <v>570.65</v>
      </c>
      <c r="Z245">
        <v>164.25</v>
      </c>
      <c r="AA245" s="9">
        <v>734.9</v>
      </c>
      <c r="AB245" t="s">
        <v>52</v>
      </c>
      <c r="AC245">
        <v>0</v>
      </c>
      <c r="AD245">
        <v>70.98</v>
      </c>
      <c r="AE245">
        <v>319</v>
      </c>
      <c r="AF245">
        <v>337</v>
      </c>
      <c r="AG245" s="11">
        <f>Supply_Chain[[#This Row],[Total_Cost]]/Supply_Chain[[#This Row],[Stock_On_Hand]]</f>
        <v>0.35761557177615572</v>
      </c>
    </row>
    <row r="246" spans="1:33" x14ac:dyDescent="0.25">
      <c r="A246" t="s">
        <v>879</v>
      </c>
      <c r="B246" t="s">
        <v>880</v>
      </c>
      <c r="C246" s="1">
        <v>44489</v>
      </c>
      <c r="D246" s="1">
        <v>45617</v>
      </c>
      <c r="E246" t="s">
        <v>55</v>
      </c>
      <c r="F246" t="s">
        <v>31</v>
      </c>
      <c r="G246" t="s">
        <v>56</v>
      </c>
      <c r="H246" t="s">
        <v>166</v>
      </c>
      <c r="I246" s="3" t="s">
        <v>2957</v>
      </c>
      <c r="J246" s="3" t="s">
        <v>3518</v>
      </c>
      <c r="K246" s="3" t="s">
        <v>3524</v>
      </c>
      <c r="L246" s="3" t="s">
        <v>3755</v>
      </c>
      <c r="M246">
        <v>465.29</v>
      </c>
      <c r="N246">
        <v>50</v>
      </c>
      <c r="O246">
        <f>Supply_Chain[[#This Row],[Unit_Price]]*Supply_Chain[[#This Row],[Quantity]]</f>
        <v>23264.5</v>
      </c>
      <c r="P246" t="s">
        <v>881</v>
      </c>
      <c r="Q246" t="s">
        <v>48</v>
      </c>
      <c r="R246" t="s">
        <v>214</v>
      </c>
      <c r="S246" t="s">
        <v>119</v>
      </c>
      <c r="T246" t="s">
        <v>100</v>
      </c>
      <c r="U246" t="s">
        <v>489</v>
      </c>
      <c r="V246">
        <v>1228</v>
      </c>
      <c r="W246">
        <v>102</v>
      </c>
      <c r="X246">
        <v>8</v>
      </c>
      <c r="Y246">
        <v>1994.59</v>
      </c>
      <c r="Z246">
        <v>396.13</v>
      </c>
      <c r="AA246" s="9">
        <v>2390.7199999999998</v>
      </c>
      <c r="AB246" t="s">
        <v>52</v>
      </c>
      <c r="AC246">
        <v>0</v>
      </c>
      <c r="AD246">
        <v>88.73</v>
      </c>
      <c r="AE246">
        <v>235</v>
      </c>
      <c r="AF246">
        <v>197</v>
      </c>
      <c r="AG246" s="11">
        <f>Supply_Chain[[#This Row],[Total_Cost]]/Supply_Chain[[#This Row],[Stock_On_Hand]]</f>
        <v>1.9468403908794787</v>
      </c>
    </row>
    <row r="247" spans="1:33" x14ac:dyDescent="0.25">
      <c r="A247" t="s">
        <v>882</v>
      </c>
      <c r="B247" t="s">
        <v>883</v>
      </c>
      <c r="C247" s="1">
        <v>44814</v>
      </c>
      <c r="D247" s="1">
        <v>44724</v>
      </c>
      <c r="E247" t="s">
        <v>55</v>
      </c>
      <c r="F247" t="s">
        <v>31</v>
      </c>
      <c r="G247" t="s">
        <v>91</v>
      </c>
      <c r="H247" t="s">
        <v>92</v>
      </c>
      <c r="I247" s="3" t="s">
        <v>2958</v>
      </c>
      <c r="J247" s="3" t="s">
        <v>3519</v>
      </c>
      <c r="K247" s="3" t="s">
        <v>3528</v>
      </c>
      <c r="L247" s="3" t="s">
        <v>3756</v>
      </c>
      <c r="M247">
        <v>104.75</v>
      </c>
      <c r="N247">
        <v>53</v>
      </c>
      <c r="O247">
        <f>Supply_Chain[[#This Row],[Unit_Price]]*Supply_Chain[[#This Row],[Quantity]]</f>
        <v>5551.75</v>
      </c>
      <c r="P247" t="s">
        <v>884</v>
      </c>
      <c r="Q247" t="s">
        <v>110</v>
      </c>
      <c r="R247" t="s">
        <v>388</v>
      </c>
      <c r="S247" t="s">
        <v>119</v>
      </c>
      <c r="T247" t="s">
        <v>79</v>
      </c>
      <c r="U247" t="s">
        <v>51</v>
      </c>
      <c r="V247">
        <v>1960</v>
      </c>
      <c r="W247">
        <v>397</v>
      </c>
      <c r="X247">
        <v>22</v>
      </c>
      <c r="Y247">
        <v>1777.03</v>
      </c>
      <c r="Z247">
        <v>412.45</v>
      </c>
      <c r="AA247" s="9">
        <v>2189.48</v>
      </c>
      <c r="AB247" t="s">
        <v>40</v>
      </c>
      <c r="AC247">
        <v>9</v>
      </c>
      <c r="AD247">
        <v>79.25</v>
      </c>
      <c r="AE247">
        <v>183</v>
      </c>
      <c r="AF247">
        <v>183</v>
      </c>
      <c r="AG247" s="11">
        <f>Supply_Chain[[#This Row],[Total_Cost]]/Supply_Chain[[#This Row],[Stock_On_Hand]]</f>
        <v>1.1170816326530613</v>
      </c>
    </row>
    <row r="248" spans="1:33" x14ac:dyDescent="0.25">
      <c r="A248" t="s">
        <v>885</v>
      </c>
      <c r="B248" t="s">
        <v>886</v>
      </c>
      <c r="C248" s="1">
        <v>44943</v>
      </c>
      <c r="D248" s="1">
        <v>44564</v>
      </c>
      <c r="E248" t="s">
        <v>43</v>
      </c>
      <c r="F248" t="s">
        <v>64</v>
      </c>
      <c r="G248" t="s">
        <v>56</v>
      </c>
      <c r="H248" t="s">
        <v>66</v>
      </c>
      <c r="I248" s="3" t="s">
        <v>2959</v>
      </c>
      <c r="J248" s="3" t="s">
        <v>84</v>
      </c>
      <c r="K248" s="3" t="s">
        <v>3526</v>
      </c>
      <c r="L248" s="3" t="s">
        <v>3757</v>
      </c>
      <c r="M248">
        <v>94.74</v>
      </c>
      <c r="N248">
        <v>46</v>
      </c>
      <c r="O248">
        <f>Supply_Chain[[#This Row],[Unit_Price]]*Supply_Chain[[#This Row],[Quantity]]</f>
        <v>4358.04</v>
      </c>
      <c r="P248" t="s">
        <v>887</v>
      </c>
      <c r="Q248" t="s">
        <v>68</v>
      </c>
      <c r="R248" t="s">
        <v>145</v>
      </c>
      <c r="S248" t="s">
        <v>50</v>
      </c>
      <c r="T248" t="s">
        <v>60</v>
      </c>
      <c r="U248" t="s">
        <v>297</v>
      </c>
      <c r="V248">
        <v>3561</v>
      </c>
      <c r="W248">
        <v>317</v>
      </c>
      <c r="X248">
        <v>1</v>
      </c>
      <c r="Y248">
        <v>1491.03</v>
      </c>
      <c r="Z248">
        <v>31.07</v>
      </c>
      <c r="AA248" s="9">
        <v>1522.1</v>
      </c>
      <c r="AB248" t="s">
        <v>52</v>
      </c>
      <c r="AC248">
        <v>0</v>
      </c>
      <c r="AD248">
        <v>82.36</v>
      </c>
      <c r="AE248">
        <v>425</v>
      </c>
      <c r="AF248">
        <v>449</v>
      </c>
      <c r="AG248" s="11">
        <f>Supply_Chain[[#This Row],[Total_Cost]]/Supply_Chain[[#This Row],[Stock_On_Hand]]</f>
        <v>0.42743611345127769</v>
      </c>
    </row>
    <row r="249" spans="1:33" x14ac:dyDescent="0.25">
      <c r="A249" t="s">
        <v>888</v>
      </c>
      <c r="B249" t="s">
        <v>889</v>
      </c>
      <c r="C249" s="1">
        <v>44651</v>
      </c>
      <c r="D249" s="1">
        <v>45522</v>
      </c>
      <c r="E249" t="s">
        <v>43</v>
      </c>
      <c r="F249" t="s">
        <v>115</v>
      </c>
      <c r="G249" t="s">
        <v>83</v>
      </c>
      <c r="H249" t="s">
        <v>46</v>
      </c>
      <c r="I249" s="3" t="s">
        <v>2743</v>
      </c>
      <c r="J249" s="3" t="s">
        <v>3518</v>
      </c>
      <c r="K249" s="3" t="s">
        <v>3525</v>
      </c>
      <c r="L249" s="3" t="s">
        <v>3543</v>
      </c>
      <c r="M249">
        <v>495.49</v>
      </c>
      <c r="N249">
        <v>23</v>
      </c>
      <c r="O249">
        <f>Supply_Chain[[#This Row],[Unit_Price]]*Supply_Chain[[#This Row],[Quantity]]</f>
        <v>11396.27</v>
      </c>
      <c r="P249" t="s">
        <v>890</v>
      </c>
      <c r="Q249" t="s">
        <v>48</v>
      </c>
      <c r="R249" t="s">
        <v>231</v>
      </c>
      <c r="S249" t="s">
        <v>119</v>
      </c>
      <c r="T249" t="s">
        <v>60</v>
      </c>
      <c r="U249" t="s">
        <v>499</v>
      </c>
      <c r="V249">
        <v>1568</v>
      </c>
      <c r="W249">
        <v>419</v>
      </c>
      <c r="X249">
        <v>14</v>
      </c>
      <c r="Y249">
        <v>921.91</v>
      </c>
      <c r="Z249">
        <v>411.8</v>
      </c>
      <c r="AA249" s="9">
        <v>1333.71</v>
      </c>
      <c r="AB249" t="s">
        <v>52</v>
      </c>
      <c r="AC249">
        <v>0</v>
      </c>
      <c r="AD249">
        <v>88.24</v>
      </c>
      <c r="AE249">
        <v>51</v>
      </c>
      <c r="AF249">
        <v>51</v>
      </c>
      <c r="AG249" s="11">
        <f>Supply_Chain[[#This Row],[Total_Cost]]/Supply_Chain[[#This Row],[Stock_On_Hand]]</f>
        <v>0.85058035714285718</v>
      </c>
    </row>
    <row r="250" spans="1:33" x14ac:dyDescent="0.25">
      <c r="A250" t="s">
        <v>891</v>
      </c>
      <c r="B250" t="s">
        <v>892</v>
      </c>
      <c r="C250" s="1">
        <v>44384</v>
      </c>
      <c r="D250" s="1">
        <v>44955</v>
      </c>
      <c r="E250" t="s">
        <v>55</v>
      </c>
      <c r="F250" t="s">
        <v>75</v>
      </c>
      <c r="G250" t="s">
        <v>91</v>
      </c>
      <c r="H250" t="s">
        <v>46</v>
      </c>
      <c r="I250" s="3" t="s">
        <v>2960</v>
      </c>
      <c r="J250" s="3" t="s">
        <v>3518</v>
      </c>
      <c r="K250" s="3" t="s">
        <v>3522</v>
      </c>
      <c r="L250" s="3" t="s">
        <v>3758</v>
      </c>
      <c r="M250">
        <v>268.99</v>
      </c>
      <c r="N250">
        <v>44</v>
      </c>
      <c r="O250">
        <f>Supply_Chain[[#This Row],[Unit_Price]]*Supply_Chain[[#This Row],[Quantity]]</f>
        <v>11835.560000000001</v>
      </c>
      <c r="P250" t="s">
        <v>893</v>
      </c>
      <c r="Q250" t="s">
        <v>48</v>
      </c>
      <c r="R250" t="s">
        <v>87</v>
      </c>
      <c r="S250" t="s">
        <v>37</v>
      </c>
      <c r="T250" t="s">
        <v>38</v>
      </c>
      <c r="U250" t="s">
        <v>249</v>
      </c>
      <c r="V250">
        <v>3336</v>
      </c>
      <c r="W250">
        <v>417</v>
      </c>
      <c r="X250">
        <v>8</v>
      </c>
      <c r="Y250">
        <v>1059.83</v>
      </c>
      <c r="Z250">
        <v>152.71</v>
      </c>
      <c r="AA250" s="9">
        <v>1212.54</v>
      </c>
      <c r="AB250" t="s">
        <v>52</v>
      </c>
      <c r="AC250">
        <v>0</v>
      </c>
      <c r="AD250">
        <v>70.12</v>
      </c>
      <c r="AE250">
        <v>298</v>
      </c>
      <c r="AF250">
        <v>252</v>
      </c>
      <c r="AG250" s="11">
        <f>Supply_Chain[[#This Row],[Total_Cost]]/Supply_Chain[[#This Row],[Stock_On_Hand]]</f>
        <v>0.36347122302158275</v>
      </c>
    </row>
    <row r="251" spans="1:33" x14ac:dyDescent="0.25">
      <c r="A251" t="s">
        <v>894</v>
      </c>
      <c r="B251" t="s">
        <v>895</v>
      </c>
      <c r="C251" s="1">
        <v>45552</v>
      </c>
      <c r="D251" s="1">
        <v>43835</v>
      </c>
      <c r="E251" t="s">
        <v>55</v>
      </c>
      <c r="F251" t="s">
        <v>44</v>
      </c>
      <c r="G251" t="s">
        <v>45</v>
      </c>
      <c r="H251" t="s">
        <v>46</v>
      </c>
      <c r="I251" s="3" t="s">
        <v>2961</v>
      </c>
      <c r="J251" s="3" t="s">
        <v>3518</v>
      </c>
      <c r="K251" s="3" t="s">
        <v>3522</v>
      </c>
      <c r="L251" s="3" t="s">
        <v>3759</v>
      </c>
      <c r="M251">
        <v>407.75</v>
      </c>
      <c r="N251">
        <v>73</v>
      </c>
      <c r="O251">
        <f>Supply_Chain[[#This Row],[Unit_Price]]*Supply_Chain[[#This Row],[Quantity]]</f>
        <v>29765.75</v>
      </c>
      <c r="P251" t="s">
        <v>896</v>
      </c>
      <c r="Q251" t="s">
        <v>68</v>
      </c>
      <c r="R251" t="s">
        <v>162</v>
      </c>
      <c r="S251" t="s">
        <v>37</v>
      </c>
      <c r="T251" t="s">
        <v>71</v>
      </c>
      <c r="U251" t="s">
        <v>257</v>
      </c>
      <c r="V251">
        <v>1101</v>
      </c>
      <c r="W251">
        <v>92</v>
      </c>
      <c r="X251">
        <v>16</v>
      </c>
      <c r="Y251">
        <v>1771.67</v>
      </c>
      <c r="Z251">
        <v>192.02</v>
      </c>
      <c r="AA251" s="9">
        <v>1963.69</v>
      </c>
      <c r="AB251" t="s">
        <v>52</v>
      </c>
      <c r="AC251">
        <v>0</v>
      </c>
      <c r="AD251">
        <v>75.27</v>
      </c>
      <c r="AE251">
        <v>111</v>
      </c>
      <c r="AF251">
        <v>96</v>
      </c>
      <c r="AG251" s="11">
        <f>Supply_Chain[[#This Row],[Total_Cost]]/Supply_Chain[[#This Row],[Stock_On_Hand]]</f>
        <v>1.7835513169845596</v>
      </c>
    </row>
    <row r="252" spans="1:33" x14ac:dyDescent="0.25">
      <c r="A252" t="s">
        <v>897</v>
      </c>
      <c r="B252" t="s">
        <v>898</v>
      </c>
      <c r="C252" s="1">
        <v>45292</v>
      </c>
      <c r="D252" s="1">
        <v>44210</v>
      </c>
      <c r="E252" t="s">
        <v>55</v>
      </c>
      <c r="F252" t="s">
        <v>115</v>
      </c>
      <c r="G252" t="s">
        <v>76</v>
      </c>
      <c r="H252" t="s">
        <v>116</v>
      </c>
      <c r="I252" s="3" t="s">
        <v>2962</v>
      </c>
      <c r="J252" s="3" t="s">
        <v>3518</v>
      </c>
      <c r="K252" s="3" t="s">
        <v>3521</v>
      </c>
      <c r="L252" s="3" t="s">
        <v>3760</v>
      </c>
      <c r="M252">
        <v>430.88</v>
      </c>
      <c r="N252">
        <v>28</v>
      </c>
      <c r="O252">
        <f>Supply_Chain[[#This Row],[Unit_Price]]*Supply_Chain[[#This Row],[Quantity]]</f>
        <v>12064.64</v>
      </c>
      <c r="P252" t="s">
        <v>422</v>
      </c>
      <c r="Q252" t="s">
        <v>68</v>
      </c>
      <c r="R252" t="s">
        <v>94</v>
      </c>
      <c r="S252" t="s">
        <v>70</v>
      </c>
      <c r="T252" t="s">
        <v>60</v>
      </c>
      <c r="U252" t="s">
        <v>168</v>
      </c>
      <c r="V252">
        <v>3697</v>
      </c>
      <c r="W252">
        <v>340</v>
      </c>
      <c r="X252">
        <v>13</v>
      </c>
      <c r="Y252">
        <v>162.07</v>
      </c>
      <c r="Z252">
        <v>160.97</v>
      </c>
      <c r="AA252" s="9">
        <v>323.04000000000002</v>
      </c>
      <c r="AB252" t="s">
        <v>52</v>
      </c>
      <c r="AC252">
        <v>0</v>
      </c>
      <c r="AD252">
        <v>91.06</v>
      </c>
      <c r="AE252">
        <v>75</v>
      </c>
      <c r="AF252">
        <v>62</v>
      </c>
      <c r="AG252" s="11">
        <f>Supply_Chain[[#This Row],[Total_Cost]]/Supply_Chain[[#This Row],[Stock_On_Hand]]</f>
        <v>8.7378955910197467E-2</v>
      </c>
    </row>
    <row r="253" spans="1:33" x14ac:dyDescent="0.25">
      <c r="A253" t="s">
        <v>899</v>
      </c>
      <c r="B253" t="s">
        <v>900</v>
      </c>
      <c r="C253" s="1">
        <v>45160</v>
      </c>
      <c r="D253" s="1">
        <v>44109</v>
      </c>
      <c r="E253" t="s">
        <v>55</v>
      </c>
      <c r="F253" t="s">
        <v>75</v>
      </c>
      <c r="G253" t="s">
        <v>56</v>
      </c>
      <c r="H253" t="s">
        <v>116</v>
      </c>
      <c r="I253" s="3" t="s">
        <v>2963</v>
      </c>
      <c r="J253" s="3" t="s">
        <v>3518</v>
      </c>
      <c r="K253" s="3" t="s">
        <v>3523</v>
      </c>
      <c r="L253" s="3" t="s">
        <v>3761</v>
      </c>
      <c r="M253">
        <v>455.03</v>
      </c>
      <c r="N253">
        <v>69</v>
      </c>
      <c r="O253">
        <f>Supply_Chain[[#This Row],[Unit_Price]]*Supply_Chain[[#This Row],[Quantity]]</f>
        <v>31397.07</v>
      </c>
      <c r="P253" t="s">
        <v>901</v>
      </c>
      <c r="Q253" t="s">
        <v>110</v>
      </c>
      <c r="R253" t="s">
        <v>290</v>
      </c>
      <c r="S253" t="s">
        <v>119</v>
      </c>
      <c r="T253" t="s">
        <v>79</v>
      </c>
      <c r="U253" t="s">
        <v>120</v>
      </c>
      <c r="V253">
        <v>4746</v>
      </c>
      <c r="W253">
        <v>235</v>
      </c>
      <c r="X253">
        <v>22</v>
      </c>
      <c r="Y253">
        <v>1187.27</v>
      </c>
      <c r="Z253">
        <v>480.04</v>
      </c>
      <c r="AA253" s="9">
        <v>1667.31</v>
      </c>
      <c r="AB253" t="s">
        <v>52</v>
      </c>
      <c r="AC253">
        <v>0</v>
      </c>
      <c r="AD253">
        <v>91.48</v>
      </c>
      <c r="AE253">
        <v>268</v>
      </c>
      <c r="AF253">
        <v>309</v>
      </c>
      <c r="AG253" s="11">
        <f>Supply_Chain[[#This Row],[Total_Cost]]/Supply_Chain[[#This Row],[Stock_On_Hand]]</f>
        <v>0.35130847029077117</v>
      </c>
    </row>
    <row r="254" spans="1:33" x14ac:dyDescent="0.25">
      <c r="A254" t="s">
        <v>902</v>
      </c>
      <c r="B254" t="s">
        <v>903</v>
      </c>
      <c r="C254" s="1">
        <v>44480</v>
      </c>
      <c r="D254" s="1">
        <v>45362</v>
      </c>
      <c r="E254" t="s">
        <v>43</v>
      </c>
      <c r="F254" t="s">
        <v>64</v>
      </c>
      <c r="G254" t="s">
        <v>45</v>
      </c>
      <c r="H254" t="s">
        <v>66</v>
      </c>
      <c r="I254" s="3" t="s">
        <v>2964</v>
      </c>
      <c r="J254" s="3" t="s">
        <v>3518</v>
      </c>
      <c r="K254" s="3" t="s">
        <v>3524</v>
      </c>
      <c r="L254" s="3" t="s">
        <v>3762</v>
      </c>
      <c r="M254">
        <v>48.27</v>
      </c>
      <c r="N254">
        <v>39</v>
      </c>
      <c r="O254">
        <f>Supply_Chain[[#This Row],[Unit_Price]]*Supply_Chain[[#This Row],[Quantity]]</f>
        <v>1882.5300000000002</v>
      </c>
      <c r="P254" t="s">
        <v>904</v>
      </c>
      <c r="Q254" t="s">
        <v>86</v>
      </c>
      <c r="R254" t="s">
        <v>135</v>
      </c>
      <c r="S254" t="s">
        <v>119</v>
      </c>
      <c r="T254" t="s">
        <v>60</v>
      </c>
      <c r="U254" t="s">
        <v>459</v>
      </c>
      <c r="V254">
        <v>1038</v>
      </c>
      <c r="W254">
        <v>315</v>
      </c>
      <c r="X254">
        <v>5</v>
      </c>
      <c r="Y254">
        <v>218.62</v>
      </c>
      <c r="Z254">
        <v>153.69999999999999</v>
      </c>
      <c r="AA254" s="9">
        <v>372.32</v>
      </c>
      <c r="AB254" t="s">
        <v>52</v>
      </c>
      <c r="AC254">
        <v>0</v>
      </c>
      <c r="AD254">
        <v>91.69</v>
      </c>
      <c r="AE254">
        <v>125</v>
      </c>
      <c r="AF254">
        <v>134</v>
      </c>
      <c r="AG254" s="11">
        <f>Supply_Chain[[#This Row],[Total_Cost]]/Supply_Chain[[#This Row],[Stock_On_Hand]]</f>
        <v>0.35868978805394991</v>
      </c>
    </row>
    <row r="255" spans="1:33" x14ac:dyDescent="0.25">
      <c r="A255" t="s">
        <v>905</v>
      </c>
      <c r="B255" t="s">
        <v>906</v>
      </c>
      <c r="C255" s="1">
        <v>44205</v>
      </c>
      <c r="D255" s="1">
        <v>44229</v>
      </c>
      <c r="E255" t="s">
        <v>55</v>
      </c>
      <c r="F255" t="s">
        <v>44</v>
      </c>
      <c r="G255" t="s">
        <v>65</v>
      </c>
      <c r="H255" t="s">
        <v>166</v>
      </c>
      <c r="I255" s="3" t="s">
        <v>2965</v>
      </c>
      <c r="J255" s="3" t="s">
        <v>3519</v>
      </c>
      <c r="K255" s="3" t="s">
        <v>3528</v>
      </c>
      <c r="L255" s="3" t="s">
        <v>3763</v>
      </c>
      <c r="M255">
        <v>202.73</v>
      </c>
      <c r="N255">
        <v>6</v>
      </c>
      <c r="O255">
        <f>Supply_Chain[[#This Row],[Unit_Price]]*Supply_Chain[[#This Row],[Quantity]]</f>
        <v>1216.3799999999999</v>
      </c>
      <c r="P255" t="s">
        <v>907</v>
      </c>
      <c r="Q255" t="s">
        <v>68</v>
      </c>
      <c r="R255" t="s">
        <v>290</v>
      </c>
      <c r="S255" t="s">
        <v>50</v>
      </c>
      <c r="T255" t="s">
        <v>100</v>
      </c>
      <c r="U255" t="s">
        <v>270</v>
      </c>
      <c r="V255">
        <v>3019</v>
      </c>
      <c r="W255">
        <v>281</v>
      </c>
      <c r="X255">
        <v>2</v>
      </c>
      <c r="Y255">
        <v>637.6</v>
      </c>
      <c r="Z255">
        <v>265.18</v>
      </c>
      <c r="AA255" s="9">
        <v>902.78</v>
      </c>
      <c r="AB255" t="s">
        <v>52</v>
      </c>
      <c r="AC255">
        <v>0</v>
      </c>
      <c r="AD255">
        <v>83.54</v>
      </c>
      <c r="AE255">
        <v>380</v>
      </c>
      <c r="AF255">
        <v>367</v>
      </c>
      <c r="AG255" s="11">
        <f>Supply_Chain[[#This Row],[Total_Cost]]/Supply_Chain[[#This Row],[Stock_On_Hand]]</f>
        <v>0.29903279231533619</v>
      </c>
    </row>
    <row r="256" spans="1:33" x14ac:dyDescent="0.25">
      <c r="A256" t="s">
        <v>908</v>
      </c>
      <c r="B256" t="s">
        <v>909</v>
      </c>
      <c r="C256" s="1">
        <v>44107</v>
      </c>
      <c r="D256" s="1">
        <v>44755</v>
      </c>
      <c r="E256" t="s">
        <v>55</v>
      </c>
      <c r="F256" t="s">
        <v>115</v>
      </c>
      <c r="G256" t="s">
        <v>76</v>
      </c>
      <c r="H256" t="s">
        <v>116</v>
      </c>
      <c r="I256" s="3" t="s">
        <v>2966</v>
      </c>
      <c r="J256" s="3" t="s">
        <v>84</v>
      </c>
      <c r="K256" s="3" t="s">
        <v>3529</v>
      </c>
      <c r="L256" s="3" t="s">
        <v>3764</v>
      </c>
      <c r="M256">
        <v>23.69</v>
      </c>
      <c r="N256">
        <v>60</v>
      </c>
      <c r="O256">
        <f>Supply_Chain[[#This Row],[Unit_Price]]*Supply_Chain[[#This Row],[Quantity]]</f>
        <v>1421.4</v>
      </c>
      <c r="P256" t="s">
        <v>910</v>
      </c>
      <c r="Q256" t="s">
        <v>110</v>
      </c>
      <c r="R256" t="s">
        <v>87</v>
      </c>
      <c r="S256" t="s">
        <v>37</v>
      </c>
      <c r="T256" t="s">
        <v>38</v>
      </c>
      <c r="U256" t="s">
        <v>136</v>
      </c>
      <c r="V256">
        <v>1448</v>
      </c>
      <c r="W256">
        <v>258</v>
      </c>
      <c r="X256">
        <v>1</v>
      </c>
      <c r="Y256">
        <v>297.19</v>
      </c>
      <c r="Z256">
        <v>125.95</v>
      </c>
      <c r="AA256" s="9">
        <v>423.14</v>
      </c>
      <c r="AB256" t="s">
        <v>52</v>
      </c>
      <c r="AC256">
        <v>0</v>
      </c>
      <c r="AD256">
        <v>84.78</v>
      </c>
      <c r="AE256">
        <v>304</v>
      </c>
      <c r="AF256">
        <v>327</v>
      </c>
      <c r="AG256" s="11">
        <f>Supply_Chain[[#This Row],[Total_Cost]]/Supply_Chain[[#This Row],[Stock_On_Hand]]</f>
        <v>0.29222375690607733</v>
      </c>
    </row>
    <row r="257" spans="1:33" x14ac:dyDescent="0.25">
      <c r="A257" t="s">
        <v>911</v>
      </c>
      <c r="B257" t="s">
        <v>912</v>
      </c>
      <c r="C257" s="1">
        <v>44204</v>
      </c>
      <c r="D257" s="1">
        <v>44490</v>
      </c>
      <c r="E257" t="s">
        <v>43</v>
      </c>
      <c r="F257" t="s">
        <v>115</v>
      </c>
      <c r="G257" t="s">
        <v>83</v>
      </c>
      <c r="H257" t="s">
        <v>66</v>
      </c>
      <c r="I257" s="3" t="s">
        <v>2967</v>
      </c>
      <c r="J257" s="3" t="s">
        <v>3518</v>
      </c>
      <c r="K257" s="3" t="s">
        <v>3521</v>
      </c>
      <c r="L257" s="3" t="s">
        <v>3765</v>
      </c>
      <c r="M257">
        <v>259.73</v>
      </c>
      <c r="N257">
        <v>40</v>
      </c>
      <c r="O257">
        <f>Supply_Chain[[#This Row],[Unit_Price]]*Supply_Chain[[#This Row],[Quantity]]</f>
        <v>10389.200000000001</v>
      </c>
      <c r="P257" t="s">
        <v>815</v>
      </c>
      <c r="Q257" t="s">
        <v>35</v>
      </c>
      <c r="R257" t="s">
        <v>87</v>
      </c>
      <c r="S257" t="s">
        <v>37</v>
      </c>
      <c r="T257" t="s">
        <v>79</v>
      </c>
      <c r="U257" t="s">
        <v>120</v>
      </c>
      <c r="V257">
        <v>1049</v>
      </c>
      <c r="W257">
        <v>286</v>
      </c>
      <c r="X257">
        <v>20</v>
      </c>
      <c r="Y257">
        <v>982.09</v>
      </c>
      <c r="Z257">
        <v>66.64</v>
      </c>
      <c r="AA257" s="9">
        <v>1048.73</v>
      </c>
      <c r="AB257" t="s">
        <v>52</v>
      </c>
      <c r="AC257">
        <v>0</v>
      </c>
      <c r="AD257">
        <v>97.81</v>
      </c>
      <c r="AE257">
        <v>144</v>
      </c>
      <c r="AF257">
        <v>108</v>
      </c>
      <c r="AG257" s="11">
        <f>Supply_Chain[[#This Row],[Total_Cost]]/Supply_Chain[[#This Row],[Stock_On_Hand]]</f>
        <v>0.99974261201143944</v>
      </c>
    </row>
    <row r="258" spans="1:33" x14ac:dyDescent="0.25">
      <c r="A258" t="s">
        <v>913</v>
      </c>
      <c r="B258" t="s">
        <v>914</v>
      </c>
      <c r="C258" s="1">
        <v>44780</v>
      </c>
      <c r="D258" s="1">
        <v>44132</v>
      </c>
      <c r="E258" t="s">
        <v>55</v>
      </c>
      <c r="F258" t="s">
        <v>115</v>
      </c>
      <c r="G258" t="s">
        <v>247</v>
      </c>
      <c r="H258" t="s">
        <v>66</v>
      </c>
      <c r="I258" s="3" t="s">
        <v>2968</v>
      </c>
      <c r="J258" s="3" t="s">
        <v>84</v>
      </c>
      <c r="K258" s="3" t="s">
        <v>3526</v>
      </c>
      <c r="L258" s="3" t="s">
        <v>3766</v>
      </c>
      <c r="M258">
        <v>337.65</v>
      </c>
      <c r="N258">
        <v>64</v>
      </c>
      <c r="O258">
        <f>Supply_Chain[[#This Row],[Unit_Price]]*Supply_Chain[[#This Row],[Quantity]]</f>
        <v>21609.599999999999</v>
      </c>
      <c r="P258" t="s">
        <v>915</v>
      </c>
      <c r="Q258" t="s">
        <v>68</v>
      </c>
      <c r="R258" t="s">
        <v>162</v>
      </c>
      <c r="S258" t="s">
        <v>70</v>
      </c>
      <c r="T258" t="s">
        <v>71</v>
      </c>
      <c r="U258" t="s">
        <v>136</v>
      </c>
      <c r="V258">
        <v>841</v>
      </c>
      <c r="W258">
        <v>220</v>
      </c>
      <c r="X258">
        <v>28</v>
      </c>
      <c r="Y258">
        <v>65.760000000000005</v>
      </c>
      <c r="Z258">
        <v>480.13</v>
      </c>
      <c r="AA258" s="9">
        <v>545.89</v>
      </c>
      <c r="AB258" t="s">
        <v>52</v>
      </c>
      <c r="AC258">
        <v>0</v>
      </c>
      <c r="AD258">
        <v>80.45</v>
      </c>
      <c r="AE258">
        <v>329</v>
      </c>
      <c r="AF258">
        <v>296</v>
      </c>
      <c r="AG258" s="11">
        <f>Supply_Chain[[#This Row],[Total_Cost]]/Supply_Chain[[#This Row],[Stock_On_Hand]]</f>
        <v>0.6490963139120095</v>
      </c>
    </row>
    <row r="259" spans="1:33" x14ac:dyDescent="0.25">
      <c r="A259" t="s">
        <v>916</v>
      </c>
      <c r="B259" t="s">
        <v>917</v>
      </c>
      <c r="C259" s="1">
        <v>45524</v>
      </c>
      <c r="D259" s="1">
        <v>44123</v>
      </c>
      <c r="E259" t="s">
        <v>43</v>
      </c>
      <c r="F259" t="s">
        <v>31</v>
      </c>
      <c r="G259" t="s">
        <v>65</v>
      </c>
      <c r="H259" t="s">
        <v>128</v>
      </c>
      <c r="I259" s="3" t="s">
        <v>2969</v>
      </c>
      <c r="J259" s="3" t="s">
        <v>3518</v>
      </c>
      <c r="K259" s="3" t="s">
        <v>3525</v>
      </c>
      <c r="L259" s="3" t="s">
        <v>3767</v>
      </c>
      <c r="M259">
        <v>264.26</v>
      </c>
      <c r="N259">
        <v>88</v>
      </c>
      <c r="O259">
        <f>Supply_Chain[[#This Row],[Unit_Price]]*Supply_Chain[[#This Row],[Quantity]]</f>
        <v>23254.879999999997</v>
      </c>
      <c r="P259" t="s">
        <v>918</v>
      </c>
      <c r="Q259" t="s">
        <v>48</v>
      </c>
      <c r="R259" t="s">
        <v>236</v>
      </c>
      <c r="S259" t="s">
        <v>119</v>
      </c>
      <c r="T259" t="s">
        <v>79</v>
      </c>
      <c r="U259" t="s">
        <v>125</v>
      </c>
      <c r="V259">
        <v>2160</v>
      </c>
      <c r="W259">
        <v>103</v>
      </c>
      <c r="X259">
        <v>24</v>
      </c>
      <c r="Y259">
        <v>1149.8499999999999</v>
      </c>
      <c r="Z259">
        <v>275.27</v>
      </c>
      <c r="AA259" s="9">
        <v>1425.12</v>
      </c>
      <c r="AB259" t="s">
        <v>52</v>
      </c>
      <c r="AC259">
        <v>0</v>
      </c>
      <c r="AD259">
        <v>78.09</v>
      </c>
      <c r="AE259">
        <v>62</v>
      </c>
      <c r="AF259">
        <v>58</v>
      </c>
      <c r="AG259" s="11">
        <f>Supply_Chain[[#This Row],[Total_Cost]]/Supply_Chain[[#This Row],[Stock_On_Hand]]</f>
        <v>0.65977777777777769</v>
      </c>
    </row>
    <row r="260" spans="1:33" x14ac:dyDescent="0.25">
      <c r="A260" t="s">
        <v>919</v>
      </c>
      <c r="B260" t="s">
        <v>920</v>
      </c>
      <c r="C260" s="1">
        <v>44350</v>
      </c>
      <c r="D260" s="1">
        <v>45062</v>
      </c>
      <c r="E260" t="s">
        <v>43</v>
      </c>
      <c r="F260" t="s">
        <v>115</v>
      </c>
      <c r="G260" t="s">
        <v>56</v>
      </c>
      <c r="H260" t="s">
        <v>166</v>
      </c>
      <c r="I260" s="3" t="s">
        <v>2970</v>
      </c>
      <c r="J260" s="3" t="s">
        <v>3518</v>
      </c>
      <c r="K260" s="3" t="s">
        <v>3525</v>
      </c>
      <c r="L260" s="3" t="s">
        <v>3768</v>
      </c>
      <c r="M260">
        <v>361.53</v>
      </c>
      <c r="N260">
        <v>82</v>
      </c>
      <c r="O260">
        <f>Supply_Chain[[#This Row],[Unit_Price]]*Supply_Chain[[#This Row],[Quantity]]</f>
        <v>29645.46</v>
      </c>
      <c r="P260" t="s">
        <v>921</v>
      </c>
      <c r="Q260" t="s">
        <v>110</v>
      </c>
      <c r="R260" t="s">
        <v>240</v>
      </c>
      <c r="S260" t="s">
        <v>37</v>
      </c>
      <c r="T260" t="s">
        <v>60</v>
      </c>
      <c r="U260" t="s">
        <v>331</v>
      </c>
      <c r="V260">
        <v>2596</v>
      </c>
      <c r="W260">
        <v>88</v>
      </c>
      <c r="X260">
        <v>25</v>
      </c>
      <c r="Y260">
        <v>548.91999999999996</v>
      </c>
      <c r="Z260">
        <v>402.65</v>
      </c>
      <c r="AA260" s="9">
        <v>951.56999999999994</v>
      </c>
      <c r="AB260" t="s">
        <v>52</v>
      </c>
      <c r="AC260">
        <v>0</v>
      </c>
      <c r="AD260">
        <v>86.47</v>
      </c>
      <c r="AE260">
        <v>499</v>
      </c>
      <c r="AF260">
        <v>494</v>
      </c>
      <c r="AG260" s="11">
        <f>Supply_Chain[[#This Row],[Total_Cost]]/Supply_Chain[[#This Row],[Stock_On_Hand]]</f>
        <v>0.3665523882896764</v>
      </c>
    </row>
    <row r="261" spans="1:33" x14ac:dyDescent="0.25">
      <c r="A261" t="s">
        <v>922</v>
      </c>
      <c r="B261" t="s">
        <v>923</v>
      </c>
      <c r="C261" s="1">
        <v>44118</v>
      </c>
      <c r="D261" s="1">
        <v>44108</v>
      </c>
      <c r="E261" t="s">
        <v>43</v>
      </c>
      <c r="F261" t="s">
        <v>31</v>
      </c>
      <c r="G261" t="s">
        <v>91</v>
      </c>
      <c r="H261" t="s">
        <v>46</v>
      </c>
      <c r="I261" s="3" t="s">
        <v>2926</v>
      </c>
      <c r="J261" s="3" t="s">
        <v>3518</v>
      </c>
      <c r="K261" s="3" t="s">
        <v>3525</v>
      </c>
      <c r="L261" s="3" t="s">
        <v>3725</v>
      </c>
      <c r="M261">
        <v>267.22000000000003</v>
      </c>
      <c r="N261">
        <v>63</v>
      </c>
      <c r="O261">
        <f>Supply_Chain[[#This Row],[Unit_Price]]*Supply_Chain[[#This Row],[Quantity]]</f>
        <v>16834.86</v>
      </c>
      <c r="P261" t="s">
        <v>924</v>
      </c>
      <c r="Q261" t="s">
        <v>35</v>
      </c>
      <c r="R261" t="s">
        <v>323</v>
      </c>
      <c r="S261" t="s">
        <v>50</v>
      </c>
      <c r="T261" t="s">
        <v>71</v>
      </c>
      <c r="U261" t="s">
        <v>770</v>
      </c>
      <c r="V261">
        <v>4474</v>
      </c>
      <c r="W261">
        <v>475</v>
      </c>
      <c r="X261">
        <v>16</v>
      </c>
      <c r="Y261">
        <v>578.17999999999995</v>
      </c>
      <c r="Z261">
        <v>60.19</v>
      </c>
      <c r="AA261" s="9">
        <v>638.36999999999989</v>
      </c>
      <c r="AB261" t="s">
        <v>52</v>
      </c>
      <c r="AC261">
        <v>0</v>
      </c>
      <c r="AD261">
        <v>71.73</v>
      </c>
      <c r="AE261">
        <v>52</v>
      </c>
      <c r="AF261">
        <v>29</v>
      </c>
      <c r="AG261" s="11">
        <f>Supply_Chain[[#This Row],[Total_Cost]]/Supply_Chain[[#This Row],[Stock_On_Hand]]</f>
        <v>0.14268439874832362</v>
      </c>
    </row>
    <row r="262" spans="1:33" x14ac:dyDescent="0.25">
      <c r="A262" t="s">
        <v>925</v>
      </c>
      <c r="B262" t="s">
        <v>926</v>
      </c>
      <c r="C262" s="1">
        <v>44697</v>
      </c>
      <c r="D262" s="1">
        <v>44688</v>
      </c>
      <c r="E262" t="s">
        <v>43</v>
      </c>
      <c r="F262" t="s">
        <v>115</v>
      </c>
      <c r="G262" t="s">
        <v>32</v>
      </c>
      <c r="H262" t="s">
        <v>57</v>
      </c>
      <c r="I262" s="3" t="s">
        <v>2971</v>
      </c>
      <c r="J262" s="3" t="s">
        <v>3519</v>
      </c>
      <c r="K262" s="3" t="s">
        <v>3530</v>
      </c>
      <c r="L262" s="3" t="s">
        <v>3769</v>
      </c>
      <c r="M262">
        <v>303.39</v>
      </c>
      <c r="N262">
        <v>12</v>
      </c>
      <c r="O262">
        <f>Supply_Chain[[#This Row],[Unit_Price]]*Supply_Chain[[#This Row],[Quantity]]</f>
        <v>3640.68</v>
      </c>
      <c r="P262" t="s">
        <v>927</v>
      </c>
      <c r="Q262" t="s">
        <v>48</v>
      </c>
      <c r="R262" t="s">
        <v>240</v>
      </c>
      <c r="S262" t="s">
        <v>70</v>
      </c>
      <c r="T262" t="s">
        <v>79</v>
      </c>
      <c r="U262" t="s">
        <v>499</v>
      </c>
      <c r="V262">
        <v>3876</v>
      </c>
      <c r="W262">
        <v>231</v>
      </c>
      <c r="X262">
        <v>21</v>
      </c>
      <c r="Y262">
        <v>1484.93</v>
      </c>
      <c r="Z262">
        <v>492.6</v>
      </c>
      <c r="AA262" s="9">
        <v>1977.53</v>
      </c>
      <c r="AB262" t="s">
        <v>52</v>
      </c>
      <c r="AC262">
        <v>0</v>
      </c>
      <c r="AD262">
        <v>80.650000000000006</v>
      </c>
      <c r="AE262">
        <v>265</v>
      </c>
      <c r="AF262">
        <v>298</v>
      </c>
      <c r="AG262" s="11">
        <f>Supply_Chain[[#This Row],[Total_Cost]]/Supply_Chain[[#This Row],[Stock_On_Hand]]</f>
        <v>0.51019865841073275</v>
      </c>
    </row>
    <row r="263" spans="1:33" x14ac:dyDescent="0.25">
      <c r="A263" t="s">
        <v>928</v>
      </c>
      <c r="B263" t="s">
        <v>929</v>
      </c>
      <c r="C263" s="1">
        <v>45045</v>
      </c>
      <c r="D263" s="1">
        <v>44799</v>
      </c>
      <c r="E263" t="s">
        <v>55</v>
      </c>
      <c r="F263" t="s">
        <v>64</v>
      </c>
      <c r="G263" t="s">
        <v>76</v>
      </c>
      <c r="H263" t="s">
        <v>166</v>
      </c>
      <c r="I263" s="3" t="s">
        <v>2972</v>
      </c>
      <c r="J263" s="3" t="s">
        <v>3518</v>
      </c>
      <c r="K263" s="3" t="s">
        <v>3525</v>
      </c>
      <c r="L263" s="3" t="s">
        <v>3770</v>
      </c>
      <c r="M263">
        <v>469.48</v>
      </c>
      <c r="N263">
        <v>9</v>
      </c>
      <c r="O263">
        <f>Supply_Chain[[#This Row],[Unit_Price]]*Supply_Chain[[#This Row],[Quantity]]</f>
        <v>4225.32</v>
      </c>
      <c r="P263" t="s">
        <v>930</v>
      </c>
      <c r="Q263" t="s">
        <v>110</v>
      </c>
      <c r="R263" t="s">
        <v>360</v>
      </c>
      <c r="S263" t="s">
        <v>37</v>
      </c>
      <c r="T263" t="s">
        <v>71</v>
      </c>
      <c r="U263" t="s">
        <v>297</v>
      </c>
      <c r="V263">
        <v>2965</v>
      </c>
      <c r="W263">
        <v>96</v>
      </c>
      <c r="X263">
        <v>29</v>
      </c>
      <c r="Y263">
        <v>622.08000000000004</v>
      </c>
      <c r="Z263">
        <v>402.57</v>
      </c>
      <c r="AA263" s="9">
        <v>1024.6500000000001</v>
      </c>
      <c r="AB263" t="s">
        <v>52</v>
      </c>
      <c r="AC263">
        <v>0</v>
      </c>
      <c r="AD263">
        <v>85.37</v>
      </c>
      <c r="AE263">
        <v>64</v>
      </c>
      <c r="AF263">
        <v>105</v>
      </c>
      <c r="AG263" s="11">
        <f>Supply_Chain[[#This Row],[Total_Cost]]/Supply_Chain[[#This Row],[Stock_On_Hand]]</f>
        <v>0.34558178752107926</v>
      </c>
    </row>
    <row r="264" spans="1:33" x14ac:dyDescent="0.25">
      <c r="A264" t="s">
        <v>931</v>
      </c>
      <c r="B264" t="s">
        <v>932</v>
      </c>
      <c r="C264" s="1">
        <v>44065</v>
      </c>
      <c r="D264" s="1">
        <v>44528</v>
      </c>
      <c r="E264" t="s">
        <v>55</v>
      </c>
      <c r="F264" t="s">
        <v>115</v>
      </c>
      <c r="G264" t="s">
        <v>65</v>
      </c>
      <c r="H264" t="s">
        <v>33</v>
      </c>
      <c r="I264" s="3" t="s">
        <v>2840</v>
      </c>
      <c r="J264" s="3" t="s">
        <v>3518</v>
      </c>
      <c r="K264" s="3" t="s">
        <v>3522</v>
      </c>
      <c r="L264" s="3" t="s">
        <v>3639</v>
      </c>
      <c r="M264">
        <v>191.71</v>
      </c>
      <c r="N264">
        <v>86</v>
      </c>
      <c r="O264">
        <f>Supply_Chain[[#This Row],[Unit_Price]]*Supply_Chain[[#This Row],[Quantity]]</f>
        <v>16487.060000000001</v>
      </c>
      <c r="P264" t="s">
        <v>933</v>
      </c>
      <c r="Q264" t="s">
        <v>110</v>
      </c>
      <c r="R264" t="s">
        <v>59</v>
      </c>
      <c r="S264" t="s">
        <v>37</v>
      </c>
      <c r="T264" t="s">
        <v>60</v>
      </c>
      <c r="U264" t="s">
        <v>146</v>
      </c>
      <c r="V264">
        <v>3139</v>
      </c>
      <c r="W264">
        <v>351</v>
      </c>
      <c r="X264">
        <v>29</v>
      </c>
      <c r="Y264">
        <v>540.75</v>
      </c>
      <c r="Z264">
        <v>340.48</v>
      </c>
      <c r="AA264" s="9">
        <v>881.23</v>
      </c>
      <c r="AB264" t="s">
        <v>52</v>
      </c>
      <c r="AC264">
        <v>0</v>
      </c>
      <c r="AD264">
        <v>95.85</v>
      </c>
      <c r="AE264">
        <v>204</v>
      </c>
      <c r="AF264">
        <v>170</v>
      </c>
      <c r="AG264" s="11">
        <f>Supply_Chain[[#This Row],[Total_Cost]]/Supply_Chain[[#This Row],[Stock_On_Hand]]</f>
        <v>0.28073590315387065</v>
      </c>
    </row>
    <row r="265" spans="1:33" x14ac:dyDescent="0.25">
      <c r="A265" t="s">
        <v>934</v>
      </c>
      <c r="B265" t="s">
        <v>935</v>
      </c>
      <c r="C265" s="1">
        <v>45007</v>
      </c>
      <c r="D265" s="1">
        <v>44286</v>
      </c>
      <c r="E265" t="s">
        <v>43</v>
      </c>
      <c r="F265" t="s">
        <v>44</v>
      </c>
      <c r="G265" t="s">
        <v>247</v>
      </c>
      <c r="H265" t="s">
        <v>166</v>
      </c>
      <c r="I265" s="3" t="s">
        <v>2973</v>
      </c>
      <c r="J265" s="3" t="s">
        <v>3518</v>
      </c>
      <c r="K265" s="3" t="s">
        <v>3523</v>
      </c>
      <c r="L265" s="3" t="s">
        <v>3771</v>
      </c>
      <c r="M265">
        <v>445.35</v>
      </c>
      <c r="N265">
        <v>66</v>
      </c>
      <c r="O265">
        <f>Supply_Chain[[#This Row],[Unit_Price]]*Supply_Chain[[#This Row],[Quantity]]</f>
        <v>29393.100000000002</v>
      </c>
      <c r="P265" t="s">
        <v>936</v>
      </c>
      <c r="Q265" t="s">
        <v>86</v>
      </c>
      <c r="R265" t="s">
        <v>49</v>
      </c>
      <c r="S265" t="s">
        <v>119</v>
      </c>
      <c r="T265" t="s">
        <v>38</v>
      </c>
      <c r="U265" t="s">
        <v>95</v>
      </c>
      <c r="V265">
        <v>2976</v>
      </c>
      <c r="W265">
        <v>307</v>
      </c>
      <c r="X265">
        <v>17</v>
      </c>
      <c r="Y265">
        <v>1728.3</v>
      </c>
      <c r="Z265">
        <v>384.37</v>
      </c>
      <c r="AA265" s="9">
        <v>2112.67</v>
      </c>
      <c r="AB265" t="s">
        <v>40</v>
      </c>
      <c r="AC265">
        <v>1</v>
      </c>
      <c r="AD265">
        <v>99.21</v>
      </c>
      <c r="AE265">
        <v>397</v>
      </c>
      <c r="AF265">
        <v>357</v>
      </c>
      <c r="AG265" s="11">
        <f>Supply_Chain[[#This Row],[Total_Cost]]/Supply_Chain[[#This Row],[Stock_On_Hand]]</f>
        <v>0.70990255376344091</v>
      </c>
    </row>
    <row r="266" spans="1:33" x14ac:dyDescent="0.25">
      <c r="A266" t="s">
        <v>937</v>
      </c>
      <c r="B266" t="s">
        <v>938</v>
      </c>
      <c r="C266" s="1">
        <v>44428</v>
      </c>
      <c r="D266" s="1">
        <v>45240</v>
      </c>
      <c r="E266" t="s">
        <v>55</v>
      </c>
      <c r="F266" t="s">
        <v>115</v>
      </c>
      <c r="G266" t="s">
        <v>83</v>
      </c>
      <c r="H266" t="s">
        <v>57</v>
      </c>
      <c r="I266" s="3" t="s">
        <v>2974</v>
      </c>
      <c r="J266" s="3" t="s">
        <v>3519</v>
      </c>
      <c r="K266" s="3" t="s">
        <v>3530</v>
      </c>
      <c r="L266" s="3" t="s">
        <v>3772</v>
      </c>
      <c r="M266">
        <v>416.73</v>
      </c>
      <c r="N266">
        <v>55</v>
      </c>
      <c r="O266">
        <f>Supply_Chain[[#This Row],[Unit_Price]]*Supply_Chain[[#This Row],[Quantity]]</f>
        <v>22920.15</v>
      </c>
      <c r="P266" t="s">
        <v>939</v>
      </c>
      <c r="Q266" t="s">
        <v>48</v>
      </c>
      <c r="R266" t="s">
        <v>610</v>
      </c>
      <c r="S266" t="s">
        <v>50</v>
      </c>
      <c r="T266" t="s">
        <v>38</v>
      </c>
      <c r="U266" t="s">
        <v>196</v>
      </c>
      <c r="V266">
        <v>3139</v>
      </c>
      <c r="W266">
        <v>426</v>
      </c>
      <c r="X266">
        <v>26</v>
      </c>
      <c r="Y266">
        <v>462.45</v>
      </c>
      <c r="Z266">
        <v>57.85</v>
      </c>
      <c r="AA266" s="9">
        <v>520.29999999999995</v>
      </c>
      <c r="AB266" t="s">
        <v>40</v>
      </c>
      <c r="AC266">
        <v>14</v>
      </c>
      <c r="AD266">
        <v>84.13</v>
      </c>
      <c r="AE266">
        <v>141</v>
      </c>
      <c r="AF266">
        <v>99</v>
      </c>
      <c r="AG266" s="11">
        <f>Supply_Chain[[#This Row],[Total_Cost]]/Supply_Chain[[#This Row],[Stock_On_Hand]]</f>
        <v>0.16575342465753423</v>
      </c>
    </row>
    <row r="267" spans="1:33" x14ac:dyDescent="0.25">
      <c r="A267" t="s">
        <v>940</v>
      </c>
      <c r="B267" t="s">
        <v>941</v>
      </c>
      <c r="C267" s="1">
        <v>45223</v>
      </c>
      <c r="D267" s="1">
        <v>44791</v>
      </c>
      <c r="E267" t="s">
        <v>55</v>
      </c>
      <c r="F267" t="s">
        <v>75</v>
      </c>
      <c r="G267" t="s">
        <v>32</v>
      </c>
      <c r="H267" t="s">
        <v>66</v>
      </c>
      <c r="I267" s="3" t="s">
        <v>2975</v>
      </c>
      <c r="J267" s="3" t="s">
        <v>3519</v>
      </c>
      <c r="K267" s="3" t="s">
        <v>3528</v>
      </c>
      <c r="L267" s="3" t="s">
        <v>3773</v>
      </c>
      <c r="M267">
        <v>173.54</v>
      </c>
      <c r="N267">
        <v>81</v>
      </c>
      <c r="O267">
        <f>Supply_Chain[[#This Row],[Unit_Price]]*Supply_Chain[[#This Row],[Quantity]]</f>
        <v>14056.74</v>
      </c>
      <c r="P267" t="s">
        <v>226</v>
      </c>
      <c r="Q267" t="s">
        <v>110</v>
      </c>
      <c r="R267" t="s">
        <v>360</v>
      </c>
      <c r="S267" t="s">
        <v>37</v>
      </c>
      <c r="T267" t="s">
        <v>60</v>
      </c>
      <c r="U267" t="s">
        <v>177</v>
      </c>
      <c r="V267">
        <v>2072</v>
      </c>
      <c r="W267">
        <v>330</v>
      </c>
      <c r="X267">
        <v>20</v>
      </c>
      <c r="Y267">
        <v>1515.71</v>
      </c>
      <c r="Z267">
        <v>50.61</v>
      </c>
      <c r="AA267" s="9">
        <v>1566.32</v>
      </c>
      <c r="AB267" t="s">
        <v>52</v>
      </c>
      <c r="AC267">
        <v>0</v>
      </c>
      <c r="AD267">
        <v>76.040000000000006</v>
      </c>
      <c r="AE267">
        <v>375</v>
      </c>
      <c r="AF267">
        <v>346</v>
      </c>
      <c r="AG267" s="11">
        <f>Supply_Chain[[#This Row],[Total_Cost]]/Supply_Chain[[#This Row],[Stock_On_Hand]]</f>
        <v>0.75594594594594589</v>
      </c>
    </row>
    <row r="268" spans="1:33" x14ac:dyDescent="0.25">
      <c r="A268" t="s">
        <v>942</v>
      </c>
      <c r="B268" t="s">
        <v>943</v>
      </c>
      <c r="C268" s="1">
        <v>45005</v>
      </c>
      <c r="D268" s="1">
        <v>43991</v>
      </c>
      <c r="E268" t="s">
        <v>55</v>
      </c>
      <c r="F268" t="s">
        <v>75</v>
      </c>
      <c r="G268" t="s">
        <v>32</v>
      </c>
      <c r="H268" t="s">
        <v>92</v>
      </c>
      <c r="I268" s="3" t="s">
        <v>2976</v>
      </c>
      <c r="J268" s="3" t="s">
        <v>84</v>
      </c>
      <c r="K268" s="3" t="s">
        <v>3534</v>
      </c>
      <c r="L268" s="3" t="s">
        <v>3774</v>
      </c>
      <c r="M268">
        <v>432.25</v>
      </c>
      <c r="N268">
        <v>47</v>
      </c>
      <c r="O268">
        <f>Supply_Chain[[#This Row],[Unit_Price]]*Supply_Chain[[#This Row],[Quantity]]</f>
        <v>20315.75</v>
      </c>
      <c r="P268" t="s">
        <v>944</v>
      </c>
      <c r="Q268" t="s">
        <v>110</v>
      </c>
      <c r="R268" t="s">
        <v>135</v>
      </c>
      <c r="S268" t="s">
        <v>70</v>
      </c>
      <c r="T268" t="s">
        <v>38</v>
      </c>
      <c r="U268" t="s">
        <v>223</v>
      </c>
      <c r="V268">
        <v>1849</v>
      </c>
      <c r="W268">
        <v>493</v>
      </c>
      <c r="X268">
        <v>7</v>
      </c>
      <c r="Y268">
        <v>1361.42</v>
      </c>
      <c r="Z268">
        <v>222.7</v>
      </c>
      <c r="AA268" s="9">
        <v>1584.12</v>
      </c>
      <c r="AB268" t="s">
        <v>52</v>
      </c>
      <c r="AC268">
        <v>0</v>
      </c>
      <c r="AD268">
        <v>81.34</v>
      </c>
      <c r="AE268">
        <v>454</v>
      </c>
      <c r="AF268">
        <v>445</v>
      </c>
      <c r="AG268" s="11">
        <f>Supply_Chain[[#This Row],[Total_Cost]]/Supply_Chain[[#This Row],[Stock_On_Hand]]</f>
        <v>0.85674418604651159</v>
      </c>
    </row>
    <row r="269" spans="1:33" x14ac:dyDescent="0.25">
      <c r="A269" t="s">
        <v>945</v>
      </c>
      <c r="B269" t="s">
        <v>946</v>
      </c>
      <c r="C269" s="1">
        <v>45213</v>
      </c>
      <c r="D269" s="1">
        <v>43897</v>
      </c>
      <c r="E269" t="s">
        <v>55</v>
      </c>
      <c r="F269" t="s">
        <v>75</v>
      </c>
      <c r="G269" t="s">
        <v>83</v>
      </c>
      <c r="H269" t="s">
        <v>166</v>
      </c>
      <c r="I269" s="3" t="s">
        <v>2977</v>
      </c>
      <c r="J269" s="3" t="s">
        <v>84</v>
      </c>
      <c r="K269" s="3" t="s">
        <v>3534</v>
      </c>
      <c r="L269" s="3" t="s">
        <v>3775</v>
      </c>
      <c r="M269">
        <v>475.08</v>
      </c>
      <c r="N269">
        <v>63</v>
      </c>
      <c r="O269">
        <f>Supply_Chain[[#This Row],[Unit_Price]]*Supply_Chain[[#This Row],[Quantity]]</f>
        <v>29930.039999999997</v>
      </c>
      <c r="P269" t="s">
        <v>947</v>
      </c>
      <c r="Q269" t="s">
        <v>48</v>
      </c>
      <c r="R269" t="s">
        <v>176</v>
      </c>
      <c r="S269" t="s">
        <v>119</v>
      </c>
      <c r="T269" t="s">
        <v>79</v>
      </c>
      <c r="U269" t="s">
        <v>136</v>
      </c>
      <c r="V269">
        <v>4734</v>
      </c>
      <c r="W269">
        <v>342</v>
      </c>
      <c r="X269">
        <v>7</v>
      </c>
      <c r="Y269">
        <v>1054.43</v>
      </c>
      <c r="Z269">
        <v>72.52</v>
      </c>
      <c r="AA269" s="9">
        <v>1126.95</v>
      </c>
      <c r="AB269" t="s">
        <v>52</v>
      </c>
      <c r="AC269">
        <v>0</v>
      </c>
      <c r="AD269">
        <v>78.94</v>
      </c>
      <c r="AE269">
        <v>132</v>
      </c>
      <c r="AF269">
        <v>98</v>
      </c>
      <c r="AG269" s="11">
        <f>Supply_Chain[[#This Row],[Total_Cost]]/Supply_Chain[[#This Row],[Stock_On_Hand]]</f>
        <v>0.23805449936628645</v>
      </c>
    </row>
    <row r="270" spans="1:33" x14ac:dyDescent="0.25">
      <c r="A270" t="s">
        <v>948</v>
      </c>
      <c r="B270" t="s">
        <v>949</v>
      </c>
      <c r="C270" s="1">
        <v>44304</v>
      </c>
      <c r="D270" s="1">
        <v>45480</v>
      </c>
      <c r="E270" t="s">
        <v>55</v>
      </c>
      <c r="F270" t="s">
        <v>31</v>
      </c>
      <c r="G270" t="s">
        <v>247</v>
      </c>
      <c r="H270" t="s">
        <v>46</v>
      </c>
      <c r="I270" s="3" t="s">
        <v>2978</v>
      </c>
      <c r="J270" s="3" t="s">
        <v>3518</v>
      </c>
      <c r="K270" s="3" t="s">
        <v>3532</v>
      </c>
      <c r="L270" s="3" t="s">
        <v>3776</v>
      </c>
      <c r="M270">
        <v>30.12</v>
      </c>
      <c r="N270">
        <v>32</v>
      </c>
      <c r="O270">
        <f>Supply_Chain[[#This Row],[Unit_Price]]*Supply_Chain[[#This Row],[Quantity]]</f>
        <v>963.84</v>
      </c>
      <c r="P270" t="s">
        <v>950</v>
      </c>
      <c r="Q270" t="s">
        <v>110</v>
      </c>
      <c r="R270" t="s">
        <v>105</v>
      </c>
      <c r="S270" t="s">
        <v>50</v>
      </c>
      <c r="T270" t="s">
        <v>100</v>
      </c>
      <c r="U270" t="s">
        <v>545</v>
      </c>
      <c r="V270">
        <v>1408</v>
      </c>
      <c r="W270">
        <v>115</v>
      </c>
      <c r="X270">
        <v>18</v>
      </c>
      <c r="Y270">
        <v>1216.07</v>
      </c>
      <c r="Z270">
        <v>463.02</v>
      </c>
      <c r="AA270" s="9">
        <v>1679.09</v>
      </c>
      <c r="AB270" t="s">
        <v>52</v>
      </c>
      <c r="AC270">
        <v>0</v>
      </c>
      <c r="AD270">
        <v>93.76</v>
      </c>
      <c r="AE270">
        <v>489</v>
      </c>
      <c r="AF270">
        <v>452</v>
      </c>
      <c r="AG270" s="11">
        <f>Supply_Chain[[#This Row],[Total_Cost]]/Supply_Chain[[#This Row],[Stock_On_Hand]]</f>
        <v>1.1925355113636362</v>
      </c>
    </row>
    <row r="271" spans="1:33" x14ac:dyDescent="0.25">
      <c r="A271" t="s">
        <v>951</v>
      </c>
      <c r="B271" t="s">
        <v>952</v>
      </c>
      <c r="C271" s="1">
        <v>45430</v>
      </c>
      <c r="D271" s="1">
        <v>44259</v>
      </c>
      <c r="E271" t="s">
        <v>55</v>
      </c>
      <c r="F271" t="s">
        <v>44</v>
      </c>
      <c r="G271" t="s">
        <v>91</v>
      </c>
      <c r="H271" t="s">
        <v>116</v>
      </c>
      <c r="I271" s="3" t="s">
        <v>2979</v>
      </c>
      <c r="J271" s="3" t="s">
        <v>3519</v>
      </c>
      <c r="K271" s="3" t="s">
        <v>3528</v>
      </c>
      <c r="L271" s="3" t="s">
        <v>3777</v>
      </c>
      <c r="M271">
        <v>493.07</v>
      </c>
      <c r="N271">
        <v>81</v>
      </c>
      <c r="O271">
        <f>Supply_Chain[[#This Row],[Unit_Price]]*Supply_Chain[[#This Row],[Quantity]]</f>
        <v>39938.67</v>
      </c>
      <c r="P271" t="s">
        <v>953</v>
      </c>
      <c r="Q271" t="s">
        <v>35</v>
      </c>
      <c r="R271" t="s">
        <v>369</v>
      </c>
      <c r="S271" t="s">
        <v>70</v>
      </c>
      <c r="T271" t="s">
        <v>38</v>
      </c>
      <c r="U271" t="s">
        <v>39</v>
      </c>
      <c r="V271">
        <v>4156</v>
      </c>
      <c r="W271">
        <v>420</v>
      </c>
      <c r="X271">
        <v>4</v>
      </c>
      <c r="Y271">
        <v>1147.3499999999999</v>
      </c>
      <c r="Z271">
        <v>423.92</v>
      </c>
      <c r="AA271" s="9">
        <v>1571.27</v>
      </c>
      <c r="AB271" t="s">
        <v>52</v>
      </c>
      <c r="AC271">
        <v>0</v>
      </c>
      <c r="AD271">
        <v>74.25</v>
      </c>
      <c r="AE271">
        <v>93</v>
      </c>
      <c r="AF271">
        <v>43</v>
      </c>
      <c r="AG271" s="11">
        <f>Supply_Chain[[#This Row],[Total_Cost]]/Supply_Chain[[#This Row],[Stock_On_Hand]]</f>
        <v>0.37807266602502404</v>
      </c>
    </row>
    <row r="272" spans="1:33" x14ac:dyDescent="0.25">
      <c r="A272" t="s">
        <v>954</v>
      </c>
      <c r="B272" t="s">
        <v>955</v>
      </c>
      <c r="C272" s="1">
        <v>44061</v>
      </c>
      <c r="D272" s="1">
        <v>43849</v>
      </c>
      <c r="E272" t="s">
        <v>30</v>
      </c>
      <c r="F272" t="s">
        <v>64</v>
      </c>
      <c r="G272" t="s">
        <v>32</v>
      </c>
      <c r="H272" t="s">
        <v>46</v>
      </c>
      <c r="I272" s="3" t="s">
        <v>2980</v>
      </c>
      <c r="J272" s="3" t="s">
        <v>84</v>
      </c>
      <c r="K272" s="3" t="s">
        <v>3534</v>
      </c>
      <c r="L272" s="3" t="s">
        <v>3778</v>
      </c>
      <c r="M272">
        <v>435.59</v>
      </c>
      <c r="N272">
        <v>52</v>
      </c>
      <c r="O272">
        <f>Supply_Chain[[#This Row],[Unit_Price]]*Supply_Chain[[#This Row],[Quantity]]</f>
        <v>22650.68</v>
      </c>
      <c r="P272" t="s">
        <v>956</v>
      </c>
      <c r="Q272" t="s">
        <v>86</v>
      </c>
      <c r="R272" t="s">
        <v>36</v>
      </c>
      <c r="S272" t="s">
        <v>119</v>
      </c>
      <c r="T272" t="s">
        <v>79</v>
      </c>
      <c r="U272" t="s">
        <v>88</v>
      </c>
      <c r="V272">
        <v>2643</v>
      </c>
      <c r="W272">
        <v>416</v>
      </c>
      <c r="X272">
        <v>19</v>
      </c>
      <c r="Y272">
        <v>1403.83</v>
      </c>
      <c r="Z272">
        <v>261.3</v>
      </c>
      <c r="AA272" s="9">
        <v>1665.13</v>
      </c>
      <c r="AB272" t="s">
        <v>52</v>
      </c>
      <c r="AC272">
        <v>0</v>
      </c>
      <c r="AD272">
        <v>73.540000000000006</v>
      </c>
      <c r="AE272">
        <v>59</v>
      </c>
      <c r="AF272">
        <v>96</v>
      </c>
      <c r="AG272" s="11">
        <f>Supply_Chain[[#This Row],[Total_Cost]]/Supply_Chain[[#This Row],[Stock_On_Hand]]</f>
        <v>0.63001513431706402</v>
      </c>
    </row>
    <row r="273" spans="1:33" x14ac:dyDescent="0.25">
      <c r="A273" t="s">
        <v>957</v>
      </c>
      <c r="B273" t="s">
        <v>958</v>
      </c>
      <c r="C273" s="1">
        <v>45303</v>
      </c>
      <c r="D273" s="1">
        <v>45473</v>
      </c>
      <c r="E273" t="s">
        <v>55</v>
      </c>
      <c r="F273" t="s">
        <v>115</v>
      </c>
      <c r="G273" t="s">
        <v>45</v>
      </c>
      <c r="H273" t="s">
        <v>33</v>
      </c>
      <c r="I273" s="3" t="s">
        <v>2981</v>
      </c>
      <c r="J273" s="3" t="s">
        <v>84</v>
      </c>
      <c r="K273" s="3" t="s">
        <v>3531</v>
      </c>
      <c r="L273" s="3" t="s">
        <v>3779</v>
      </c>
      <c r="M273">
        <v>225.36</v>
      </c>
      <c r="N273">
        <v>25</v>
      </c>
      <c r="O273">
        <f>Supply_Chain[[#This Row],[Unit_Price]]*Supply_Chain[[#This Row],[Quantity]]</f>
        <v>5634</v>
      </c>
      <c r="P273" t="s">
        <v>959</v>
      </c>
      <c r="Q273" t="s">
        <v>86</v>
      </c>
      <c r="R273" t="s">
        <v>377</v>
      </c>
      <c r="S273" t="s">
        <v>37</v>
      </c>
      <c r="T273" t="s">
        <v>100</v>
      </c>
      <c r="U273" t="s">
        <v>615</v>
      </c>
      <c r="V273">
        <v>4502</v>
      </c>
      <c r="W273">
        <v>461</v>
      </c>
      <c r="X273">
        <v>6</v>
      </c>
      <c r="Y273">
        <v>1424.26</v>
      </c>
      <c r="Z273">
        <v>460.25</v>
      </c>
      <c r="AA273" s="9">
        <v>1884.51</v>
      </c>
      <c r="AB273" t="s">
        <v>52</v>
      </c>
      <c r="AC273">
        <v>0</v>
      </c>
      <c r="AD273">
        <v>70.52</v>
      </c>
      <c r="AE273">
        <v>331</v>
      </c>
      <c r="AF273">
        <v>292</v>
      </c>
      <c r="AG273" s="11">
        <f>Supply_Chain[[#This Row],[Total_Cost]]/Supply_Chain[[#This Row],[Stock_On_Hand]]</f>
        <v>0.41859395824078188</v>
      </c>
    </row>
    <row r="274" spans="1:33" x14ac:dyDescent="0.25">
      <c r="A274" t="s">
        <v>960</v>
      </c>
      <c r="B274" t="s">
        <v>698</v>
      </c>
      <c r="C274" s="1">
        <v>45595</v>
      </c>
      <c r="D274" s="1">
        <v>44650</v>
      </c>
      <c r="E274" t="s">
        <v>43</v>
      </c>
      <c r="F274" t="s">
        <v>64</v>
      </c>
      <c r="G274" t="s">
        <v>45</v>
      </c>
      <c r="H274" t="s">
        <v>92</v>
      </c>
      <c r="I274" s="3" t="s">
        <v>2982</v>
      </c>
      <c r="J274" s="3" t="s">
        <v>84</v>
      </c>
      <c r="K274" s="3" t="s">
        <v>3526</v>
      </c>
      <c r="L274" s="3" t="s">
        <v>3780</v>
      </c>
      <c r="M274">
        <v>189.78</v>
      </c>
      <c r="N274">
        <v>7</v>
      </c>
      <c r="O274">
        <f>Supply_Chain[[#This Row],[Unit_Price]]*Supply_Chain[[#This Row],[Quantity]]</f>
        <v>1328.46</v>
      </c>
      <c r="P274" t="s">
        <v>944</v>
      </c>
      <c r="Q274" t="s">
        <v>48</v>
      </c>
      <c r="R274" t="s">
        <v>154</v>
      </c>
      <c r="S274" t="s">
        <v>119</v>
      </c>
      <c r="T274" t="s">
        <v>100</v>
      </c>
      <c r="U274" t="s">
        <v>265</v>
      </c>
      <c r="V274">
        <v>1955</v>
      </c>
      <c r="W274">
        <v>89</v>
      </c>
      <c r="X274">
        <v>20</v>
      </c>
      <c r="Y274">
        <v>436.09</v>
      </c>
      <c r="Z274">
        <v>158.94999999999999</v>
      </c>
      <c r="AA274" s="9">
        <v>595.04</v>
      </c>
      <c r="AB274" t="s">
        <v>52</v>
      </c>
      <c r="AC274">
        <v>0</v>
      </c>
      <c r="AD274">
        <v>92.32</v>
      </c>
      <c r="AE274">
        <v>112</v>
      </c>
      <c r="AF274">
        <v>151</v>
      </c>
      <c r="AG274" s="11">
        <f>Supply_Chain[[#This Row],[Total_Cost]]/Supply_Chain[[#This Row],[Stock_On_Hand]]</f>
        <v>0.30436828644501279</v>
      </c>
    </row>
    <row r="275" spans="1:33" x14ac:dyDescent="0.25">
      <c r="A275" t="s">
        <v>961</v>
      </c>
      <c r="B275" t="s">
        <v>962</v>
      </c>
      <c r="C275" s="1">
        <v>44525</v>
      </c>
      <c r="D275" s="1">
        <v>44537</v>
      </c>
      <c r="E275" t="s">
        <v>43</v>
      </c>
      <c r="F275" t="s">
        <v>44</v>
      </c>
      <c r="G275" t="s">
        <v>91</v>
      </c>
      <c r="H275" t="s">
        <v>116</v>
      </c>
      <c r="I275" s="3" t="s">
        <v>2983</v>
      </c>
      <c r="J275" s="3" t="s">
        <v>3518</v>
      </c>
      <c r="K275" s="3" t="s">
        <v>3525</v>
      </c>
      <c r="L275" s="3" t="s">
        <v>3781</v>
      </c>
      <c r="M275">
        <v>243.41</v>
      </c>
      <c r="N275">
        <v>29</v>
      </c>
      <c r="O275">
        <f>Supply_Chain[[#This Row],[Unit_Price]]*Supply_Chain[[#This Row],[Quantity]]</f>
        <v>7058.89</v>
      </c>
      <c r="P275" t="s">
        <v>963</v>
      </c>
      <c r="Q275" t="s">
        <v>86</v>
      </c>
      <c r="R275" t="s">
        <v>154</v>
      </c>
      <c r="S275" t="s">
        <v>37</v>
      </c>
      <c r="T275" t="s">
        <v>38</v>
      </c>
      <c r="U275" t="s">
        <v>51</v>
      </c>
      <c r="V275">
        <v>3216</v>
      </c>
      <c r="W275">
        <v>474</v>
      </c>
      <c r="X275">
        <v>15</v>
      </c>
      <c r="Y275">
        <v>375.05</v>
      </c>
      <c r="Z275">
        <v>260.75</v>
      </c>
      <c r="AA275" s="9">
        <v>635.79999999999995</v>
      </c>
      <c r="AB275" t="s">
        <v>52</v>
      </c>
      <c r="AC275">
        <v>0</v>
      </c>
      <c r="AD275">
        <v>74.52</v>
      </c>
      <c r="AE275">
        <v>73</v>
      </c>
      <c r="AF275">
        <v>35</v>
      </c>
      <c r="AG275" s="11">
        <f>Supply_Chain[[#This Row],[Total_Cost]]/Supply_Chain[[#This Row],[Stock_On_Hand]]</f>
        <v>0.19769900497512435</v>
      </c>
    </row>
    <row r="276" spans="1:33" x14ac:dyDescent="0.25">
      <c r="A276" t="s">
        <v>964</v>
      </c>
      <c r="B276" t="s">
        <v>965</v>
      </c>
      <c r="C276" s="1">
        <v>44830</v>
      </c>
      <c r="D276" s="1">
        <v>44221</v>
      </c>
      <c r="E276" t="s">
        <v>55</v>
      </c>
      <c r="F276" t="s">
        <v>44</v>
      </c>
      <c r="G276" t="s">
        <v>32</v>
      </c>
      <c r="H276" t="s">
        <v>128</v>
      </c>
      <c r="I276" s="3" t="s">
        <v>2984</v>
      </c>
      <c r="J276" s="3" t="s">
        <v>3518</v>
      </c>
      <c r="K276" s="3" t="s">
        <v>3525</v>
      </c>
      <c r="L276" s="3" t="s">
        <v>3782</v>
      </c>
      <c r="M276">
        <v>480.17</v>
      </c>
      <c r="N276">
        <v>10</v>
      </c>
      <c r="O276">
        <f>Supply_Chain[[#This Row],[Unit_Price]]*Supply_Chain[[#This Row],[Quantity]]</f>
        <v>4801.7</v>
      </c>
      <c r="P276" t="s">
        <v>966</v>
      </c>
      <c r="Q276" t="s">
        <v>48</v>
      </c>
      <c r="R276" t="s">
        <v>118</v>
      </c>
      <c r="S276" t="s">
        <v>70</v>
      </c>
      <c r="T276" t="s">
        <v>71</v>
      </c>
      <c r="U276" t="s">
        <v>232</v>
      </c>
      <c r="V276">
        <v>2878</v>
      </c>
      <c r="W276">
        <v>214</v>
      </c>
      <c r="X276">
        <v>13</v>
      </c>
      <c r="Y276">
        <v>1121.93</v>
      </c>
      <c r="Z276">
        <v>499.11</v>
      </c>
      <c r="AA276" s="9">
        <v>1621.04</v>
      </c>
      <c r="AB276" t="s">
        <v>52</v>
      </c>
      <c r="AC276">
        <v>0</v>
      </c>
      <c r="AD276">
        <v>71.38</v>
      </c>
      <c r="AE276">
        <v>321</v>
      </c>
      <c r="AF276">
        <v>362</v>
      </c>
      <c r="AG276" s="11">
        <f>Supply_Chain[[#This Row],[Total_Cost]]/Supply_Chain[[#This Row],[Stock_On_Hand]]</f>
        <v>0.5632522585128561</v>
      </c>
    </row>
    <row r="277" spans="1:33" x14ac:dyDescent="0.25">
      <c r="A277" t="s">
        <v>967</v>
      </c>
      <c r="B277" t="s">
        <v>968</v>
      </c>
      <c r="C277" s="1">
        <v>44506</v>
      </c>
      <c r="D277" s="1">
        <v>45605</v>
      </c>
      <c r="E277" t="s">
        <v>43</v>
      </c>
      <c r="F277" t="s">
        <v>31</v>
      </c>
      <c r="G277" t="s">
        <v>91</v>
      </c>
      <c r="H277" t="s">
        <v>66</v>
      </c>
      <c r="I277" s="3" t="s">
        <v>2985</v>
      </c>
      <c r="J277" s="3" t="s">
        <v>3518</v>
      </c>
      <c r="K277" s="3" t="s">
        <v>3532</v>
      </c>
      <c r="L277" s="3" t="s">
        <v>3783</v>
      </c>
      <c r="M277">
        <v>405.04</v>
      </c>
      <c r="N277">
        <v>93</v>
      </c>
      <c r="O277">
        <f>Supply_Chain[[#This Row],[Unit_Price]]*Supply_Chain[[#This Row],[Quantity]]</f>
        <v>37668.720000000001</v>
      </c>
      <c r="P277" t="s">
        <v>927</v>
      </c>
      <c r="Q277" t="s">
        <v>48</v>
      </c>
      <c r="R277" t="s">
        <v>49</v>
      </c>
      <c r="S277" t="s">
        <v>50</v>
      </c>
      <c r="T277" t="s">
        <v>100</v>
      </c>
      <c r="U277" t="s">
        <v>855</v>
      </c>
      <c r="V277">
        <v>4741</v>
      </c>
      <c r="W277">
        <v>231</v>
      </c>
      <c r="X277">
        <v>10</v>
      </c>
      <c r="Y277">
        <v>1939.53</v>
      </c>
      <c r="Z277">
        <v>42.61</v>
      </c>
      <c r="AA277" s="9">
        <v>1982.14</v>
      </c>
      <c r="AB277" t="s">
        <v>52</v>
      </c>
      <c r="AC277">
        <v>0</v>
      </c>
      <c r="AD277">
        <v>75.05</v>
      </c>
      <c r="AE277">
        <v>449</v>
      </c>
      <c r="AF277">
        <v>483</v>
      </c>
      <c r="AG277" s="11">
        <f>Supply_Chain[[#This Row],[Total_Cost]]/Supply_Chain[[#This Row],[Stock_On_Hand]]</f>
        <v>0.4180847922379245</v>
      </c>
    </row>
    <row r="278" spans="1:33" x14ac:dyDescent="0.25">
      <c r="A278" t="s">
        <v>969</v>
      </c>
      <c r="B278" t="s">
        <v>970</v>
      </c>
      <c r="C278" s="1">
        <v>45065</v>
      </c>
      <c r="D278" s="1">
        <v>44667</v>
      </c>
      <c r="E278" t="s">
        <v>30</v>
      </c>
      <c r="F278" t="s">
        <v>44</v>
      </c>
      <c r="G278" t="s">
        <v>65</v>
      </c>
      <c r="H278" t="s">
        <v>46</v>
      </c>
      <c r="I278" s="3" t="s">
        <v>2986</v>
      </c>
      <c r="J278" s="3" t="s">
        <v>3518</v>
      </c>
      <c r="K278" s="3" t="s">
        <v>3523</v>
      </c>
      <c r="L278" s="3" t="s">
        <v>3784</v>
      </c>
      <c r="M278">
        <v>325.02</v>
      </c>
      <c r="N278">
        <v>30</v>
      </c>
      <c r="O278">
        <f>Supply_Chain[[#This Row],[Unit_Price]]*Supply_Chain[[#This Row],[Quantity]]</f>
        <v>9750.5999999999985</v>
      </c>
      <c r="P278" t="s">
        <v>971</v>
      </c>
      <c r="Q278" t="s">
        <v>35</v>
      </c>
      <c r="R278" t="s">
        <v>269</v>
      </c>
      <c r="S278" t="s">
        <v>70</v>
      </c>
      <c r="T278" t="s">
        <v>100</v>
      </c>
      <c r="U278" t="s">
        <v>436</v>
      </c>
      <c r="V278">
        <v>2800</v>
      </c>
      <c r="W278">
        <v>248</v>
      </c>
      <c r="X278">
        <v>12</v>
      </c>
      <c r="Y278">
        <v>527.46</v>
      </c>
      <c r="Z278">
        <v>339.63</v>
      </c>
      <c r="AA278" s="9">
        <v>867.09</v>
      </c>
      <c r="AB278" t="s">
        <v>52</v>
      </c>
      <c r="AC278">
        <v>0</v>
      </c>
      <c r="AD278">
        <v>73.89</v>
      </c>
      <c r="AE278">
        <v>418</v>
      </c>
      <c r="AF278">
        <v>423</v>
      </c>
      <c r="AG278" s="11">
        <f>Supply_Chain[[#This Row],[Total_Cost]]/Supply_Chain[[#This Row],[Stock_On_Hand]]</f>
        <v>0.30967500000000003</v>
      </c>
    </row>
    <row r="279" spans="1:33" x14ac:dyDescent="0.25">
      <c r="A279" t="s">
        <v>972</v>
      </c>
      <c r="B279" t="s">
        <v>973</v>
      </c>
      <c r="C279" s="1">
        <v>45491</v>
      </c>
      <c r="D279" s="1">
        <v>45409</v>
      </c>
      <c r="E279" t="s">
        <v>43</v>
      </c>
      <c r="F279" t="s">
        <v>44</v>
      </c>
      <c r="G279" t="s">
        <v>45</v>
      </c>
      <c r="H279" t="s">
        <v>66</v>
      </c>
      <c r="I279" s="3" t="s">
        <v>2987</v>
      </c>
      <c r="J279" s="3" t="s">
        <v>3518</v>
      </c>
      <c r="K279" s="3" t="s">
        <v>3524</v>
      </c>
      <c r="L279" s="3" t="s">
        <v>3785</v>
      </c>
      <c r="M279">
        <v>211.95</v>
      </c>
      <c r="N279">
        <v>51</v>
      </c>
      <c r="O279">
        <f>Supply_Chain[[#This Row],[Unit_Price]]*Supply_Chain[[#This Row],[Quantity]]</f>
        <v>10809.449999999999</v>
      </c>
      <c r="P279" t="s">
        <v>974</v>
      </c>
      <c r="Q279" t="s">
        <v>48</v>
      </c>
      <c r="R279" t="s">
        <v>610</v>
      </c>
      <c r="S279" t="s">
        <v>50</v>
      </c>
      <c r="T279" t="s">
        <v>60</v>
      </c>
      <c r="U279" t="s">
        <v>150</v>
      </c>
      <c r="V279">
        <v>4698</v>
      </c>
      <c r="W279">
        <v>377</v>
      </c>
      <c r="X279">
        <v>17</v>
      </c>
      <c r="Y279">
        <v>383.6</v>
      </c>
      <c r="Z279">
        <v>307.68</v>
      </c>
      <c r="AA279" s="9">
        <v>691.28</v>
      </c>
      <c r="AB279" t="s">
        <v>52</v>
      </c>
      <c r="AC279">
        <v>0</v>
      </c>
      <c r="AD279">
        <v>82.64</v>
      </c>
      <c r="AE279">
        <v>464</v>
      </c>
      <c r="AF279">
        <v>419</v>
      </c>
      <c r="AG279" s="11">
        <f>Supply_Chain[[#This Row],[Total_Cost]]/Supply_Chain[[#This Row],[Stock_On_Hand]]</f>
        <v>0.14714346530438485</v>
      </c>
    </row>
    <row r="280" spans="1:33" x14ac:dyDescent="0.25">
      <c r="A280" t="s">
        <v>975</v>
      </c>
      <c r="B280" t="s">
        <v>976</v>
      </c>
      <c r="C280" s="1">
        <v>45555</v>
      </c>
      <c r="D280" s="1">
        <v>44720</v>
      </c>
      <c r="E280" t="s">
        <v>55</v>
      </c>
      <c r="F280" t="s">
        <v>44</v>
      </c>
      <c r="G280" t="s">
        <v>91</v>
      </c>
      <c r="H280" t="s">
        <v>46</v>
      </c>
      <c r="I280" s="3" t="s">
        <v>2988</v>
      </c>
      <c r="J280" s="3" t="s">
        <v>3518</v>
      </c>
      <c r="K280" s="3" t="s">
        <v>3524</v>
      </c>
      <c r="L280" s="3" t="s">
        <v>3786</v>
      </c>
      <c r="M280">
        <v>211.08</v>
      </c>
      <c r="N280">
        <v>7</v>
      </c>
      <c r="O280">
        <f>Supply_Chain[[#This Row],[Unit_Price]]*Supply_Chain[[#This Row],[Quantity]]</f>
        <v>1477.5600000000002</v>
      </c>
      <c r="P280" t="s">
        <v>977</v>
      </c>
      <c r="Q280" t="s">
        <v>86</v>
      </c>
      <c r="R280" t="s">
        <v>277</v>
      </c>
      <c r="S280" t="s">
        <v>70</v>
      </c>
      <c r="T280" t="s">
        <v>71</v>
      </c>
      <c r="U280" t="s">
        <v>191</v>
      </c>
      <c r="V280">
        <v>4743</v>
      </c>
      <c r="W280">
        <v>53</v>
      </c>
      <c r="X280">
        <v>23</v>
      </c>
      <c r="Y280">
        <v>1621.75</v>
      </c>
      <c r="Z280">
        <v>199.73</v>
      </c>
      <c r="AA280" s="9">
        <v>1821.48</v>
      </c>
      <c r="AB280" t="s">
        <v>52</v>
      </c>
      <c r="AC280">
        <v>0</v>
      </c>
      <c r="AD280">
        <v>91.3</v>
      </c>
      <c r="AE280">
        <v>123</v>
      </c>
      <c r="AF280">
        <v>90</v>
      </c>
      <c r="AG280" s="11">
        <f>Supply_Chain[[#This Row],[Total_Cost]]/Supply_Chain[[#This Row],[Stock_On_Hand]]</f>
        <v>0.38403542061986085</v>
      </c>
    </row>
    <row r="281" spans="1:33" x14ac:dyDescent="0.25">
      <c r="A281" t="s">
        <v>978</v>
      </c>
      <c r="B281" t="s">
        <v>979</v>
      </c>
      <c r="C281" s="1">
        <v>44521</v>
      </c>
      <c r="D281" s="1">
        <v>45004</v>
      </c>
      <c r="E281" t="s">
        <v>55</v>
      </c>
      <c r="F281" t="s">
        <v>44</v>
      </c>
      <c r="G281" t="s">
        <v>247</v>
      </c>
      <c r="H281" t="s">
        <v>92</v>
      </c>
      <c r="I281" s="3" t="s">
        <v>2989</v>
      </c>
      <c r="J281" s="3" t="s">
        <v>3519</v>
      </c>
      <c r="K281" s="3" t="s">
        <v>3528</v>
      </c>
      <c r="L281" s="3" t="s">
        <v>3787</v>
      </c>
      <c r="M281">
        <v>450.76</v>
      </c>
      <c r="N281">
        <v>2</v>
      </c>
      <c r="O281">
        <f>Supply_Chain[[#This Row],[Unit_Price]]*Supply_Chain[[#This Row],[Quantity]]</f>
        <v>901.52</v>
      </c>
      <c r="P281" t="s">
        <v>980</v>
      </c>
      <c r="Q281" t="s">
        <v>110</v>
      </c>
      <c r="R281" t="s">
        <v>172</v>
      </c>
      <c r="S281" t="s">
        <v>50</v>
      </c>
      <c r="T281" t="s">
        <v>71</v>
      </c>
      <c r="U281" t="s">
        <v>112</v>
      </c>
      <c r="V281">
        <v>747</v>
      </c>
      <c r="W281">
        <v>259</v>
      </c>
      <c r="X281">
        <v>20</v>
      </c>
      <c r="Y281">
        <v>489.52</v>
      </c>
      <c r="Z281">
        <v>173.33</v>
      </c>
      <c r="AA281" s="9">
        <v>662.85</v>
      </c>
      <c r="AB281" t="s">
        <v>52</v>
      </c>
      <c r="AC281">
        <v>0</v>
      </c>
      <c r="AD281">
        <v>92.26</v>
      </c>
      <c r="AE281">
        <v>301</v>
      </c>
      <c r="AF281">
        <v>254</v>
      </c>
      <c r="AG281" s="11">
        <f>Supply_Chain[[#This Row],[Total_Cost]]/Supply_Chain[[#This Row],[Stock_On_Hand]]</f>
        <v>0.88734939759036147</v>
      </c>
    </row>
    <row r="282" spans="1:33" x14ac:dyDescent="0.25">
      <c r="A282" t="s">
        <v>981</v>
      </c>
      <c r="B282" t="s">
        <v>982</v>
      </c>
      <c r="C282" s="1">
        <v>44384</v>
      </c>
      <c r="D282" s="1">
        <v>44422</v>
      </c>
      <c r="E282" t="s">
        <v>55</v>
      </c>
      <c r="F282" t="s">
        <v>115</v>
      </c>
      <c r="G282" t="s">
        <v>45</v>
      </c>
      <c r="H282" t="s">
        <v>92</v>
      </c>
      <c r="I282" s="3" t="s">
        <v>2990</v>
      </c>
      <c r="J282" s="3" t="s">
        <v>84</v>
      </c>
      <c r="K282" s="3" t="s">
        <v>3526</v>
      </c>
      <c r="L282" s="3" t="s">
        <v>3788</v>
      </c>
      <c r="M282">
        <v>108.24</v>
      </c>
      <c r="N282">
        <v>33</v>
      </c>
      <c r="O282">
        <f>Supply_Chain[[#This Row],[Unit_Price]]*Supply_Chain[[#This Row],[Quantity]]</f>
        <v>3571.9199999999996</v>
      </c>
      <c r="P282" t="s">
        <v>596</v>
      </c>
      <c r="Q282" t="s">
        <v>48</v>
      </c>
      <c r="R282" t="s">
        <v>105</v>
      </c>
      <c r="S282" t="s">
        <v>37</v>
      </c>
      <c r="T282" t="s">
        <v>60</v>
      </c>
      <c r="U282" t="s">
        <v>141</v>
      </c>
      <c r="V282">
        <v>307</v>
      </c>
      <c r="W282">
        <v>88</v>
      </c>
      <c r="X282">
        <v>5</v>
      </c>
      <c r="Y282">
        <v>652.41</v>
      </c>
      <c r="Z282">
        <v>28.53</v>
      </c>
      <c r="AA282" s="9">
        <v>680.93999999999994</v>
      </c>
      <c r="AB282" t="s">
        <v>52</v>
      </c>
      <c r="AC282">
        <v>0</v>
      </c>
      <c r="AD282">
        <v>98.29</v>
      </c>
      <c r="AE282">
        <v>151</v>
      </c>
      <c r="AF282">
        <v>118</v>
      </c>
      <c r="AG282" s="11">
        <f>Supply_Chain[[#This Row],[Total_Cost]]/Supply_Chain[[#This Row],[Stock_On_Hand]]</f>
        <v>2.218045602605863</v>
      </c>
    </row>
    <row r="283" spans="1:33" x14ac:dyDescent="0.25">
      <c r="A283" t="s">
        <v>983</v>
      </c>
      <c r="B283" t="s">
        <v>984</v>
      </c>
      <c r="C283" s="1">
        <v>44907</v>
      </c>
      <c r="D283" s="1">
        <v>44743</v>
      </c>
      <c r="E283" t="s">
        <v>30</v>
      </c>
      <c r="F283" t="s">
        <v>31</v>
      </c>
      <c r="G283" t="s">
        <v>83</v>
      </c>
      <c r="H283" t="s">
        <v>66</v>
      </c>
      <c r="I283" s="3" t="s">
        <v>2991</v>
      </c>
      <c r="J283" s="3" t="s">
        <v>3518</v>
      </c>
      <c r="K283" s="3" t="s">
        <v>3533</v>
      </c>
      <c r="L283" s="3" t="s">
        <v>3789</v>
      </c>
      <c r="M283">
        <v>264.10000000000002</v>
      </c>
      <c r="N283">
        <v>39</v>
      </c>
      <c r="O283">
        <f>Supply_Chain[[#This Row],[Unit_Price]]*Supply_Chain[[#This Row],[Quantity]]</f>
        <v>10299.900000000001</v>
      </c>
      <c r="P283" t="s">
        <v>985</v>
      </c>
      <c r="Q283" t="s">
        <v>35</v>
      </c>
      <c r="R283" t="s">
        <v>87</v>
      </c>
      <c r="S283" t="s">
        <v>50</v>
      </c>
      <c r="T283" t="s">
        <v>71</v>
      </c>
      <c r="U283" t="s">
        <v>436</v>
      </c>
      <c r="V283">
        <v>1838</v>
      </c>
      <c r="W283">
        <v>208</v>
      </c>
      <c r="X283">
        <v>25</v>
      </c>
      <c r="Y283">
        <v>375.52</v>
      </c>
      <c r="Z283">
        <v>382.97</v>
      </c>
      <c r="AA283" s="9">
        <v>758.49</v>
      </c>
      <c r="AB283" t="s">
        <v>52</v>
      </c>
      <c r="AC283">
        <v>0</v>
      </c>
      <c r="AD283">
        <v>82.74</v>
      </c>
      <c r="AE283">
        <v>355</v>
      </c>
      <c r="AF283">
        <v>312</v>
      </c>
      <c r="AG283" s="11">
        <f>Supply_Chain[[#This Row],[Total_Cost]]/Supply_Chain[[#This Row],[Stock_On_Hand]]</f>
        <v>0.4126713819368879</v>
      </c>
    </row>
    <row r="284" spans="1:33" x14ac:dyDescent="0.25">
      <c r="A284" t="s">
        <v>986</v>
      </c>
      <c r="B284" t="s">
        <v>987</v>
      </c>
      <c r="C284" s="1">
        <v>44232</v>
      </c>
      <c r="D284" s="1">
        <v>45064</v>
      </c>
      <c r="E284" t="s">
        <v>43</v>
      </c>
      <c r="F284" t="s">
        <v>44</v>
      </c>
      <c r="G284" t="s">
        <v>45</v>
      </c>
      <c r="H284" t="s">
        <v>46</v>
      </c>
      <c r="I284" s="3" t="s">
        <v>2951</v>
      </c>
      <c r="J284" s="3" t="s">
        <v>3518</v>
      </c>
      <c r="K284" s="3" t="s">
        <v>3525</v>
      </c>
      <c r="L284" s="3" t="s">
        <v>3749</v>
      </c>
      <c r="M284">
        <v>355.03</v>
      </c>
      <c r="N284">
        <v>53</v>
      </c>
      <c r="O284">
        <f>Supply_Chain[[#This Row],[Unit_Price]]*Supply_Chain[[#This Row],[Quantity]]</f>
        <v>18816.59</v>
      </c>
      <c r="P284" t="s">
        <v>988</v>
      </c>
      <c r="Q284" t="s">
        <v>48</v>
      </c>
      <c r="R284" t="s">
        <v>264</v>
      </c>
      <c r="S284" t="s">
        <v>70</v>
      </c>
      <c r="T284" t="s">
        <v>100</v>
      </c>
      <c r="U284" t="s">
        <v>182</v>
      </c>
      <c r="V284">
        <v>1985</v>
      </c>
      <c r="W284">
        <v>143</v>
      </c>
      <c r="X284">
        <v>27</v>
      </c>
      <c r="Y284">
        <v>1764.97</v>
      </c>
      <c r="Z284">
        <v>295.01</v>
      </c>
      <c r="AA284" s="9">
        <v>2059.98</v>
      </c>
      <c r="AB284" t="s">
        <v>52</v>
      </c>
      <c r="AC284">
        <v>0</v>
      </c>
      <c r="AD284">
        <v>89.53</v>
      </c>
      <c r="AE284">
        <v>277</v>
      </c>
      <c r="AF284">
        <v>294</v>
      </c>
      <c r="AG284" s="11">
        <f>Supply_Chain[[#This Row],[Total_Cost]]/Supply_Chain[[#This Row],[Stock_On_Hand]]</f>
        <v>1.0377732997481108</v>
      </c>
    </row>
    <row r="285" spans="1:33" x14ac:dyDescent="0.25">
      <c r="A285" t="s">
        <v>989</v>
      </c>
      <c r="B285" t="s">
        <v>990</v>
      </c>
      <c r="C285" s="1">
        <v>45209</v>
      </c>
      <c r="D285" s="1">
        <v>44935</v>
      </c>
      <c r="E285" t="s">
        <v>43</v>
      </c>
      <c r="F285" t="s">
        <v>115</v>
      </c>
      <c r="G285" t="s">
        <v>56</v>
      </c>
      <c r="H285" t="s">
        <v>66</v>
      </c>
      <c r="I285" s="3" t="s">
        <v>2992</v>
      </c>
      <c r="J285" s="3" t="s">
        <v>3518</v>
      </c>
      <c r="K285" s="3" t="s">
        <v>3522</v>
      </c>
      <c r="L285" s="3" t="s">
        <v>3790</v>
      </c>
      <c r="M285">
        <v>441.94</v>
      </c>
      <c r="N285">
        <v>76</v>
      </c>
      <c r="O285">
        <f>Supply_Chain[[#This Row],[Unit_Price]]*Supply_Chain[[#This Row],[Quantity]]</f>
        <v>33587.440000000002</v>
      </c>
      <c r="P285" t="s">
        <v>991</v>
      </c>
      <c r="Q285" t="s">
        <v>35</v>
      </c>
      <c r="R285" t="s">
        <v>480</v>
      </c>
      <c r="S285" t="s">
        <v>37</v>
      </c>
      <c r="T285" t="s">
        <v>79</v>
      </c>
      <c r="U285" t="s">
        <v>136</v>
      </c>
      <c r="V285">
        <v>4650</v>
      </c>
      <c r="W285">
        <v>366</v>
      </c>
      <c r="X285">
        <v>18</v>
      </c>
      <c r="Y285">
        <v>352.92</v>
      </c>
      <c r="Z285">
        <v>377.69</v>
      </c>
      <c r="AA285" s="9">
        <v>730.61</v>
      </c>
      <c r="AB285" t="s">
        <v>52</v>
      </c>
      <c r="AC285">
        <v>0</v>
      </c>
      <c r="AD285">
        <v>73.06</v>
      </c>
      <c r="AE285">
        <v>168</v>
      </c>
      <c r="AF285">
        <v>166</v>
      </c>
      <c r="AG285" s="11">
        <f>Supply_Chain[[#This Row],[Total_Cost]]/Supply_Chain[[#This Row],[Stock_On_Hand]]</f>
        <v>0.15712043010752688</v>
      </c>
    </row>
    <row r="286" spans="1:33" x14ac:dyDescent="0.25">
      <c r="A286" t="s">
        <v>992</v>
      </c>
      <c r="B286" t="s">
        <v>993</v>
      </c>
      <c r="C286" s="1">
        <v>44225</v>
      </c>
      <c r="D286" s="1">
        <v>45495</v>
      </c>
      <c r="E286" t="s">
        <v>55</v>
      </c>
      <c r="F286" t="s">
        <v>31</v>
      </c>
      <c r="G286" t="s">
        <v>91</v>
      </c>
      <c r="H286" t="s">
        <v>92</v>
      </c>
      <c r="I286" s="3" t="s">
        <v>2993</v>
      </c>
      <c r="J286" s="3" t="s">
        <v>3518</v>
      </c>
      <c r="K286" s="3" t="s">
        <v>3522</v>
      </c>
      <c r="L286" s="3" t="s">
        <v>3791</v>
      </c>
      <c r="M286">
        <v>277.82</v>
      </c>
      <c r="N286">
        <v>10</v>
      </c>
      <c r="O286">
        <f>Supply_Chain[[#This Row],[Unit_Price]]*Supply_Chain[[#This Row],[Quantity]]</f>
        <v>2778.2</v>
      </c>
      <c r="P286" t="s">
        <v>994</v>
      </c>
      <c r="Q286" t="s">
        <v>110</v>
      </c>
      <c r="R286" t="s">
        <v>610</v>
      </c>
      <c r="S286" t="s">
        <v>37</v>
      </c>
      <c r="T286" t="s">
        <v>38</v>
      </c>
      <c r="U286" t="s">
        <v>227</v>
      </c>
      <c r="V286">
        <v>754</v>
      </c>
      <c r="W286">
        <v>472</v>
      </c>
      <c r="X286">
        <v>5</v>
      </c>
      <c r="Y286">
        <v>171.92</v>
      </c>
      <c r="Z286">
        <v>214.1</v>
      </c>
      <c r="AA286" s="9">
        <v>386.02</v>
      </c>
      <c r="AB286" t="s">
        <v>52</v>
      </c>
      <c r="AC286">
        <v>0</v>
      </c>
      <c r="AD286">
        <v>92</v>
      </c>
      <c r="AE286">
        <v>70</v>
      </c>
      <c r="AF286">
        <v>67</v>
      </c>
      <c r="AG286" s="11">
        <f>Supply_Chain[[#This Row],[Total_Cost]]/Supply_Chain[[#This Row],[Stock_On_Hand]]</f>
        <v>0.51196286472148533</v>
      </c>
    </row>
    <row r="287" spans="1:33" x14ac:dyDescent="0.25">
      <c r="A287" t="s">
        <v>995</v>
      </c>
      <c r="B287" t="s">
        <v>996</v>
      </c>
      <c r="C287" s="1">
        <v>44316</v>
      </c>
      <c r="D287" s="1">
        <v>43981</v>
      </c>
      <c r="E287" t="s">
        <v>43</v>
      </c>
      <c r="F287" t="s">
        <v>75</v>
      </c>
      <c r="G287" t="s">
        <v>65</v>
      </c>
      <c r="H287" t="s">
        <v>92</v>
      </c>
      <c r="I287" s="3" t="s">
        <v>2994</v>
      </c>
      <c r="J287" s="3" t="s">
        <v>3518</v>
      </c>
      <c r="K287" s="3" t="s">
        <v>3522</v>
      </c>
      <c r="L287" s="3" t="s">
        <v>3792</v>
      </c>
      <c r="M287">
        <v>204.53</v>
      </c>
      <c r="N287">
        <v>95</v>
      </c>
      <c r="O287">
        <f>Supply_Chain[[#This Row],[Unit_Price]]*Supply_Chain[[#This Row],[Quantity]]</f>
        <v>19430.349999999999</v>
      </c>
      <c r="P287" t="s">
        <v>997</v>
      </c>
      <c r="Q287" t="s">
        <v>110</v>
      </c>
      <c r="R287" t="s">
        <v>172</v>
      </c>
      <c r="S287" t="s">
        <v>119</v>
      </c>
      <c r="T287" t="s">
        <v>71</v>
      </c>
      <c r="U287" t="s">
        <v>378</v>
      </c>
      <c r="V287">
        <v>4586</v>
      </c>
      <c r="W287">
        <v>84</v>
      </c>
      <c r="X287">
        <v>28</v>
      </c>
      <c r="Y287">
        <v>506.68</v>
      </c>
      <c r="Z287">
        <v>455.44</v>
      </c>
      <c r="AA287" s="9">
        <v>962.12</v>
      </c>
      <c r="AB287" t="s">
        <v>52</v>
      </c>
      <c r="AC287">
        <v>0</v>
      </c>
      <c r="AD287">
        <v>84.7</v>
      </c>
      <c r="AE287">
        <v>163</v>
      </c>
      <c r="AF287">
        <v>169</v>
      </c>
      <c r="AG287" s="11">
        <f>Supply_Chain[[#This Row],[Total_Cost]]/Supply_Chain[[#This Row],[Stock_On_Hand]]</f>
        <v>0.20979502834714348</v>
      </c>
    </row>
    <row r="288" spans="1:33" x14ac:dyDescent="0.25">
      <c r="A288" t="s">
        <v>998</v>
      </c>
      <c r="B288" t="s">
        <v>999</v>
      </c>
      <c r="C288" s="1">
        <v>44850</v>
      </c>
      <c r="D288" s="1">
        <v>43860</v>
      </c>
      <c r="E288" t="s">
        <v>55</v>
      </c>
      <c r="F288" t="s">
        <v>64</v>
      </c>
      <c r="G288" t="s">
        <v>83</v>
      </c>
      <c r="H288" t="s">
        <v>166</v>
      </c>
      <c r="I288" s="3" t="s">
        <v>2995</v>
      </c>
      <c r="J288" s="3" t="s">
        <v>3518</v>
      </c>
      <c r="K288" s="3" t="s">
        <v>3522</v>
      </c>
      <c r="L288" s="3" t="s">
        <v>3793</v>
      </c>
      <c r="M288">
        <v>5.26</v>
      </c>
      <c r="N288">
        <v>37</v>
      </c>
      <c r="O288">
        <f>Supply_Chain[[#This Row],[Unit_Price]]*Supply_Chain[[#This Row],[Quantity]]</f>
        <v>194.62</v>
      </c>
      <c r="P288" t="s">
        <v>1000</v>
      </c>
      <c r="Q288" t="s">
        <v>110</v>
      </c>
      <c r="R288" t="s">
        <v>480</v>
      </c>
      <c r="S288" t="s">
        <v>50</v>
      </c>
      <c r="T288" t="s">
        <v>38</v>
      </c>
      <c r="U288" t="s">
        <v>191</v>
      </c>
      <c r="V288">
        <v>4449</v>
      </c>
      <c r="W288">
        <v>78</v>
      </c>
      <c r="X288">
        <v>11</v>
      </c>
      <c r="Y288">
        <v>1410.36</v>
      </c>
      <c r="Z288">
        <v>319.13</v>
      </c>
      <c r="AA288" s="9">
        <v>1729.49</v>
      </c>
      <c r="AB288" t="s">
        <v>52</v>
      </c>
      <c r="AC288">
        <v>0</v>
      </c>
      <c r="AD288">
        <v>91.6</v>
      </c>
      <c r="AE288">
        <v>331</v>
      </c>
      <c r="AF288">
        <v>298</v>
      </c>
      <c r="AG288" s="11">
        <f>Supply_Chain[[#This Row],[Total_Cost]]/Supply_Chain[[#This Row],[Stock_On_Hand]]</f>
        <v>0.38873679478534501</v>
      </c>
    </row>
    <row r="289" spans="1:33" x14ac:dyDescent="0.25">
      <c r="A289" t="s">
        <v>1001</v>
      </c>
      <c r="B289" t="s">
        <v>1002</v>
      </c>
      <c r="C289" s="1">
        <v>43895</v>
      </c>
      <c r="D289" s="1">
        <v>44339</v>
      </c>
      <c r="E289" t="s">
        <v>55</v>
      </c>
      <c r="F289" t="s">
        <v>31</v>
      </c>
      <c r="G289" t="s">
        <v>83</v>
      </c>
      <c r="H289" t="s">
        <v>128</v>
      </c>
      <c r="I289" s="3" t="s">
        <v>2996</v>
      </c>
      <c r="J289" s="3" t="s">
        <v>3518</v>
      </c>
      <c r="K289" s="3" t="s">
        <v>3522</v>
      </c>
      <c r="L289" s="3" t="s">
        <v>3794</v>
      </c>
      <c r="M289">
        <v>90.94</v>
      </c>
      <c r="N289">
        <v>66</v>
      </c>
      <c r="O289">
        <f>Supply_Chain[[#This Row],[Unit_Price]]*Supply_Chain[[#This Row],[Quantity]]</f>
        <v>6002.04</v>
      </c>
      <c r="P289" t="s">
        <v>1003</v>
      </c>
      <c r="Q289" t="s">
        <v>110</v>
      </c>
      <c r="R289" t="s">
        <v>327</v>
      </c>
      <c r="S289" t="s">
        <v>50</v>
      </c>
      <c r="T289" t="s">
        <v>100</v>
      </c>
      <c r="U289" t="s">
        <v>297</v>
      </c>
      <c r="V289">
        <v>2293</v>
      </c>
      <c r="W289">
        <v>254</v>
      </c>
      <c r="X289">
        <v>16</v>
      </c>
      <c r="Y289">
        <v>1546.22</v>
      </c>
      <c r="Z289">
        <v>104.3</v>
      </c>
      <c r="AA289" s="9">
        <v>1650.52</v>
      </c>
      <c r="AB289" t="s">
        <v>52</v>
      </c>
      <c r="AC289">
        <v>0</v>
      </c>
      <c r="AD289">
        <v>77.78</v>
      </c>
      <c r="AE289">
        <v>333</v>
      </c>
      <c r="AF289">
        <v>335</v>
      </c>
      <c r="AG289" s="11">
        <f>Supply_Chain[[#This Row],[Total_Cost]]/Supply_Chain[[#This Row],[Stock_On_Hand]]</f>
        <v>0.71980811164413427</v>
      </c>
    </row>
    <row r="290" spans="1:33" x14ac:dyDescent="0.25">
      <c r="A290" t="s">
        <v>1004</v>
      </c>
      <c r="B290" t="s">
        <v>1005</v>
      </c>
      <c r="C290" s="1">
        <v>43856</v>
      </c>
      <c r="D290" s="1">
        <v>45264</v>
      </c>
      <c r="E290" t="s">
        <v>30</v>
      </c>
      <c r="F290" t="s">
        <v>115</v>
      </c>
      <c r="G290" t="s">
        <v>45</v>
      </c>
      <c r="H290" t="s">
        <v>66</v>
      </c>
      <c r="I290" s="3" t="s">
        <v>2997</v>
      </c>
      <c r="J290" s="3" t="s">
        <v>3519</v>
      </c>
      <c r="K290" s="3" t="s">
        <v>3530</v>
      </c>
      <c r="L290" s="3" t="s">
        <v>3795</v>
      </c>
      <c r="M290">
        <v>365.09</v>
      </c>
      <c r="N290">
        <v>53</v>
      </c>
      <c r="O290">
        <f>Supply_Chain[[#This Row],[Unit_Price]]*Supply_Chain[[#This Row],[Quantity]]</f>
        <v>19349.77</v>
      </c>
      <c r="P290" t="s">
        <v>1006</v>
      </c>
      <c r="Q290" t="s">
        <v>35</v>
      </c>
      <c r="R290" t="s">
        <v>253</v>
      </c>
      <c r="S290" t="s">
        <v>50</v>
      </c>
      <c r="T290" t="s">
        <v>79</v>
      </c>
      <c r="U290" t="s">
        <v>436</v>
      </c>
      <c r="V290">
        <v>285</v>
      </c>
      <c r="W290">
        <v>402</v>
      </c>
      <c r="X290">
        <v>19</v>
      </c>
      <c r="Y290">
        <v>53.83</v>
      </c>
      <c r="Z290">
        <v>291.73</v>
      </c>
      <c r="AA290" s="9">
        <v>345.56</v>
      </c>
      <c r="AB290" t="s">
        <v>52</v>
      </c>
      <c r="AC290">
        <v>0</v>
      </c>
      <c r="AD290">
        <v>77.08</v>
      </c>
      <c r="AE290">
        <v>267</v>
      </c>
      <c r="AF290">
        <v>224</v>
      </c>
      <c r="AG290" s="11">
        <f>Supply_Chain[[#This Row],[Total_Cost]]/Supply_Chain[[#This Row],[Stock_On_Hand]]</f>
        <v>1.2124912280701754</v>
      </c>
    </row>
    <row r="291" spans="1:33" x14ac:dyDescent="0.25">
      <c r="A291" t="s">
        <v>1007</v>
      </c>
      <c r="B291" t="s">
        <v>1008</v>
      </c>
      <c r="C291" s="1">
        <v>45330</v>
      </c>
      <c r="D291" s="1">
        <v>44833</v>
      </c>
      <c r="E291" t="s">
        <v>55</v>
      </c>
      <c r="F291" t="s">
        <v>44</v>
      </c>
      <c r="G291" t="s">
        <v>76</v>
      </c>
      <c r="H291" t="s">
        <v>33</v>
      </c>
      <c r="I291" s="3" t="s">
        <v>2998</v>
      </c>
      <c r="J291" s="3" t="s">
        <v>3518</v>
      </c>
      <c r="K291" s="3" t="s">
        <v>3522</v>
      </c>
      <c r="L291" s="3" t="s">
        <v>3796</v>
      </c>
      <c r="M291">
        <v>21.97</v>
      </c>
      <c r="N291">
        <v>57</v>
      </c>
      <c r="O291">
        <f>Supply_Chain[[#This Row],[Unit_Price]]*Supply_Chain[[#This Row],[Quantity]]</f>
        <v>1252.29</v>
      </c>
      <c r="P291" t="s">
        <v>1009</v>
      </c>
      <c r="Q291" t="s">
        <v>68</v>
      </c>
      <c r="R291" t="s">
        <v>466</v>
      </c>
      <c r="S291" t="s">
        <v>50</v>
      </c>
      <c r="T291" t="s">
        <v>79</v>
      </c>
      <c r="U291" t="s">
        <v>691</v>
      </c>
      <c r="V291">
        <v>2866</v>
      </c>
      <c r="W291">
        <v>162</v>
      </c>
      <c r="X291">
        <v>27</v>
      </c>
      <c r="Y291">
        <v>1151.29</v>
      </c>
      <c r="Z291">
        <v>93.95</v>
      </c>
      <c r="AA291" s="9">
        <v>1245.24</v>
      </c>
      <c r="AB291" t="s">
        <v>52</v>
      </c>
      <c r="AC291">
        <v>0</v>
      </c>
      <c r="AD291">
        <v>96.48</v>
      </c>
      <c r="AE291">
        <v>59</v>
      </c>
      <c r="AF291">
        <v>23</v>
      </c>
      <c r="AG291" s="11">
        <f>Supply_Chain[[#This Row],[Total_Cost]]/Supply_Chain[[#This Row],[Stock_On_Hand]]</f>
        <v>0.43448709002093511</v>
      </c>
    </row>
    <row r="292" spans="1:33" x14ac:dyDescent="0.25">
      <c r="A292" t="s">
        <v>1010</v>
      </c>
      <c r="B292" t="s">
        <v>1011</v>
      </c>
      <c r="C292" s="1">
        <v>44794</v>
      </c>
      <c r="D292" s="1">
        <v>45480</v>
      </c>
      <c r="E292" t="s">
        <v>55</v>
      </c>
      <c r="F292" t="s">
        <v>64</v>
      </c>
      <c r="G292" t="s">
        <v>76</v>
      </c>
      <c r="H292" t="s">
        <v>33</v>
      </c>
      <c r="I292" s="3" t="s">
        <v>2999</v>
      </c>
      <c r="J292" s="3" t="s">
        <v>3518</v>
      </c>
      <c r="K292" s="3" t="s">
        <v>3522</v>
      </c>
      <c r="L292" s="3" t="s">
        <v>3797</v>
      </c>
      <c r="M292">
        <v>110.03</v>
      </c>
      <c r="N292">
        <v>65</v>
      </c>
      <c r="O292">
        <f>Supply_Chain[[#This Row],[Unit_Price]]*Supply_Chain[[#This Row],[Quantity]]</f>
        <v>7151.95</v>
      </c>
      <c r="P292" t="s">
        <v>933</v>
      </c>
      <c r="Q292" t="s">
        <v>86</v>
      </c>
      <c r="R292" t="s">
        <v>172</v>
      </c>
      <c r="S292" t="s">
        <v>70</v>
      </c>
      <c r="T292" t="s">
        <v>71</v>
      </c>
      <c r="U292" t="s">
        <v>61</v>
      </c>
      <c r="V292">
        <v>83</v>
      </c>
      <c r="W292">
        <v>333</v>
      </c>
      <c r="X292">
        <v>4</v>
      </c>
      <c r="Y292">
        <v>140.91999999999999</v>
      </c>
      <c r="Z292">
        <v>89.97</v>
      </c>
      <c r="AA292" s="9">
        <v>230.89</v>
      </c>
      <c r="AB292" t="s">
        <v>52</v>
      </c>
      <c r="AC292">
        <v>0</v>
      </c>
      <c r="AD292">
        <v>94.85</v>
      </c>
      <c r="AE292">
        <v>249</v>
      </c>
      <c r="AF292">
        <v>251</v>
      </c>
      <c r="AG292" s="11">
        <f>Supply_Chain[[#This Row],[Total_Cost]]/Supply_Chain[[#This Row],[Stock_On_Hand]]</f>
        <v>2.7818072289156626</v>
      </c>
    </row>
    <row r="293" spans="1:33" x14ac:dyDescent="0.25">
      <c r="A293" t="s">
        <v>1012</v>
      </c>
      <c r="B293" t="s">
        <v>1013</v>
      </c>
      <c r="C293" s="1">
        <v>44571</v>
      </c>
      <c r="D293" s="1">
        <v>45202</v>
      </c>
      <c r="E293" t="s">
        <v>43</v>
      </c>
      <c r="F293" t="s">
        <v>75</v>
      </c>
      <c r="G293" t="s">
        <v>45</v>
      </c>
      <c r="H293" t="s">
        <v>57</v>
      </c>
      <c r="I293" s="3" t="s">
        <v>2986</v>
      </c>
      <c r="J293" s="3" t="s">
        <v>3518</v>
      </c>
      <c r="K293" s="3" t="s">
        <v>3523</v>
      </c>
      <c r="L293" s="3" t="s">
        <v>3784</v>
      </c>
      <c r="M293">
        <v>101.92</v>
      </c>
      <c r="N293">
        <v>7</v>
      </c>
      <c r="O293">
        <f>Supply_Chain[[#This Row],[Unit_Price]]*Supply_Chain[[#This Row],[Quantity]]</f>
        <v>713.44</v>
      </c>
      <c r="P293" t="s">
        <v>1014</v>
      </c>
      <c r="Q293" t="s">
        <v>35</v>
      </c>
      <c r="R293" t="s">
        <v>94</v>
      </c>
      <c r="S293" t="s">
        <v>37</v>
      </c>
      <c r="T293" t="s">
        <v>38</v>
      </c>
      <c r="U293" t="s">
        <v>95</v>
      </c>
      <c r="V293">
        <v>2030</v>
      </c>
      <c r="W293">
        <v>487</v>
      </c>
      <c r="X293">
        <v>11</v>
      </c>
      <c r="Y293">
        <v>1122.43</v>
      </c>
      <c r="Z293">
        <v>216.32</v>
      </c>
      <c r="AA293" s="9">
        <v>1338.75</v>
      </c>
      <c r="AB293" t="s">
        <v>52</v>
      </c>
      <c r="AC293">
        <v>0</v>
      </c>
      <c r="AD293">
        <v>71.97</v>
      </c>
      <c r="AE293">
        <v>260</v>
      </c>
      <c r="AF293">
        <v>239</v>
      </c>
      <c r="AG293" s="11">
        <f>Supply_Chain[[#This Row],[Total_Cost]]/Supply_Chain[[#This Row],[Stock_On_Hand]]</f>
        <v>0.65948275862068961</v>
      </c>
    </row>
    <row r="294" spans="1:33" x14ac:dyDescent="0.25">
      <c r="A294" t="s">
        <v>1015</v>
      </c>
      <c r="B294" t="s">
        <v>438</v>
      </c>
      <c r="C294" s="1">
        <v>44087</v>
      </c>
      <c r="D294" s="1">
        <v>44970</v>
      </c>
      <c r="E294" t="s">
        <v>55</v>
      </c>
      <c r="F294" t="s">
        <v>75</v>
      </c>
      <c r="G294" t="s">
        <v>45</v>
      </c>
      <c r="H294" t="s">
        <v>33</v>
      </c>
      <c r="I294" s="3" t="s">
        <v>3000</v>
      </c>
      <c r="J294" s="3" t="s">
        <v>3518</v>
      </c>
      <c r="K294" s="3" t="s">
        <v>3524</v>
      </c>
      <c r="L294" s="3" t="s">
        <v>3798</v>
      </c>
      <c r="M294">
        <v>33.07</v>
      </c>
      <c r="N294">
        <v>65</v>
      </c>
      <c r="O294">
        <f>Supply_Chain[[#This Row],[Unit_Price]]*Supply_Chain[[#This Row],[Quantity]]</f>
        <v>2149.5500000000002</v>
      </c>
      <c r="P294" t="s">
        <v>1016</v>
      </c>
      <c r="Q294" t="s">
        <v>86</v>
      </c>
      <c r="R294" t="s">
        <v>419</v>
      </c>
      <c r="S294" t="s">
        <v>37</v>
      </c>
      <c r="T294" t="s">
        <v>38</v>
      </c>
      <c r="U294" t="s">
        <v>310</v>
      </c>
      <c r="V294">
        <v>608</v>
      </c>
      <c r="W294">
        <v>168</v>
      </c>
      <c r="X294">
        <v>12</v>
      </c>
      <c r="Y294">
        <v>73.69</v>
      </c>
      <c r="Z294">
        <v>273.7</v>
      </c>
      <c r="AA294" s="9">
        <v>347.39</v>
      </c>
      <c r="AB294" t="s">
        <v>52</v>
      </c>
      <c r="AC294">
        <v>0</v>
      </c>
      <c r="AD294">
        <v>87.06</v>
      </c>
      <c r="AE294">
        <v>427</v>
      </c>
      <c r="AF294">
        <v>472</v>
      </c>
      <c r="AG294" s="11">
        <f>Supply_Chain[[#This Row],[Total_Cost]]/Supply_Chain[[#This Row],[Stock_On_Hand]]</f>
        <v>0.57136513157894731</v>
      </c>
    </row>
    <row r="295" spans="1:33" x14ac:dyDescent="0.25">
      <c r="A295" t="s">
        <v>1017</v>
      </c>
      <c r="B295" t="s">
        <v>1018</v>
      </c>
      <c r="C295" s="1">
        <v>45392</v>
      </c>
      <c r="D295" s="1">
        <v>44999</v>
      </c>
      <c r="E295" t="s">
        <v>43</v>
      </c>
      <c r="F295" t="s">
        <v>44</v>
      </c>
      <c r="G295" t="s">
        <v>83</v>
      </c>
      <c r="H295" t="s">
        <v>66</v>
      </c>
      <c r="I295" s="3" t="s">
        <v>3001</v>
      </c>
      <c r="J295" s="3" t="s">
        <v>84</v>
      </c>
      <c r="K295" s="3" t="s">
        <v>3529</v>
      </c>
      <c r="L295" s="3" t="s">
        <v>3799</v>
      </c>
      <c r="M295">
        <v>144.46</v>
      </c>
      <c r="N295">
        <v>56</v>
      </c>
      <c r="O295">
        <f>Supply_Chain[[#This Row],[Unit_Price]]*Supply_Chain[[#This Row],[Quantity]]</f>
        <v>8089.76</v>
      </c>
      <c r="P295" t="s">
        <v>1019</v>
      </c>
      <c r="Q295" t="s">
        <v>48</v>
      </c>
      <c r="R295" t="s">
        <v>176</v>
      </c>
      <c r="S295" t="s">
        <v>50</v>
      </c>
      <c r="T295" t="s">
        <v>79</v>
      </c>
      <c r="U295" t="s">
        <v>310</v>
      </c>
      <c r="V295">
        <v>1851</v>
      </c>
      <c r="W295">
        <v>172</v>
      </c>
      <c r="X295">
        <v>1</v>
      </c>
      <c r="Y295">
        <v>1762.62</v>
      </c>
      <c r="Z295">
        <v>303.47000000000003</v>
      </c>
      <c r="AA295" s="9">
        <v>2066.09</v>
      </c>
      <c r="AB295" t="s">
        <v>52</v>
      </c>
      <c r="AC295">
        <v>0</v>
      </c>
      <c r="AD295">
        <v>84.33</v>
      </c>
      <c r="AE295">
        <v>378</v>
      </c>
      <c r="AF295">
        <v>328</v>
      </c>
      <c r="AG295" s="11">
        <f>Supply_Chain[[#This Row],[Total_Cost]]/Supply_Chain[[#This Row],[Stock_On_Hand]]</f>
        <v>1.1162020529443544</v>
      </c>
    </row>
    <row r="296" spans="1:33" x14ac:dyDescent="0.25">
      <c r="A296" t="s">
        <v>1020</v>
      </c>
      <c r="B296" t="s">
        <v>1021</v>
      </c>
      <c r="C296" s="1">
        <v>45344</v>
      </c>
      <c r="D296" s="1">
        <v>45443</v>
      </c>
      <c r="E296" t="s">
        <v>55</v>
      </c>
      <c r="F296" t="s">
        <v>64</v>
      </c>
      <c r="G296" t="s">
        <v>247</v>
      </c>
      <c r="H296" t="s">
        <v>92</v>
      </c>
      <c r="I296" s="3" t="s">
        <v>3002</v>
      </c>
      <c r="J296" s="3" t="s">
        <v>3518</v>
      </c>
      <c r="K296" s="3" t="s">
        <v>3533</v>
      </c>
      <c r="L296" s="3" t="s">
        <v>3800</v>
      </c>
      <c r="M296">
        <v>396.52</v>
      </c>
      <c r="N296">
        <v>35</v>
      </c>
      <c r="O296">
        <f>Supply_Chain[[#This Row],[Unit_Price]]*Supply_Chain[[#This Row],[Quantity]]</f>
        <v>13878.199999999999</v>
      </c>
      <c r="P296" t="s">
        <v>1022</v>
      </c>
      <c r="Q296" t="s">
        <v>68</v>
      </c>
      <c r="R296" t="s">
        <v>124</v>
      </c>
      <c r="S296" t="s">
        <v>50</v>
      </c>
      <c r="T296" t="s">
        <v>60</v>
      </c>
      <c r="U296" t="s">
        <v>101</v>
      </c>
      <c r="V296">
        <v>1721</v>
      </c>
      <c r="W296">
        <v>73</v>
      </c>
      <c r="X296">
        <v>8</v>
      </c>
      <c r="Y296">
        <v>1945.35</v>
      </c>
      <c r="Z296">
        <v>348.3</v>
      </c>
      <c r="AA296" s="9">
        <v>2293.65</v>
      </c>
      <c r="AB296" t="s">
        <v>52</v>
      </c>
      <c r="AC296">
        <v>0</v>
      </c>
      <c r="AD296">
        <v>71.03</v>
      </c>
      <c r="AE296">
        <v>369</v>
      </c>
      <c r="AF296">
        <v>403</v>
      </c>
      <c r="AG296" s="11">
        <f>Supply_Chain[[#This Row],[Total_Cost]]/Supply_Chain[[#This Row],[Stock_On_Hand]]</f>
        <v>1.3327425915165603</v>
      </c>
    </row>
    <row r="297" spans="1:33" x14ac:dyDescent="0.25">
      <c r="A297" t="s">
        <v>1023</v>
      </c>
      <c r="B297" t="s">
        <v>1024</v>
      </c>
      <c r="C297" s="1">
        <v>44109</v>
      </c>
      <c r="D297" s="1">
        <v>43893</v>
      </c>
      <c r="E297" t="s">
        <v>43</v>
      </c>
      <c r="F297" t="s">
        <v>75</v>
      </c>
      <c r="G297" t="s">
        <v>91</v>
      </c>
      <c r="H297" t="s">
        <v>116</v>
      </c>
      <c r="I297" s="3" t="s">
        <v>3003</v>
      </c>
      <c r="J297" s="3" t="s">
        <v>3518</v>
      </c>
      <c r="K297" s="3" t="s">
        <v>3521</v>
      </c>
      <c r="L297" s="3" t="s">
        <v>3801</v>
      </c>
      <c r="M297">
        <v>138.62</v>
      </c>
      <c r="N297">
        <v>47</v>
      </c>
      <c r="O297">
        <f>Supply_Chain[[#This Row],[Unit_Price]]*Supply_Chain[[#This Row],[Quantity]]</f>
        <v>6515.14</v>
      </c>
      <c r="P297" t="s">
        <v>1025</v>
      </c>
      <c r="Q297" t="s">
        <v>68</v>
      </c>
      <c r="R297" t="s">
        <v>69</v>
      </c>
      <c r="S297" t="s">
        <v>119</v>
      </c>
      <c r="T297" t="s">
        <v>71</v>
      </c>
      <c r="U297" t="s">
        <v>207</v>
      </c>
      <c r="V297">
        <v>992</v>
      </c>
      <c r="W297">
        <v>349</v>
      </c>
      <c r="X297">
        <v>16</v>
      </c>
      <c r="Y297">
        <v>904.79</v>
      </c>
      <c r="Z297">
        <v>473.67</v>
      </c>
      <c r="AA297" s="9">
        <v>1378.46</v>
      </c>
      <c r="AB297" t="s">
        <v>52</v>
      </c>
      <c r="AC297">
        <v>0</v>
      </c>
      <c r="AD297">
        <v>88.19</v>
      </c>
      <c r="AE297">
        <v>405</v>
      </c>
      <c r="AF297">
        <v>360</v>
      </c>
      <c r="AG297" s="11">
        <f>Supply_Chain[[#This Row],[Total_Cost]]/Supply_Chain[[#This Row],[Stock_On_Hand]]</f>
        <v>1.3895766129032259</v>
      </c>
    </row>
    <row r="298" spans="1:33" x14ac:dyDescent="0.25">
      <c r="A298" t="s">
        <v>1026</v>
      </c>
      <c r="B298" t="s">
        <v>1027</v>
      </c>
      <c r="C298" s="1">
        <v>44044</v>
      </c>
      <c r="D298" s="1">
        <v>45479</v>
      </c>
      <c r="E298" t="s">
        <v>43</v>
      </c>
      <c r="F298" t="s">
        <v>115</v>
      </c>
      <c r="G298" t="s">
        <v>45</v>
      </c>
      <c r="H298" t="s">
        <v>46</v>
      </c>
      <c r="I298" s="3" t="s">
        <v>3004</v>
      </c>
      <c r="J298" s="3" t="s">
        <v>3518</v>
      </c>
      <c r="K298" s="3" t="s">
        <v>3521</v>
      </c>
      <c r="L298" s="3" t="s">
        <v>3802</v>
      </c>
      <c r="M298">
        <v>305.33</v>
      </c>
      <c r="N298">
        <v>12</v>
      </c>
      <c r="O298">
        <f>Supply_Chain[[#This Row],[Unit_Price]]*Supply_Chain[[#This Row],[Quantity]]</f>
        <v>3663.96</v>
      </c>
      <c r="P298" t="s">
        <v>1028</v>
      </c>
      <c r="Q298" t="s">
        <v>35</v>
      </c>
      <c r="R298" t="s">
        <v>118</v>
      </c>
      <c r="S298" t="s">
        <v>119</v>
      </c>
      <c r="T298" t="s">
        <v>71</v>
      </c>
      <c r="U298" t="s">
        <v>459</v>
      </c>
      <c r="V298">
        <v>3362</v>
      </c>
      <c r="W298">
        <v>430</v>
      </c>
      <c r="X298">
        <v>21</v>
      </c>
      <c r="Y298">
        <v>405.48</v>
      </c>
      <c r="Z298">
        <v>206.84</v>
      </c>
      <c r="AA298" s="9">
        <v>612.32000000000005</v>
      </c>
      <c r="AB298" t="s">
        <v>52</v>
      </c>
      <c r="AC298">
        <v>0</v>
      </c>
      <c r="AD298">
        <v>85.83</v>
      </c>
      <c r="AE298">
        <v>111</v>
      </c>
      <c r="AF298">
        <v>115</v>
      </c>
      <c r="AG298" s="11">
        <f>Supply_Chain[[#This Row],[Total_Cost]]/Supply_Chain[[#This Row],[Stock_On_Hand]]</f>
        <v>0.18212968471148128</v>
      </c>
    </row>
    <row r="299" spans="1:33" x14ac:dyDescent="0.25">
      <c r="A299" t="s">
        <v>1029</v>
      </c>
      <c r="B299" t="s">
        <v>1030</v>
      </c>
      <c r="C299" s="1">
        <v>45066</v>
      </c>
      <c r="D299" s="1">
        <v>44766</v>
      </c>
      <c r="E299" t="s">
        <v>55</v>
      </c>
      <c r="F299" t="s">
        <v>115</v>
      </c>
      <c r="G299" t="s">
        <v>65</v>
      </c>
      <c r="H299" t="s">
        <v>66</v>
      </c>
      <c r="I299" s="3" t="s">
        <v>3005</v>
      </c>
      <c r="J299" s="3" t="s">
        <v>3518</v>
      </c>
      <c r="K299" s="3" t="s">
        <v>3521</v>
      </c>
      <c r="L299" s="3" t="s">
        <v>3803</v>
      </c>
      <c r="M299">
        <v>238.75</v>
      </c>
      <c r="N299">
        <v>56</v>
      </c>
      <c r="O299">
        <f>Supply_Chain[[#This Row],[Unit_Price]]*Supply_Chain[[#This Row],[Quantity]]</f>
        <v>13370</v>
      </c>
      <c r="P299" t="s">
        <v>1031</v>
      </c>
      <c r="Q299" t="s">
        <v>110</v>
      </c>
      <c r="R299" t="s">
        <v>264</v>
      </c>
      <c r="S299" t="s">
        <v>50</v>
      </c>
      <c r="T299" t="s">
        <v>60</v>
      </c>
      <c r="U299" t="s">
        <v>131</v>
      </c>
      <c r="V299">
        <v>4978</v>
      </c>
      <c r="W299">
        <v>253</v>
      </c>
      <c r="X299">
        <v>15</v>
      </c>
      <c r="Y299">
        <v>1984.19</v>
      </c>
      <c r="Z299">
        <v>49.04</v>
      </c>
      <c r="AA299" s="9">
        <v>2033.23</v>
      </c>
      <c r="AB299" t="s">
        <v>52</v>
      </c>
      <c r="AC299">
        <v>0</v>
      </c>
      <c r="AD299">
        <v>91.56</v>
      </c>
      <c r="AE299">
        <v>164</v>
      </c>
      <c r="AF299">
        <v>176</v>
      </c>
      <c r="AG299" s="11">
        <f>Supply_Chain[[#This Row],[Total_Cost]]/Supply_Chain[[#This Row],[Stock_On_Hand]]</f>
        <v>0.40844314985938129</v>
      </c>
    </row>
    <row r="300" spans="1:33" x14ac:dyDescent="0.25">
      <c r="A300" t="s">
        <v>1032</v>
      </c>
      <c r="B300" t="s">
        <v>1033</v>
      </c>
      <c r="C300" s="1">
        <v>45123</v>
      </c>
      <c r="D300" s="1">
        <v>44500</v>
      </c>
      <c r="E300" t="s">
        <v>55</v>
      </c>
      <c r="F300" t="s">
        <v>64</v>
      </c>
      <c r="G300" t="s">
        <v>32</v>
      </c>
      <c r="H300" t="s">
        <v>166</v>
      </c>
      <c r="I300" s="3" t="s">
        <v>3006</v>
      </c>
      <c r="J300" s="3" t="s">
        <v>3519</v>
      </c>
      <c r="K300" s="3" t="s">
        <v>3528</v>
      </c>
      <c r="L300" s="3" t="s">
        <v>3804</v>
      </c>
      <c r="M300">
        <v>309.58</v>
      </c>
      <c r="N300">
        <v>9</v>
      </c>
      <c r="O300">
        <f>Supply_Chain[[#This Row],[Unit_Price]]*Supply_Chain[[#This Row],[Quantity]]</f>
        <v>2786.22</v>
      </c>
      <c r="P300" t="s">
        <v>1034</v>
      </c>
      <c r="Q300" t="s">
        <v>86</v>
      </c>
      <c r="R300" t="s">
        <v>290</v>
      </c>
      <c r="S300" t="s">
        <v>50</v>
      </c>
      <c r="T300" t="s">
        <v>38</v>
      </c>
      <c r="U300" t="s">
        <v>669</v>
      </c>
      <c r="V300">
        <v>4543</v>
      </c>
      <c r="W300">
        <v>482</v>
      </c>
      <c r="X300">
        <v>16</v>
      </c>
      <c r="Y300">
        <v>269</v>
      </c>
      <c r="Z300">
        <v>55.68</v>
      </c>
      <c r="AA300" s="9">
        <v>324.68</v>
      </c>
      <c r="AB300" t="s">
        <v>52</v>
      </c>
      <c r="AC300">
        <v>0</v>
      </c>
      <c r="AD300">
        <v>92.82</v>
      </c>
      <c r="AE300">
        <v>365</v>
      </c>
      <c r="AF300">
        <v>391</v>
      </c>
      <c r="AG300" s="11">
        <f>Supply_Chain[[#This Row],[Total_Cost]]/Supply_Chain[[#This Row],[Stock_On_Hand]]</f>
        <v>7.1468192824125032E-2</v>
      </c>
    </row>
    <row r="301" spans="1:33" x14ac:dyDescent="0.25">
      <c r="A301" t="s">
        <v>1035</v>
      </c>
      <c r="B301" t="s">
        <v>1036</v>
      </c>
      <c r="C301" s="1">
        <v>45084</v>
      </c>
      <c r="D301" s="1">
        <v>44764</v>
      </c>
      <c r="E301" t="s">
        <v>55</v>
      </c>
      <c r="F301" t="s">
        <v>44</v>
      </c>
      <c r="G301" t="s">
        <v>83</v>
      </c>
      <c r="H301" t="s">
        <v>33</v>
      </c>
      <c r="I301" s="3" t="s">
        <v>3007</v>
      </c>
      <c r="J301" s="3" t="s">
        <v>3518</v>
      </c>
      <c r="K301" s="3" t="s">
        <v>3532</v>
      </c>
      <c r="L301" s="3" t="s">
        <v>3566</v>
      </c>
      <c r="M301">
        <v>363.21</v>
      </c>
      <c r="N301">
        <v>34</v>
      </c>
      <c r="O301">
        <f>Supply_Chain[[#This Row],[Unit_Price]]*Supply_Chain[[#This Row],[Quantity]]</f>
        <v>12349.14</v>
      </c>
      <c r="P301" t="s">
        <v>1037</v>
      </c>
      <c r="Q301" t="s">
        <v>86</v>
      </c>
      <c r="R301" t="s">
        <v>111</v>
      </c>
      <c r="S301" t="s">
        <v>37</v>
      </c>
      <c r="T301" t="s">
        <v>100</v>
      </c>
      <c r="U301" t="s">
        <v>219</v>
      </c>
      <c r="V301">
        <v>2032</v>
      </c>
      <c r="W301">
        <v>95</v>
      </c>
      <c r="X301">
        <v>25</v>
      </c>
      <c r="Y301">
        <v>1697.48</v>
      </c>
      <c r="Z301">
        <v>289.43</v>
      </c>
      <c r="AA301" s="9">
        <v>1986.91</v>
      </c>
      <c r="AB301" t="s">
        <v>52</v>
      </c>
      <c r="AC301">
        <v>0</v>
      </c>
      <c r="AD301">
        <v>78.680000000000007</v>
      </c>
      <c r="AE301">
        <v>381</v>
      </c>
      <c r="AF301">
        <v>399</v>
      </c>
      <c r="AG301" s="11">
        <f>Supply_Chain[[#This Row],[Total_Cost]]/Supply_Chain[[#This Row],[Stock_On_Hand]]</f>
        <v>0.97781003937007882</v>
      </c>
    </row>
    <row r="302" spans="1:33" x14ac:dyDescent="0.25">
      <c r="A302" t="s">
        <v>1038</v>
      </c>
      <c r="B302" t="s">
        <v>1039</v>
      </c>
      <c r="C302" s="1">
        <v>43882</v>
      </c>
      <c r="D302" s="1">
        <v>44940</v>
      </c>
      <c r="E302" t="s">
        <v>55</v>
      </c>
      <c r="F302" t="s">
        <v>75</v>
      </c>
      <c r="G302" t="s">
        <v>76</v>
      </c>
      <c r="H302" t="s">
        <v>57</v>
      </c>
      <c r="I302" s="3" t="s">
        <v>2849</v>
      </c>
      <c r="J302" s="3" t="s">
        <v>3519</v>
      </c>
      <c r="K302" s="3" t="s">
        <v>3530</v>
      </c>
      <c r="L302" s="3" t="s">
        <v>3648</v>
      </c>
      <c r="M302">
        <v>345.87</v>
      </c>
      <c r="N302">
        <v>62</v>
      </c>
      <c r="O302">
        <f>Supply_Chain[[#This Row],[Unit_Price]]*Supply_Chain[[#This Row],[Quantity]]</f>
        <v>21443.94</v>
      </c>
      <c r="P302" t="s">
        <v>1040</v>
      </c>
      <c r="Q302" t="s">
        <v>48</v>
      </c>
      <c r="R302" t="s">
        <v>264</v>
      </c>
      <c r="S302" t="s">
        <v>119</v>
      </c>
      <c r="T302" t="s">
        <v>60</v>
      </c>
      <c r="U302" t="s">
        <v>196</v>
      </c>
      <c r="V302">
        <v>3903</v>
      </c>
      <c r="W302">
        <v>482</v>
      </c>
      <c r="X302">
        <v>26</v>
      </c>
      <c r="Y302">
        <v>404.86</v>
      </c>
      <c r="Z302">
        <v>196.95</v>
      </c>
      <c r="AA302" s="9">
        <v>601.80999999999995</v>
      </c>
      <c r="AB302" t="s">
        <v>52</v>
      </c>
      <c r="AC302">
        <v>0</v>
      </c>
      <c r="AD302">
        <v>80.16</v>
      </c>
      <c r="AE302">
        <v>415</v>
      </c>
      <c r="AF302">
        <v>425</v>
      </c>
      <c r="AG302" s="11">
        <f>Supply_Chain[[#This Row],[Total_Cost]]/Supply_Chain[[#This Row],[Stock_On_Hand]]</f>
        <v>0.15419164745067895</v>
      </c>
    </row>
    <row r="303" spans="1:33" x14ac:dyDescent="0.25">
      <c r="A303" t="s">
        <v>1041</v>
      </c>
      <c r="B303" t="s">
        <v>1042</v>
      </c>
      <c r="C303" s="1">
        <v>45003</v>
      </c>
      <c r="D303" s="1">
        <v>44206</v>
      </c>
      <c r="E303" t="s">
        <v>30</v>
      </c>
      <c r="F303" t="s">
        <v>31</v>
      </c>
      <c r="G303" t="s">
        <v>32</v>
      </c>
      <c r="H303" t="s">
        <v>116</v>
      </c>
      <c r="I303" s="3" t="s">
        <v>2858</v>
      </c>
      <c r="J303" s="3" t="s">
        <v>3519</v>
      </c>
      <c r="K303" s="3" t="s">
        <v>3530</v>
      </c>
      <c r="L303" s="3" t="s">
        <v>3657</v>
      </c>
      <c r="M303">
        <v>177.83</v>
      </c>
      <c r="N303">
        <v>50</v>
      </c>
      <c r="O303">
        <f>Supply_Chain[[#This Row],[Unit_Price]]*Supply_Chain[[#This Row],[Quantity]]</f>
        <v>8891.5</v>
      </c>
      <c r="P303" t="s">
        <v>1043</v>
      </c>
      <c r="Q303" t="s">
        <v>110</v>
      </c>
      <c r="R303" t="s">
        <v>419</v>
      </c>
      <c r="S303" t="s">
        <v>119</v>
      </c>
      <c r="T303" t="s">
        <v>38</v>
      </c>
      <c r="U303" t="s">
        <v>669</v>
      </c>
      <c r="V303">
        <v>4429</v>
      </c>
      <c r="W303">
        <v>117</v>
      </c>
      <c r="X303">
        <v>26</v>
      </c>
      <c r="Y303">
        <v>334.83</v>
      </c>
      <c r="Z303">
        <v>80.260000000000005</v>
      </c>
      <c r="AA303" s="9">
        <v>415.09</v>
      </c>
      <c r="AB303" t="s">
        <v>52</v>
      </c>
      <c r="AC303">
        <v>0</v>
      </c>
      <c r="AD303">
        <v>87.83</v>
      </c>
      <c r="AE303">
        <v>65</v>
      </c>
      <c r="AF303">
        <v>31</v>
      </c>
      <c r="AG303" s="11">
        <f>Supply_Chain[[#This Row],[Total_Cost]]/Supply_Chain[[#This Row],[Stock_On_Hand]]</f>
        <v>9.3720930232558133E-2</v>
      </c>
    </row>
    <row r="304" spans="1:33" x14ac:dyDescent="0.25">
      <c r="A304" t="s">
        <v>1044</v>
      </c>
      <c r="B304" t="s">
        <v>1045</v>
      </c>
      <c r="C304" s="1">
        <v>44862</v>
      </c>
      <c r="D304" s="1">
        <v>45649</v>
      </c>
      <c r="E304" t="s">
        <v>55</v>
      </c>
      <c r="F304" t="s">
        <v>75</v>
      </c>
      <c r="G304" t="s">
        <v>45</v>
      </c>
      <c r="H304" t="s">
        <v>166</v>
      </c>
      <c r="I304" s="3" t="s">
        <v>3008</v>
      </c>
      <c r="J304" s="3" t="s">
        <v>84</v>
      </c>
      <c r="K304" s="3" t="s">
        <v>3529</v>
      </c>
      <c r="L304" s="3" t="s">
        <v>3805</v>
      </c>
      <c r="M304">
        <v>184.33</v>
      </c>
      <c r="N304">
        <v>82</v>
      </c>
      <c r="O304">
        <f>Supply_Chain[[#This Row],[Unit_Price]]*Supply_Chain[[#This Row],[Quantity]]</f>
        <v>15115.060000000001</v>
      </c>
      <c r="P304" t="s">
        <v>1043</v>
      </c>
      <c r="Q304" t="s">
        <v>68</v>
      </c>
      <c r="R304" t="s">
        <v>118</v>
      </c>
      <c r="S304" t="s">
        <v>50</v>
      </c>
      <c r="T304" t="s">
        <v>79</v>
      </c>
      <c r="U304" t="s">
        <v>619</v>
      </c>
      <c r="V304">
        <v>3932</v>
      </c>
      <c r="W304">
        <v>319</v>
      </c>
      <c r="X304">
        <v>9</v>
      </c>
      <c r="Y304">
        <v>1592.65</v>
      </c>
      <c r="Z304">
        <v>161.07</v>
      </c>
      <c r="AA304" s="9">
        <v>1753.72</v>
      </c>
      <c r="AB304" t="s">
        <v>52</v>
      </c>
      <c r="AC304">
        <v>0</v>
      </c>
      <c r="AD304">
        <v>77.31</v>
      </c>
      <c r="AE304">
        <v>123</v>
      </c>
      <c r="AF304">
        <v>142</v>
      </c>
      <c r="AG304" s="11">
        <f>Supply_Chain[[#This Row],[Total_Cost]]/Supply_Chain[[#This Row],[Stock_On_Hand]]</f>
        <v>0.4460122075279756</v>
      </c>
    </row>
    <row r="305" spans="1:33" x14ac:dyDescent="0.25">
      <c r="A305" t="s">
        <v>1046</v>
      </c>
      <c r="B305" t="s">
        <v>1047</v>
      </c>
      <c r="C305" s="1">
        <v>45335</v>
      </c>
      <c r="D305" s="1">
        <v>44931</v>
      </c>
      <c r="E305" t="s">
        <v>55</v>
      </c>
      <c r="F305" t="s">
        <v>75</v>
      </c>
      <c r="G305" t="s">
        <v>56</v>
      </c>
      <c r="H305" t="s">
        <v>33</v>
      </c>
      <c r="I305" s="3" t="s">
        <v>3009</v>
      </c>
      <c r="J305" s="3" t="s">
        <v>3518</v>
      </c>
      <c r="K305" s="3" t="s">
        <v>3525</v>
      </c>
      <c r="L305" s="3" t="s">
        <v>3806</v>
      </c>
      <c r="M305">
        <v>340.66</v>
      </c>
      <c r="N305">
        <v>84</v>
      </c>
      <c r="O305">
        <f>Supply_Chain[[#This Row],[Unit_Price]]*Supply_Chain[[#This Row],[Quantity]]</f>
        <v>28615.440000000002</v>
      </c>
      <c r="P305" t="s">
        <v>1048</v>
      </c>
      <c r="Q305" t="s">
        <v>35</v>
      </c>
      <c r="R305" t="s">
        <v>214</v>
      </c>
      <c r="S305" t="s">
        <v>119</v>
      </c>
      <c r="T305" t="s">
        <v>71</v>
      </c>
      <c r="U305" t="s">
        <v>436</v>
      </c>
      <c r="V305">
        <v>3647</v>
      </c>
      <c r="W305">
        <v>454</v>
      </c>
      <c r="X305">
        <v>19</v>
      </c>
      <c r="Y305">
        <v>50.33</v>
      </c>
      <c r="Z305">
        <v>82.03</v>
      </c>
      <c r="AA305" s="9">
        <v>132.36000000000001</v>
      </c>
      <c r="AB305" t="s">
        <v>40</v>
      </c>
      <c r="AC305">
        <v>4</v>
      </c>
      <c r="AD305">
        <v>95.52</v>
      </c>
      <c r="AE305">
        <v>399</v>
      </c>
      <c r="AF305">
        <v>368</v>
      </c>
      <c r="AG305" s="11">
        <f>Supply_Chain[[#This Row],[Total_Cost]]/Supply_Chain[[#This Row],[Stock_On_Hand]]</f>
        <v>3.6292843432958598E-2</v>
      </c>
    </row>
    <row r="306" spans="1:33" x14ac:dyDescent="0.25">
      <c r="A306" t="s">
        <v>1049</v>
      </c>
      <c r="B306" t="s">
        <v>1050</v>
      </c>
      <c r="C306" s="1">
        <v>45614</v>
      </c>
      <c r="D306" s="1">
        <v>44153</v>
      </c>
      <c r="E306" t="s">
        <v>55</v>
      </c>
      <c r="F306" t="s">
        <v>64</v>
      </c>
      <c r="G306" t="s">
        <v>56</v>
      </c>
      <c r="H306" t="s">
        <v>33</v>
      </c>
      <c r="I306" s="3" t="s">
        <v>3010</v>
      </c>
      <c r="J306" s="3" t="s">
        <v>3518</v>
      </c>
      <c r="K306" s="3" t="s">
        <v>3522</v>
      </c>
      <c r="L306" s="3" t="s">
        <v>3807</v>
      </c>
      <c r="M306">
        <v>433.4</v>
      </c>
      <c r="N306">
        <v>76</v>
      </c>
      <c r="O306">
        <f>Supply_Chain[[#This Row],[Unit_Price]]*Supply_Chain[[#This Row],[Quantity]]</f>
        <v>32938.400000000001</v>
      </c>
      <c r="P306" t="s">
        <v>1051</v>
      </c>
      <c r="Q306" t="s">
        <v>48</v>
      </c>
      <c r="R306" t="s">
        <v>253</v>
      </c>
      <c r="S306" t="s">
        <v>70</v>
      </c>
      <c r="T306" t="s">
        <v>60</v>
      </c>
      <c r="U306" t="s">
        <v>120</v>
      </c>
      <c r="V306">
        <v>2468</v>
      </c>
      <c r="W306">
        <v>131</v>
      </c>
      <c r="X306">
        <v>6</v>
      </c>
      <c r="Y306">
        <v>1819.76</v>
      </c>
      <c r="Z306">
        <v>145.19</v>
      </c>
      <c r="AA306" s="9">
        <v>1964.95</v>
      </c>
      <c r="AB306" t="s">
        <v>40</v>
      </c>
      <c r="AC306">
        <v>10</v>
      </c>
      <c r="AD306">
        <v>75.8</v>
      </c>
      <c r="AE306">
        <v>407</v>
      </c>
      <c r="AF306">
        <v>402</v>
      </c>
      <c r="AG306" s="11">
        <f>Supply_Chain[[#This Row],[Total_Cost]]/Supply_Chain[[#This Row],[Stock_On_Hand]]</f>
        <v>0.7961709886547812</v>
      </c>
    </row>
    <row r="307" spans="1:33" x14ac:dyDescent="0.25">
      <c r="A307" t="s">
        <v>1052</v>
      </c>
      <c r="B307" t="s">
        <v>1053</v>
      </c>
      <c r="C307" s="1">
        <v>45093</v>
      </c>
      <c r="D307" s="1">
        <v>44937</v>
      </c>
      <c r="E307" t="s">
        <v>30</v>
      </c>
      <c r="F307" t="s">
        <v>64</v>
      </c>
      <c r="G307" t="s">
        <v>91</v>
      </c>
      <c r="H307" t="s">
        <v>33</v>
      </c>
      <c r="I307" s="3" t="s">
        <v>3011</v>
      </c>
      <c r="J307" s="3" t="s">
        <v>3518</v>
      </c>
      <c r="K307" s="3" t="s">
        <v>3523</v>
      </c>
      <c r="L307" s="3" t="s">
        <v>3808</v>
      </c>
      <c r="M307">
        <v>375.69</v>
      </c>
      <c r="N307">
        <v>41</v>
      </c>
      <c r="O307">
        <f>Supply_Chain[[#This Row],[Unit_Price]]*Supply_Chain[[#This Row],[Quantity]]</f>
        <v>15403.289999999999</v>
      </c>
      <c r="P307" t="s">
        <v>1054</v>
      </c>
      <c r="Q307" t="s">
        <v>110</v>
      </c>
      <c r="R307" t="s">
        <v>369</v>
      </c>
      <c r="S307" t="s">
        <v>119</v>
      </c>
      <c r="T307" t="s">
        <v>71</v>
      </c>
      <c r="U307" t="s">
        <v>270</v>
      </c>
      <c r="V307">
        <v>129</v>
      </c>
      <c r="W307">
        <v>128</v>
      </c>
      <c r="X307">
        <v>9</v>
      </c>
      <c r="Y307">
        <v>1754.62</v>
      </c>
      <c r="Z307">
        <v>144.32</v>
      </c>
      <c r="AA307" s="9">
        <v>1898.94</v>
      </c>
      <c r="AB307" t="s">
        <v>52</v>
      </c>
      <c r="AC307">
        <v>0</v>
      </c>
      <c r="AD307">
        <v>72.11</v>
      </c>
      <c r="AE307">
        <v>232</v>
      </c>
      <c r="AF307">
        <v>188</v>
      </c>
      <c r="AG307" s="11">
        <f>Supply_Chain[[#This Row],[Total_Cost]]/Supply_Chain[[#This Row],[Stock_On_Hand]]</f>
        <v>14.720465116279071</v>
      </c>
    </row>
    <row r="308" spans="1:33" x14ac:dyDescent="0.25">
      <c r="A308" t="s">
        <v>1055</v>
      </c>
      <c r="B308" t="s">
        <v>1056</v>
      </c>
      <c r="C308" s="1">
        <v>44848</v>
      </c>
      <c r="D308" s="1">
        <v>44440</v>
      </c>
      <c r="E308" t="s">
        <v>43</v>
      </c>
      <c r="F308" t="s">
        <v>75</v>
      </c>
      <c r="G308" t="s">
        <v>32</v>
      </c>
      <c r="H308" t="s">
        <v>116</v>
      </c>
      <c r="I308" s="3" t="s">
        <v>2930</v>
      </c>
      <c r="J308" s="3" t="s">
        <v>3518</v>
      </c>
      <c r="K308" s="3" t="s">
        <v>3521</v>
      </c>
      <c r="L308" s="3" t="s">
        <v>3729</v>
      </c>
      <c r="M308">
        <v>82.76</v>
      </c>
      <c r="N308">
        <v>77</v>
      </c>
      <c r="O308">
        <f>Supply_Chain[[#This Row],[Unit_Price]]*Supply_Chain[[#This Row],[Quantity]]</f>
        <v>6372.52</v>
      </c>
      <c r="P308" t="s">
        <v>707</v>
      </c>
      <c r="Q308" t="s">
        <v>86</v>
      </c>
      <c r="R308" t="s">
        <v>369</v>
      </c>
      <c r="S308" t="s">
        <v>70</v>
      </c>
      <c r="T308" t="s">
        <v>71</v>
      </c>
      <c r="U308" t="s">
        <v>131</v>
      </c>
      <c r="V308">
        <v>1851</v>
      </c>
      <c r="W308">
        <v>112</v>
      </c>
      <c r="X308">
        <v>28</v>
      </c>
      <c r="Y308">
        <v>1596.99</v>
      </c>
      <c r="Z308">
        <v>176.93</v>
      </c>
      <c r="AA308" s="9">
        <v>1773.92</v>
      </c>
      <c r="AB308" t="s">
        <v>40</v>
      </c>
      <c r="AC308">
        <v>14</v>
      </c>
      <c r="AD308">
        <v>83.36</v>
      </c>
      <c r="AE308">
        <v>158</v>
      </c>
      <c r="AF308">
        <v>130</v>
      </c>
      <c r="AG308" s="11">
        <f>Supply_Chain[[#This Row],[Total_Cost]]/Supply_Chain[[#This Row],[Stock_On_Hand]]</f>
        <v>0.95835764451647765</v>
      </c>
    </row>
    <row r="309" spans="1:33" x14ac:dyDescent="0.25">
      <c r="A309" t="s">
        <v>1057</v>
      </c>
      <c r="B309" t="s">
        <v>1058</v>
      </c>
      <c r="C309" s="1">
        <v>45502</v>
      </c>
      <c r="D309" s="1">
        <v>45636</v>
      </c>
      <c r="E309" t="s">
        <v>55</v>
      </c>
      <c r="F309" t="s">
        <v>44</v>
      </c>
      <c r="G309" t="s">
        <v>32</v>
      </c>
      <c r="H309" t="s">
        <v>92</v>
      </c>
      <c r="I309" s="3" t="s">
        <v>3012</v>
      </c>
      <c r="J309" s="3" t="s">
        <v>3518</v>
      </c>
      <c r="K309" s="3" t="s">
        <v>3521</v>
      </c>
      <c r="L309" s="3" t="s">
        <v>3809</v>
      </c>
      <c r="M309">
        <v>81.53</v>
      </c>
      <c r="N309">
        <v>50</v>
      </c>
      <c r="O309">
        <f>Supply_Chain[[#This Row],[Unit_Price]]*Supply_Chain[[#This Row],[Quantity]]</f>
        <v>4076.5</v>
      </c>
      <c r="P309" t="s">
        <v>1059</v>
      </c>
      <c r="Q309" t="s">
        <v>35</v>
      </c>
      <c r="R309" t="s">
        <v>105</v>
      </c>
      <c r="S309" t="s">
        <v>70</v>
      </c>
      <c r="T309" t="s">
        <v>38</v>
      </c>
      <c r="U309" t="s">
        <v>203</v>
      </c>
      <c r="V309">
        <v>4826</v>
      </c>
      <c r="W309">
        <v>189</v>
      </c>
      <c r="X309">
        <v>10</v>
      </c>
      <c r="Y309">
        <v>967.82</v>
      </c>
      <c r="Z309">
        <v>329.7</v>
      </c>
      <c r="AA309" s="9">
        <v>1297.52</v>
      </c>
      <c r="AB309" t="s">
        <v>52</v>
      </c>
      <c r="AC309">
        <v>0</v>
      </c>
      <c r="AD309">
        <v>83.75</v>
      </c>
      <c r="AE309">
        <v>448</v>
      </c>
      <c r="AF309">
        <v>465</v>
      </c>
      <c r="AG309" s="11">
        <f>Supply_Chain[[#This Row],[Total_Cost]]/Supply_Chain[[#This Row],[Stock_On_Hand]]</f>
        <v>0.26886033982594282</v>
      </c>
    </row>
    <row r="310" spans="1:33" x14ac:dyDescent="0.25">
      <c r="A310" t="s">
        <v>1060</v>
      </c>
      <c r="B310" t="s">
        <v>1061</v>
      </c>
      <c r="C310" s="1">
        <v>45220</v>
      </c>
      <c r="D310" s="1">
        <v>44674</v>
      </c>
      <c r="E310" t="s">
        <v>55</v>
      </c>
      <c r="F310" t="s">
        <v>31</v>
      </c>
      <c r="G310" t="s">
        <v>32</v>
      </c>
      <c r="H310" t="s">
        <v>33</v>
      </c>
      <c r="I310" s="3" t="s">
        <v>3013</v>
      </c>
      <c r="J310" s="3" t="s">
        <v>3518</v>
      </c>
      <c r="K310" s="3" t="s">
        <v>3524</v>
      </c>
      <c r="L310" s="3" t="s">
        <v>3810</v>
      </c>
      <c r="M310">
        <v>337.23</v>
      </c>
      <c r="N310">
        <v>32</v>
      </c>
      <c r="O310">
        <f>Supply_Chain[[#This Row],[Unit_Price]]*Supply_Chain[[#This Row],[Quantity]]</f>
        <v>10791.36</v>
      </c>
      <c r="P310" t="s">
        <v>1062</v>
      </c>
      <c r="Q310" t="s">
        <v>86</v>
      </c>
      <c r="R310" t="s">
        <v>248</v>
      </c>
      <c r="S310" t="s">
        <v>119</v>
      </c>
      <c r="T310" t="s">
        <v>100</v>
      </c>
      <c r="U310" t="s">
        <v>265</v>
      </c>
      <c r="V310">
        <v>3801</v>
      </c>
      <c r="W310">
        <v>464</v>
      </c>
      <c r="X310">
        <v>17</v>
      </c>
      <c r="Y310">
        <v>1538.88</v>
      </c>
      <c r="Z310">
        <v>440.06</v>
      </c>
      <c r="AA310" s="9">
        <v>1978.94</v>
      </c>
      <c r="AB310" t="s">
        <v>52</v>
      </c>
      <c r="AC310">
        <v>0</v>
      </c>
      <c r="AD310">
        <v>99.82</v>
      </c>
      <c r="AE310">
        <v>433</v>
      </c>
      <c r="AF310">
        <v>471</v>
      </c>
      <c r="AG310" s="11">
        <f>Supply_Chain[[#This Row],[Total_Cost]]/Supply_Chain[[#This Row],[Stock_On_Hand]]</f>
        <v>0.5206366745593265</v>
      </c>
    </row>
    <row r="311" spans="1:33" x14ac:dyDescent="0.25">
      <c r="A311" t="s">
        <v>1063</v>
      </c>
      <c r="B311" t="s">
        <v>1064</v>
      </c>
      <c r="C311" s="1">
        <v>44111</v>
      </c>
      <c r="D311" s="1">
        <v>45460</v>
      </c>
      <c r="E311" t="s">
        <v>43</v>
      </c>
      <c r="F311" t="s">
        <v>44</v>
      </c>
      <c r="G311" t="s">
        <v>76</v>
      </c>
      <c r="H311" t="s">
        <v>92</v>
      </c>
      <c r="I311" s="3" t="s">
        <v>3014</v>
      </c>
      <c r="J311" s="3" t="s">
        <v>3519</v>
      </c>
      <c r="K311" s="3" t="s">
        <v>3530</v>
      </c>
      <c r="L311" s="3" t="s">
        <v>3811</v>
      </c>
      <c r="M311">
        <v>162.47</v>
      </c>
      <c r="N311">
        <v>12</v>
      </c>
      <c r="O311">
        <f>Supply_Chain[[#This Row],[Unit_Price]]*Supply_Chain[[#This Row],[Quantity]]</f>
        <v>1949.6399999999999</v>
      </c>
      <c r="P311" t="s">
        <v>1065</v>
      </c>
      <c r="Q311" t="s">
        <v>68</v>
      </c>
      <c r="R311" t="s">
        <v>214</v>
      </c>
      <c r="S311" t="s">
        <v>119</v>
      </c>
      <c r="T311" t="s">
        <v>60</v>
      </c>
      <c r="U311" t="s">
        <v>440</v>
      </c>
      <c r="V311">
        <v>69</v>
      </c>
      <c r="W311">
        <v>339</v>
      </c>
      <c r="X311">
        <v>7</v>
      </c>
      <c r="Y311">
        <v>232.22</v>
      </c>
      <c r="Z311">
        <v>187.88</v>
      </c>
      <c r="AA311" s="9">
        <v>420.1</v>
      </c>
      <c r="AB311" t="s">
        <v>52</v>
      </c>
      <c r="AC311">
        <v>0</v>
      </c>
      <c r="AD311">
        <v>92.21</v>
      </c>
      <c r="AE311">
        <v>481</v>
      </c>
      <c r="AF311">
        <v>433</v>
      </c>
      <c r="AG311" s="11">
        <f>Supply_Chain[[#This Row],[Total_Cost]]/Supply_Chain[[#This Row],[Stock_On_Hand]]</f>
        <v>6.0884057971014496</v>
      </c>
    </row>
    <row r="312" spans="1:33" x14ac:dyDescent="0.25">
      <c r="A312" t="s">
        <v>1066</v>
      </c>
      <c r="B312" t="s">
        <v>1067</v>
      </c>
      <c r="C312" s="1">
        <v>45397</v>
      </c>
      <c r="D312" s="1">
        <v>44273</v>
      </c>
      <c r="E312" t="s">
        <v>55</v>
      </c>
      <c r="F312" t="s">
        <v>75</v>
      </c>
      <c r="G312" t="s">
        <v>45</v>
      </c>
      <c r="H312" t="s">
        <v>128</v>
      </c>
      <c r="I312" s="3" t="s">
        <v>3015</v>
      </c>
      <c r="J312" s="3" t="s">
        <v>3518</v>
      </c>
      <c r="K312" s="3" t="s">
        <v>3525</v>
      </c>
      <c r="L312" s="3" t="s">
        <v>3812</v>
      </c>
      <c r="M312">
        <v>381.67</v>
      </c>
      <c r="N312">
        <v>87</v>
      </c>
      <c r="O312">
        <f>Supply_Chain[[#This Row],[Unit_Price]]*Supply_Chain[[#This Row],[Quantity]]</f>
        <v>33205.29</v>
      </c>
      <c r="P312" t="s">
        <v>1068</v>
      </c>
      <c r="Q312" t="s">
        <v>110</v>
      </c>
      <c r="R312" t="s">
        <v>69</v>
      </c>
      <c r="S312" t="s">
        <v>37</v>
      </c>
      <c r="T312" t="s">
        <v>71</v>
      </c>
      <c r="U312" t="s">
        <v>302</v>
      </c>
      <c r="V312">
        <v>3637</v>
      </c>
      <c r="W312">
        <v>387</v>
      </c>
      <c r="X312">
        <v>2</v>
      </c>
      <c r="Y312">
        <v>1327.73</v>
      </c>
      <c r="Z312">
        <v>57.99</v>
      </c>
      <c r="AA312" s="9">
        <v>1385.72</v>
      </c>
      <c r="AB312" t="s">
        <v>52</v>
      </c>
      <c r="AC312">
        <v>0</v>
      </c>
      <c r="AD312">
        <v>92.12</v>
      </c>
      <c r="AE312">
        <v>190</v>
      </c>
      <c r="AF312">
        <v>225</v>
      </c>
      <c r="AG312" s="11">
        <f>Supply_Chain[[#This Row],[Total_Cost]]/Supply_Chain[[#This Row],[Stock_On_Hand]]</f>
        <v>0.38100632389331868</v>
      </c>
    </row>
    <row r="313" spans="1:33" x14ac:dyDescent="0.25">
      <c r="A313" t="s">
        <v>1069</v>
      </c>
      <c r="B313" t="s">
        <v>1070</v>
      </c>
      <c r="C313" s="1">
        <v>44227</v>
      </c>
      <c r="D313" s="1">
        <v>45478</v>
      </c>
      <c r="E313" t="s">
        <v>55</v>
      </c>
      <c r="F313" t="s">
        <v>31</v>
      </c>
      <c r="G313" t="s">
        <v>91</v>
      </c>
      <c r="H313" t="s">
        <v>92</v>
      </c>
      <c r="I313" s="3" t="s">
        <v>3016</v>
      </c>
      <c r="J313" s="3" t="s">
        <v>3518</v>
      </c>
      <c r="K313" s="3" t="s">
        <v>3525</v>
      </c>
      <c r="L313" s="3" t="s">
        <v>3813</v>
      </c>
      <c r="M313">
        <v>34.590000000000003</v>
      </c>
      <c r="N313">
        <v>83</v>
      </c>
      <c r="O313">
        <f>Supply_Chain[[#This Row],[Unit_Price]]*Supply_Chain[[#This Row],[Quantity]]</f>
        <v>2870.9700000000003</v>
      </c>
      <c r="P313" t="s">
        <v>1071</v>
      </c>
      <c r="Q313" t="s">
        <v>48</v>
      </c>
      <c r="R313" t="s">
        <v>327</v>
      </c>
      <c r="S313" t="s">
        <v>70</v>
      </c>
      <c r="T313" t="s">
        <v>60</v>
      </c>
      <c r="U313" t="s">
        <v>370</v>
      </c>
      <c r="V313">
        <v>4274</v>
      </c>
      <c r="W313">
        <v>386</v>
      </c>
      <c r="X313">
        <v>22</v>
      </c>
      <c r="Y313">
        <v>105.9</v>
      </c>
      <c r="Z313">
        <v>114.25</v>
      </c>
      <c r="AA313" s="9">
        <v>220.15</v>
      </c>
      <c r="AB313" t="s">
        <v>52</v>
      </c>
      <c r="AC313">
        <v>0</v>
      </c>
      <c r="AD313">
        <v>77.599999999999994</v>
      </c>
      <c r="AE313">
        <v>120</v>
      </c>
      <c r="AF313">
        <v>139</v>
      </c>
      <c r="AG313" s="11">
        <f>Supply_Chain[[#This Row],[Total_Cost]]/Supply_Chain[[#This Row],[Stock_On_Hand]]</f>
        <v>5.1509124941506786E-2</v>
      </c>
    </row>
    <row r="314" spans="1:33" x14ac:dyDescent="0.25">
      <c r="A314" t="s">
        <v>1072</v>
      </c>
      <c r="B314" t="s">
        <v>1073</v>
      </c>
      <c r="C314" s="1">
        <v>45650</v>
      </c>
      <c r="D314" s="1">
        <v>45333</v>
      </c>
      <c r="E314" t="s">
        <v>43</v>
      </c>
      <c r="F314" t="s">
        <v>31</v>
      </c>
      <c r="G314" t="s">
        <v>91</v>
      </c>
      <c r="H314" t="s">
        <v>92</v>
      </c>
      <c r="I314" s="3" t="s">
        <v>2952</v>
      </c>
      <c r="J314" s="3" t="s">
        <v>3518</v>
      </c>
      <c r="K314" s="3" t="s">
        <v>3525</v>
      </c>
      <c r="L314" s="3" t="s">
        <v>3750</v>
      </c>
      <c r="M314">
        <v>474.38</v>
      </c>
      <c r="N314">
        <v>62</v>
      </c>
      <c r="O314">
        <f>Supply_Chain[[#This Row],[Unit_Price]]*Supply_Chain[[#This Row],[Quantity]]</f>
        <v>29411.56</v>
      </c>
      <c r="P314" t="s">
        <v>656</v>
      </c>
      <c r="Q314" t="s">
        <v>110</v>
      </c>
      <c r="R314" t="s">
        <v>111</v>
      </c>
      <c r="S314" t="s">
        <v>50</v>
      </c>
      <c r="T314" t="s">
        <v>79</v>
      </c>
      <c r="U314" t="s">
        <v>182</v>
      </c>
      <c r="V314">
        <v>4372</v>
      </c>
      <c r="W314">
        <v>308</v>
      </c>
      <c r="X314">
        <v>22</v>
      </c>
      <c r="Y314">
        <v>1808.28</v>
      </c>
      <c r="Z314">
        <v>385.12</v>
      </c>
      <c r="AA314" s="9">
        <v>2193.4</v>
      </c>
      <c r="AB314" t="s">
        <v>52</v>
      </c>
      <c r="AC314">
        <v>0</v>
      </c>
      <c r="AD314">
        <v>97.24</v>
      </c>
      <c r="AE314">
        <v>74</v>
      </c>
      <c r="AF314">
        <v>113</v>
      </c>
      <c r="AG314" s="11">
        <f>Supply_Chain[[#This Row],[Total_Cost]]/Supply_Chain[[#This Row],[Stock_On_Hand]]</f>
        <v>0.5016925892040256</v>
      </c>
    </row>
    <row r="315" spans="1:33" x14ac:dyDescent="0.25">
      <c r="A315" t="s">
        <v>1074</v>
      </c>
      <c r="B315" t="s">
        <v>1075</v>
      </c>
      <c r="C315" s="1">
        <v>44371</v>
      </c>
      <c r="D315" s="1">
        <v>44268</v>
      </c>
      <c r="E315" t="s">
        <v>43</v>
      </c>
      <c r="F315" t="s">
        <v>115</v>
      </c>
      <c r="G315" t="s">
        <v>247</v>
      </c>
      <c r="H315" t="s">
        <v>66</v>
      </c>
      <c r="I315" s="3" t="s">
        <v>3017</v>
      </c>
      <c r="J315" s="3" t="s">
        <v>3518</v>
      </c>
      <c r="K315" s="3" t="s">
        <v>3525</v>
      </c>
      <c r="L315" s="3" t="s">
        <v>3814</v>
      </c>
      <c r="M315">
        <v>81.760000000000005</v>
      </c>
      <c r="N315">
        <v>60</v>
      </c>
      <c r="O315">
        <f>Supply_Chain[[#This Row],[Unit_Price]]*Supply_Chain[[#This Row],[Quantity]]</f>
        <v>4905.6000000000004</v>
      </c>
      <c r="P315" t="s">
        <v>1076</v>
      </c>
      <c r="Q315" t="s">
        <v>110</v>
      </c>
      <c r="R315" t="s">
        <v>264</v>
      </c>
      <c r="S315" t="s">
        <v>50</v>
      </c>
      <c r="T315" t="s">
        <v>79</v>
      </c>
      <c r="U315" t="s">
        <v>770</v>
      </c>
      <c r="V315">
        <v>3495</v>
      </c>
      <c r="W315">
        <v>125</v>
      </c>
      <c r="X315">
        <v>22</v>
      </c>
      <c r="Y315">
        <v>169.91</v>
      </c>
      <c r="Z315">
        <v>235.23</v>
      </c>
      <c r="AA315" s="9">
        <v>405.14</v>
      </c>
      <c r="AB315" t="s">
        <v>52</v>
      </c>
      <c r="AC315">
        <v>0</v>
      </c>
      <c r="AD315">
        <v>84.05</v>
      </c>
      <c r="AE315">
        <v>109</v>
      </c>
      <c r="AF315">
        <v>84</v>
      </c>
      <c r="AG315" s="11">
        <f>Supply_Chain[[#This Row],[Total_Cost]]/Supply_Chain[[#This Row],[Stock_On_Hand]]</f>
        <v>0.11591988555078683</v>
      </c>
    </row>
    <row r="316" spans="1:33" x14ac:dyDescent="0.25">
      <c r="A316" t="s">
        <v>1077</v>
      </c>
      <c r="B316" t="s">
        <v>1078</v>
      </c>
      <c r="C316" s="1">
        <v>45300</v>
      </c>
      <c r="D316" s="1">
        <v>45153</v>
      </c>
      <c r="E316" t="s">
        <v>43</v>
      </c>
      <c r="F316" t="s">
        <v>31</v>
      </c>
      <c r="G316" t="s">
        <v>56</v>
      </c>
      <c r="H316" t="s">
        <v>128</v>
      </c>
      <c r="I316" s="3" t="s">
        <v>3018</v>
      </c>
      <c r="J316" s="3" t="s">
        <v>3518</v>
      </c>
      <c r="K316" s="3" t="s">
        <v>3522</v>
      </c>
      <c r="L316" s="3" t="s">
        <v>3815</v>
      </c>
      <c r="M316">
        <v>115.69</v>
      </c>
      <c r="N316">
        <v>69</v>
      </c>
      <c r="O316">
        <f>Supply_Chain[[#This Row],[Unit_Price]]*Supply_Chain[[#This Row],[Quantity]]</f>
        <v>7982.61</v>
      </c>
      <c r="P316" t="s">
        <v>1079</v>
      </c>
      <c r="Q316" t="s">
        <v>48</v>
      </c>
      <c r="R316" t="s">
        <v>78</v>
      </c>
      <c r="S316" t="s">
        <v>37</v>
      </c>
      <c r="T316" t="s">
        <v>60</v>
      </c>
      <c r="U316" t="s">
        <v>207</v>
      </c>
      <c r="V316">
        <v>2791</v>
      </c>
      <c r="W316">
        <v>174</v>
      </c>
      <c r="X316">
        <v>16</v>
      </c>
      <c r="Y316">
        <v>245.36</v>
      </c>
      <c r="Z316">
        <v>367.06</v>
      </c>
      <c r="AA316" s="9">
        <v>612.42000000000007</v>
      </c>
      <c r="AB316" t="s">
        <v>52</v>
      </c>
      <c r="AC316">
        <v>0</v>
      </c>
      <c r="AD316">
        <v>77.78</v>
      </c>
      <c r="AE316">
        <v>423</v>
      </c>
      <c r="AF316">
        <v>383</v>
      </c>
      <c r="AG316" s="11">
        <f>Supply_Chain[[#This Row],[Total_Cost]]/Supply_Chain[[#This Row],[Stock_On_Hand]]</f>
        <v>0.21942672877104982</v>
      </c>
    </row>
    <row r="317" spans="1:33" x14ac:dyDescent="0.25">
      <c r="A317" t="s">
        <v>1080</v>
      </c>
      <c r="B317" t="s">
        <v>1081</v>
      </c>
      <c r="C317" s="1">
        <v>43892</v>
      </c>
      <c r="D317" s="1">
        <v>45587</v>
      </c>
      <c r="E317" t="s">
        <v>55</v>
      </c>
      <c r="F317" t="s">
        <v>44</v>
      </c>
      <c r="G317" t="s">
        <v>45</v>
      </c>
      <c r="H317" t="s">
        <v>166</v>
      </c>
      <c r="I317" s="3" t="s">
        <v>3019</v>
      </c>
      <c r="J317" s="3" t="s">
        <v>3518</v>
      </c>
      <c r="K317" s="3" t="s">
        <v>3522</v>
      </c>
      <c r="L317" s="3" t="s">
        <v>3816</v>
      </c>
      <c r="M317">
        <v>260.05</v>
      </c>
      <c r="N317">
        <v>59</v>
      </c>
      <c r="O317">
        <f>Supply_Chain[[#This Row],[Unit_Price]]*Supply_Chain[[#This Row],[Quantity]]</f>
        <v>15342.95</v>
      </c>
      <c r="P317" t="s">
        <v>727</v>
      </c>
      <c r="Q317" t="s">
        <v>110</v>
      </c>
      <c r="R317" t="s">
        <v>264</v>
      </c>
      <c r="S317" t="s">
        <v>37</v>
      </c>
      <c r="T317" t="s">
        <v>71</v>
      </c>
      <c r="U317" t="s">
        <v>80</v>
      </c>
      <c r="V317">
        <v>1081</v>
      </c>
      <c r="W317">
        <v>327</v>
      </c>
      <c r="X317">
        <v>27</v>
      </c>
      <c r="Y317">
        <v>1818.91</v>
      </c>
      <c r="Z317">
        <v>372.44</v>
      </c>
      <c r="AA317" s="9">
        <v>2191.35</v>
      </c>
      <c r="AB317" t="s">
        <v>52</v>
      </c>
      <c r="AC317">
        <v>0</v>
      </c>
      <c r="AD317">
        <v>79.650000000000006</v>
      </c>
      <c r="AE317">
        <v>291</v>
      </c>
      <c r="AF317">
        <v>260</v>
      </c>
      <c r="AG317" s="11">
        <f>Supply_Chain[[#This Row],[Total_Cost]]/Supply_Chain[[#This Row],[Stock_On_Hand]]</f>
        <v>2.0271507863089733</v>
      </c>
    </row>
    <row r="318" spans="1:33" x14ac:dyDescent="0.25">
      <c r="A318" t="s">
        <v>1082</v>
      </c>
      <c r="B318" t="s">
        <v>1083</v>
      </c>
      <c r="C318" s="1">
        <v>43949</v>
      </c>
      <c r="D318" s="1">
        <v>45231</v>
      </c>
      <c r="E318" t="s">
        <v>43</v>
      </c>
      <c r="F318" t="s">
        <v>44</v>
      </c>
      <c r="G318" t="s">
        <v>65</v>
      </c>
      <c r="H318" t="s">
        <v>128</v>
      </c>
      <c r="I318" s="3" t="s">
        <v>2934</v>
      </c>
      <c r="J318" s="3" t="s">
        <v>3518</v>
      </c>
      <c r="K318" s="3" t="s">
        <v>3521</v>
      </c>
      <c r="L318" s="3" t="s">
        <v>3733</v>
      </c>
      <c r="M318">
        <v>18.329999999999998</v>
      </c>
      <c r="N318">
        <v>13</v>
      </c>
      <c r="O318">
        <f>Supply_Chain[[#This Row],[Unit_Price]]*Supply_Chain[[#This Row],[Quantity]]</f>
        <v>238.28999999999996</v>
      </c>
      <c r="P318" t="s">
        <v>1084</v>
      </c>
      <c r="Q318" t="s">
        <v>68</v>
      </c>
      <c r="R318" t="s">
        <v>176</v>
      </c>
      <c r="S318" t="s">
        <v>50</v>
      </c>
      <c r="T318" t="s">
        <v>71</v>
      </c>
      <c r="U318" t="s">
        <v>389</v>
      </c>
      <c r="V318">
        <v>1012</v>
      </c>
      <c r="W318">
        <v>357</v>
      </c>
      <c r="X318">
        <v>28</v>
      </c>
      <c r="Y318">
        <v>1759.5</v>
      </c>
      <c r="Z318">
        <v>153.87</v>
      </c>
      <c r="AA318" s="9">
        <v>1913.37</v>
      </c>
      <c r="AB318" t="s">
        <v>52</v>
      </c>
      <c r="AC318">
        <v>0</v>
      </c>
      <c r="AD318">
        <v>83.64</v>
      </c>
      <c r="AE318">
        <v>244</v>
      </c>
      <c r="AF318">
        <v>236</v>
      </c>
      <c r="AG318" s="11">
        <f>Supply_Chain[[#This Row],[Total_Cost]]/Supply_Chain[[#This Row],[Stock_On_Hand]]</f>
        <v>1.8906818181818181</v>
      </c>
    </row>
    <row r="319" spans="1:33" x14ac:dyDescent="0.25">
      <c r="A319" t="s">
        <v>1085</v>
      </c>
      <c r="B319" t="s">
        <v>661</v>
      </c>
      <c r="C319" s="1">
        <v>44066</v>
      </c>
      <c r="D319" s="1">
        <v>44742</v>
      </c>
      <c r="E319" t="s">
        <v>55</v>
      </c>
      <c r="F319" t="s">
        <v>115</v>
      </c>
      <c r="G319" t="s">
        <v>32</v>
      </c>
      <c r="H319" t="s">
        <v>92</v>
      </c>
      <c r="I319" s="3" t="s">
        <v>3020</v>
      </c>
      <c r="J319" s="3" t="s">
        <v>3518</v>
      </c>
      <c r="K319" s="3" t="s">
        <v>3521</v>
      </c>
      <c r="L319" s="3" t="s">
        <v>3817</v>
      </c>
      <c r="M319">
        <v>161.59</v>
      </c>
      <c r="N319">
        <v>49</v>
      </c>
      <c r="O319">
        <f>Supply_Chain[[#This Row],[Unit_Price]]*Supply_Chain[[#This Row],[Quantity]]</f>
        <v>7917.91</v>
      </c>
      <c r="P319" t="s">
        <v>1086</v>
      </c>
      <c r="Q319" t="s">
        <v>68</v>
      </c>
      <c r="R319" t="s">
        <v>653</v>
      </c>
      <c r="S319" t="s">
        <v>50</v>
      </c>
      <c r="T319" t="s">
        <v>79</v>
      </c>
      <c r="U319" t="s">
        <v>370</v>
      </c>
      <c r="V319">
        <v>1119</v>
      </c>
      <c r="W319">
        <v>430</v>
      </c>
      <c r="X319">
        <v>22</v>
      </c>
      <c r="Y319">
        <v>390.29</v>
      </c>
      <c r="Z319">
        <v>21.3</v>
      </c>
      <c r="AA319" s="9">
        <v>411.59</v>
      </c>
      <c r="AB319" t="s">
        <v>52</v>
      </c>
      <c r="AC319">
        <v>0</v>
      </c>
      <c r="AD319">
        <v>96.28</v>
      </c>
      <c r="AE319">
        <v>266</v>
      </c>
      <c r="AF319">
        <v>226</v>
      </c>
      <c r="AG319" s="11">
        <f>Supply_Chain[[#This Row],[Total_Cost]]/Supply_Chain[[#This Row],[Stock_On_Hand]]</f>
        <v>0.36781948168007145</v>
      </c>
    </row>
    <row r="320" spans="1:33" x14ac:dyDescent="0.25">
      <c r="A320" t="s">
        <v>1087</v>
      </c>
      <c r="B320" t="s">
        <v>1088</v>
      </c>
      <c r="C320" s="1">
        <v>45005</v>
      </c>
      <c r="D320" s="1">
        <v>44140</v>
      </c>
      <c r="E320" t="s">
        <v>55</v>
      </c>
      <c r="F320" t="s">
        <v>31</v>
      </c>
      <c r="G320" t="s">
        <v>56</v>
      </c>
      <c r="H320" t="s">
        <v>128</v>
      </c>
      <c r="I320" s="3" t="s">
        <v>2820</v>
      </c>
      <c r="J320" s="3" t="s">
        <v>3518</v>
      </c>
      <c r="K320" s="3" t="s">
        <v>3524</v>
      </c>
      <c r="L320" s="3" t="s">
        <v>3619</v>
      </c>
      <c r="M320">
        <v>434.8</v>
      </c>
      <c r="N320">
        <v>98</v>
      </c>
      <c r="O320">
        <f>Supply_Chain[[#This Row],[Unit_Price]]*Supply_Chain[[#This Row],[Quantity]]</f>
        <v>42610.400000000001</v>
      </c>
      <c r="P320" t="s">
        <v>662</v>
      </c>
      <c r="Q320" t="s">
        <v>86</v>
      </c>
      <c r="R320" t="s">
        <v>49</v>
      </c>
      <c r="S320" t="s">
        <v>50</v>
      </c>
      <c r="T320" t="s">
        <v>100</v>
      </c>
      <c r="U320" t="s">
        <v>125</v>
      </c>
      <c r="V320">
        <v>3115</v>
      </c>
      <c r="W320">
        <v>321</v>
      </c>
      <c r="X320">
        <v>27</v>
      </c>
      <c r="Y320">
        <v>1285.57</v>
      </c>
      <c r="Z320">
        <v>395.25</v>
      </c>
      <c r="AA320" s="9">
        <v>1680.82</v>
      </c>
      <c r="AB320" t="s">
        <v>52</v>
      </c>
      <c r="AC320">
        <v>0</v>
      </c>
      <c r="AD320">
        <v>83.3</v>
      </c>
      <c r="AE320">
        <v>441</v>
      </c>
      <c r="AF320">
        <v>468</v>
      </c>
      <c r="AG320" s="11">
        <f>Supply_Chain[[#This Row],[Total_Cost]]/Supply_Chain[[#This Row],[Stock_On_Hand]]</f>
        <v>0.53958908507223113</v>
      </c>
    </row>
    <row r="321" spans="1:33" x14ac:dyDescent="0.25">
      <c r="A321" t="s">
        <v>1089</v>
      </c>
      <c r="B321" t="s">
        <v>1090</v>
      </c>
      <c r="C321" s="1">
        <v>44116</v>
      </c>
      <c r="D321" s="1">
        <v>44278</v>
      </c>
      <c r="E321" t="s">
        <v>55</v>
      </c>
      <c r="F321" t="s">
        <v>115</v>
      </c>
      <c r="G321" t="s">
        <v>65</v>
      </c>
      <c r="H321" t="s">
        <v>92</v>
      </c>
      <c r="I321" s="3" t="s">
        <v>3021</v>
      </c>
      <c r="J321" s="3" t="s">
        <v>3518</v>
      </c>
      <c r="K321" s="3" t="s">
        <v>3524</v>
      </c>
      <c r="L321" s="3" t="s">
        <v>3818</v>
      </c>
      <c r="M321">
        <v>148.68</v>
      </c>
      <c r="N321">
        <v>12</v>
      </c>
      <c r="O321">
        <f>Supply_Chain[[#This Row],[Unit_Price]]*Supply_Chain[[#This Row],[Quantity]]</f>
        <v>1784.16</v>
      </c>
      <c r="P321" t="s">
        <v>1091</v>
      </c>
      <c r="Q321" t="s">
        <v>86</v>
      </c>
      <c r="R321" t="s">
        <v>236</v>
      </c>
      <c r="S321" t="s">
        <v>50</v>
      </c>
      <c r="T321" t="s">
        <v>60</v>
      </c>
      <c r="U321" t="s">
        <v>125</v>
      </c>
      <c r="V321">
        <v>2949</v>
      </c>
      <c r="W321">
        <v>360</v>
      </c>
      <c r="X321">
        <v>16</v>
      </c>
      <c r="Y321">
        <v>847.71</v>
      </c>
      <c r="Z321">
        <v>457.99</v>
      </c>
      <c r="AA321" s="9">
        <v>1305.7</v>
      </c>
      <c r="AB321" t="s">
        <v>52</v>
      </c>
      <c r="AC321">
        <v>0</v>
      </c>
      <c r="AD321">
        <v>81.19</v>
      </c>
      <c r="AE321">
        <v>81</v>
      </c>
      <c r="AF321">
        <v>74</v>
      </c>
      <c r="AG321" s="11">
        <f>Supply_Chain[[#This Row],[Total_Cost]]/Supply_Chain[[#This Row],[Stock_On_Hand]]</f>
        <v>0.44276025771447952</v>
      </c>
    </row>
    <row r="322" spans="1:33" x14ac:dyDescent="0.25">
      <c r="A322" t="s">
        <v>1092</v>
      </c>
      <c r="B322" t="s">
        <v>1093</v>
      </c>
      <c r="C322" s="1">
        <v>45553</v>
      </c>
      <c r="D322" s="1">
        <v>44899</v>
      </c>
      <c r="E322" t="s">
        <v>43</v>
      </c>
      <c r="F322" t="s">
        <v>31</v>
      </c>
      <c r="G322" t="s">
        <v>247</v>
      </c>
      <c r="H322" t="s">
        <v>33</v>
      </c>
      <c r="I322" s="3" t="s">
        <v>3022</v>
      </c>
      <c r="J322" s="3" t="s">
        <v>3518</v>
      </c>
      <c r="K322" s="3" t="s">
        <v>3524</v>
      </c>
      <c r="L322" s="3" t="s">
        <v>3819</v>
      </c>
      <c r="M322">
        <v>444.98</v>
      </c>
      <c r="N322">
        <v>31</v>
      </c>
      <c r="O322">
        <f>Supply_Chain[[#This Row],[Unit_Price]]*Supply_Chain[[#This Row],[Quantity]]</f>
        <v>13794.380000000001</v>
      </c>
      <c r="P322" t="s">
        <v>1094</v>
      </c>
      <c r="Q322" t="s">
        <v>35</v>
      </c>
      <c r="R322" t="s">
        <v>231</v>
      </c>
      <c r="S322" t="s">
        <v>37</v>
      </c>
      <c r="T322" t="s">
        <v>38</v>
      </c>
      <c r="U322" t="s">
        <v>131</v>
      </c>
      <c r="V322">
        <v>1050</v>
      </c>
      <c r="W322">
        <v>259</v>
      </c>
      <c r="X322">
        <v>18</v>
      </c>
      <c r="Y322">
        <v>1375.21</v>
      </c>
      <c r="Z322">
        <v>166.39</v>
      </c>
      <c r="AA322" s="9">
        <v>1541.6</v>
      </c>
      <c r="AB322" t="s">
        <v>52</v>
      </c>
      <c r="AC322">
        <v>0</v>
      </c>
      <c r="AD322">
        <v>89.92</v>
      </c>
      <c r="AE322">
        <v>378</v>
      </c>
      <c r="AF322">
        <v>370</v>
      </c>
      <c r="AG322" s="11">
        <f>Supply_Chain[[#This Row],[Total_Cost]]/Supply_Chain[[#This Row],[Stock_On_Hand]]</f>
        <v>1.468190476190476</v>
      </c>
    </row>
    <row r="323" spans="1:33" x14ac:dyDescent="0.25">
      <c r="A323" t="s">
        <v>1095</v>
      </c>
      <c r="B323" t="s">
        <v>1096</v>
      </c>
      <c r="C323" s="1">
        <v>44892</v>
      </c>
      <c r="D323" s="1">
        <v>45004</v>
      </c>
      <c r="E323" t="s">
        <v>55</v>
      </c>
      <c r="F323" t="s">
        <v>64</v>
      </c>
      <c r="G323" t="s">
        <v>45</v>
      </c>
      <c r="H323" t="s">
        <v>46</v>
      </c>
      <c r="I323" s="3" t="s">
        <v>3023</v>
      </c>
      <c r="J323" s="3" t="s">
        <v>3518</v>
      </c>
      <c r="K323" s="3" t="s">
        <v>3535</v>
      </c>
      <c r="L323" s="3" t="s">
        <v>3820</v>
      </c>
      <c r="M323">
        <v>67.19</v>
      </c>
      <c r="N323">
        <v>33</v>
      </c>
      <c r="O323">
        <f>Supply_Chain[[#This Row],[Unit_Price]]*Supply_Chain[[#This Row],[Quantity]]</f>
        <v>2217.27</v>
      </c>
      <c r="P323" t="s">
        <v>1097</v>
      </c>
      <c r="Q323" t="s">
        <v>35</v>
      </c>
      <c r="R323" t="s">
        <v>78</v>
      </c>
      <c r="S323" t="s">
        <v>50</v>
      </c>
      <c r="T323" t="s">
        <v>100</v>
      </c>
      <c r="U323" t="s">
        <v>389</v>
      </c>
      <c r="V323">
        <v>2248</v>
      </c>
      <c r="W323">
        <v>74</v>
      </c>
      <c r="X323">
        <v>17</v>
      </c>
      <c r="Y323">
        <v>1632.49</v>
      </c>
      <c r="Z323">
        <v>184.66</v>
      </c>
      <c r="AA323" s="9">
        <v>1817.15</v>
      </c>
      <c r="AB323" t="s">
        <v>52</v>
      </c>
      <c r="AC323">
        <v>0</v>
      </c>
      <c r="AD323">
        <v>91.71</v>
      </c>
      <c r="AE323">
        <v>172</v>
      </c>
      <c r="AF323">
        <v>197</v>
      </c>
      <c r="AG323" s="11">
        <f>Supply_Chain[[#This Row],[Total_Cost]]/Supply_Chain[[#This Row],[Stock_On_Hand]]</f>
        <v>0.80834074733096084</v>
      </c>
    </row>
    <row r="324" spans="1:33" x14ac:dyDescent="0.25">
      <c r="A324" t="s">
        <v>1098</v>
      </c>
      <c r="B324" t="s">
        <v>1099</v>
      </c>
      <c r="C324" s="1">
        <v>43879</v>
      </c>
      <c r="D324" s="1">
        <v>44157</v>
      </c>
      <c r="E324" t="s">
        <v>43</v>
      </c>
      <c r="F324" t="s">
        <v>31</v>
      </c>
      <c r="G324" t="s">
        <v>45</v>
      </c>
      <c r="H324" t="s">
        <v>92</v>
      </c>
      <c r="I324" s="3" t="s">
        <v>2832</v>
      </c>
      <c r="J324" s="3" t="s">
        <v>3519</v>
      </c>
      <c r="K324" s="3" t="s">
        <v>3528</v>
      </c>
      <c r="L324" s="3" t="s">
        <v>3631</v>
      </c>
      <c r="M324">
        <v>368.08</v>
      </c>
      <c r="N324">
        <v>26</v>
      </c>
      <c r="O324">
        <f>Supply_Chain[[#This Row],[Unit_Price]]*Supply_Chain[[#This Row],[Quantity]]</f>
        <v>9570.08</v>
      </c>
      <c r="P324" t="s">
        <v>244</v>
      </c>
      <c r="Q324" t="s">
        <v>35</v>
      </c>
      <c r="R324" t="s">
        <v>145</v>
      </c>
      <c r="S324" t="s">
        <v>50</v>
      </c>
      <c r="T324" t="s">
        <v>100</v>
      </c>
      <c r="U324" t="s">
        <v>232</v>
      </c>
      <c r="V324">
        <v>990</v>
      </c>
      <c r="W324">
        <v>223</v>
      </c>
      <c r="X324">
        <v>1</v>
      </c>
      <c r="Y324">
        <v>602.34</v>
      </c>
      <c r="Z324">
        <v>68.13</v>
      </c>
      <c r="AA324" s="9">
        <v>670.47</v>
      </c>
      <c r="AB324" t="s">
        <v>52</v>
      </c>
      <c r="AC324">
        <v>0</v>
      </c>
      <c r="AD324">
        <v>77.27</v>
      </c>
      <c r="AE324">
        <v>114</v>
      </c>
      <c r="AF324">
        <v>115</v>
      </c>
      <c r="AG324" s="11">
        <f>Supply_Chain[[#This Row],[Total_Cost]]/Supply_Chain[[#This Row],[Stock_On_Hand]]</f>
        <v>0.67724242424242431</v>
      </c>
    </row>
    <row r="325" spans="1:33" x14ac:dyDescent="0.25">
      <c r="A325" t="s">
        <v>1100</v>
      </c>
      <c r="B325" t="s">
        <v>1101</v>
      </c>
      <c r="C325" s="1">
        <v>44779</v>
      </c>
      <c r="D325" s="1">
        <v>45455</v>
      </c>
      <c r="E325" t="s">
        <v>55</v>
      </c>
      <c r="F325" t="s">
        <v>44</v>
      </c>
      <c r="G325" t="s">
        <v>56</v>
      </c>
      <c r="H325" t="s">
        <v>33</v>
      </c>
      <c r="I325" s="3" t="s">
        <v>3024</v>
      </c>
      <c r="J325" s="3" t="s">
        <v>84</v>
      </c>
      <c r="K325" s="3" t="s">
        <v>3529</v>
      </c>
      <c r="L325" s="3" t="s">
        <v>3821</v>
      </c>
      <c r="M325">
        <v>74.599999999999994</v>
      </c>
      <c r="N325">
        <v>48</v>
      </c>
      <c r="O325">
        <f>Supply_Chain[[#This Row],[Unit_Price]]*Supply_Chain[[#This Row],[Quantity]]</f>
        <v>3580.7999999999997</v>
      </c>
      <c r="P325" t="s">
        <v>1102</v>
      </c>
      <c r="Q325" t="s">
        <v>110</v>
      </c>
      <c r="R325" t="s">
        <v>214</v>
      </c>
      <c r="S325" t="s">
        <v>37</v>
      </c>
      <c r="T325" t="s">
        <v>60</v>
      </c>
      <c r="U325" t="s">
        <v>265</v>
      </c>
      <c r="V325">
        <v>3024</v>
      </c>
      <c r="W325">
        <v>353</v>
      </c>
      <c r="X325">
        <v>26</v>
      </c>
      <c r="Y325">
        <v>571.69000000000005</v>
      </c>
      <c r="Z325">
        <v>10.44</v>
      </c>
      <c r="AA325" s="9">
        <v>582.13000000000011</v>
      </c>
      <c r="AB325" t="s">
        <v>52</v>
      </c>
      <c r="AC325">
        <v>0</v>
      </c>
      <c r="AD325">
        <v>71.540000000000006</v>
      </c>
      <c r="AE325">
        <v>477</v>
      </c>
      <c r="AF325">
        <v>437</v>
      </c>
      <c r="AG325" s="11">
        <f>Supply_Chain[[#This Row],[Total_Cost]]/Supply_Chain[[#This Row],[Stock_On_Hand]]</f>
        <v>0.19250330687830691</v>
      </c>
    </row>
    <row r="326" spans="1:33" x14ac:dyDescent="0.25">
      <c r="A326" t="s">
        <v>1103</v>
      </c>
      <c r="B326" t="s">
        <v>1104</v>
      </c>
      <c r="C326" s="1">
        <v>45025</v>
      </c>
      <c r="D326" s="1">
        <v>44180</v>
      </c>
      <c r="E326" t="s">
        <v>55</v>
      </c>
      <c r="F326" t="s">
        <v>64</v>
      </c>
      <c r="G326" t="s">
        <v>56</v>
      </c>
      <c r="H326" t="s">
        <v>116</v>
      </c>
      <c r="I326" s="3" t="s">
        <v>3025</v>
      </c>
      <c r="J326" s="3" t="s">
        <v>84</v>
      </c>
      <c r="K326" s="3" t="s">
        <v>3529</v>
      </c>
      <c r="L326" s="3" t="s">
        <v>3822</v>
      </c>
      <c r="M326">
        <v>488.27</v>
      </c>
      <c r="N326">
        <v>31</v>
      </c>
      <c r="O326">
        <f>Supply_Chain[[#This Row],[Unit_Price]]*Supply_Chain[[#This Row],[Quantity]]</f>
        <v>15136.369999999999</v>
      </c>
      <c r="P326" t="s">
        <v>1105</v>
      </c>
      <c r="Q326" t="s">
        <v>48</v>
      </c>
      <c r="R326" t="s">
        <v>118</v>
      </c>
      <c r="S326" t="s">
        <v>37</v>
      </c>
      <c r="T326" t="s">
        <v>38</v>
      </c>
      <c r="U326" t="s">
        <v>611</v>
      </c>
      <c r="V326">
        <v>1605</v>
      </c>
      <c r="W326">
        <v>229</v>
      </c>
      <c r="X326">
        <v>10</v>
      </c>
      <c r="Y326">
        <v>1398.28</v>
      </c>
      <c r="Z326">
        <v>12.55</v>
      </c>
      <c r="AA326" s="9">
        <v>1410.83</v>
      </c>
      <c r="AB326" t="s">
        <v>52</v>
      </c>
      <c r="AC326">
        <v>0</v>
      </c>
      <c r="AD326">
        <v>92.16</v>
      </c>
      <c r="AE326">
        <v>396</v>
      </c>
      <c r="AF326">
        <v>394</v>
      </c>
      <c r="AG326" s="11">
        <f>Supply_Chain[[#This Row],[Total_Cost]]/Supply_Chain[[#This Row],[Stock_On_Hand]]</f>
        <v>0.87902180685358255</v>
      </c>
    </row>
    <row r="327" spans="1:33" x14ac:dyDescent="0.25">
      <c r="A327" t="s">
        <v>1106</v>
      </c>
      <c r="B327" t="s">
        <v>1107</v>
      </c>
      <c r="C327" s="1">
        <v>43885</v>
      </c>
      <c r="D327" s="1">
        <v>44122</v>
      </c>
      <c r="E327" t="s">
        <v>55</v>
      </c>
      <c r="F327" t="s">
        <v>44</v>
      </c>
      <c r="G327" t="s">
        <v>45</v>
      </c>
      <c r="H327" t="s">
        <v>46</v>
      </c>
      <c r="I327" s="3" t="s">
        <v>3026</v>
      </c>
      <c r="J327" s="3" t="s">
        <v>84</v>
      </c>
      <c r="K327" s="3" t="s">
        <v>3534</v>
      </c>
      <c r="L327" s="3" t="s">
        <v>3823</v>
      </c>
      <c r="M327">
        <v>412.38</v>
      </c>
      <c r="N327">
        <v>71</v>
      </c>
      <c r="O327">
        <f>Supply_Chain[[#This Row],[Unit_Price]]*Supply_Chain[[#This Row],[Quantity]]</f>
        <v>29278.98</v>
      </c>
      <c r="P327" t="s">
        <v>834</v>
      </c>
      <c r="Q327" t="s">
        <v>48</v>
      </c>
      <c r="R327" t="s">
        <v>78</v>
      </c>
      <c r="S327" t="s">
        <v>37</v>
      </c>
      <c r="T327" t="s">
        <v>100</v>
      </c>
      <c r="U327" t="s">
        <v>203</v>
      </c>
      <c r="V327">
        <v>4511</v>
      </c>
      <c r="W327">
        <v>54</v>
      </c>
      <c r="X327">
        <v>20</v>
      </c>
      <c r="Y327">
        <v>1633.48</v>
      </c>
      <c r="Z327">
        <v>53.47</v>
      </c>
      <c r="AA327" s="9">
        <v>1686.95</v>
      </c>
      <c r="AB327" t="s">
        <v>52</v>
      </c>
      <c r="AC327">
        <v>0</v>
      </c>
      <c r="AD327">
        <v>83.12</v>
      </c>
      <c r="AE327">
        <v>411</v>
      </c>
      <c r="AF327">
        <v>445</v>
      </c>
      <c r="AG327" s="11">
        <f>Supply_Chain[[#This Row],[Total_Cost]]/Supply_Chain[[#This Row],[Stock_On_Hand]]</f>
        <v>0.37396364442473956</v>
      </c>
    </row>
    <row r="328" spans="1:33" x14ac:dyDescent="0.25">
      <c r="A328" t="s">
        <v>1108</v>
      </c>
      <c r="B328" t="s">
        <v>1109</v>
      </c>
      <c r="C328" s="1">
        <v>45633</v>
      </c>
      <c r="D328" s="1">
        <v>44915</v>
      </c>
      <c r="E328" t="s">
        <v>30</v>
      </c>
      <c r="F328" t="s">
        <v>44</v>
      </c>
      <c r="G328" t="s">
        <v>91</v>
      </c>
      <c r="H328" t="s">
        <v>57</v>
      </c>
      <c r="I328" s="3" t="s">
        <v>3027</v>
      </c>
      <c r="J328" s="3" t="s">
        <v>84</v>
      </c>
      <c r="K328" s="3" t="s">
        <v>3534</v>
      </c>
      <c r="L328" s="3" t="s">
        <v>3824</v>
      </c>
      <c r="M328">
        <v>288.37</v>
      </c>
      <c r="N328">
        <v>82</v>
      </c>
      <c r="O328">
        <f>Supply_Chain[[#This Row],[Unit_Price]]*Supply_Chain[[#This Row],[Quantity]]</f>
        <v>23646.34</v>
      </c>
      <c r="P328" t="s">
        <v>210</v>
      </c>
      <c r="Q328" t="s">
        <v>86</v>
      </c>
      <c r="R328" t="s">
        <v>87</v>
      </c>
      <c r="S328" t="s">
        <v>50</v>
      </c>
      <c r="T328" t="s">
        <v>38</v>
      </c>
      <c r="U328" t="s">
        <v>196</v>
      </c>
      <c r="V328">
        <v>3927</v>
      </c>
      <c r="W328">
        <v>377</v>
      </c>
      <c r="X328">
        <v>27</v>
      </c>
      <c r="Y328">
        <v>109.87</v>
      </c>
      <c r="Z328">
        <v>424.9</v>
      </c>
      <c r="AA328" s="9">
        <v>534.77</v>
      </c>
      <c r="AB328" t="s">
        <v>52</v>
      </c>
      <c r="AC328">
        <v>0</v>
      </c>
      <c r="AD328">
        <v>78.31</v>
      </c>
      <c r="AE328">
        <v>426</v>
      </c>
      <c r="AF328">
        <v>399</v>
      </c>
      <c r="AG328" s="11">
        <f>Supply_Chain[[#This Row],[Total_Cost]]/Supply_Chain[[#This Row],[Stock_On_Hand]]</f>
        <v>0.13617774382480263</v>
      </c>
    </row>
    <row r="329" spans="1:33" x14ac:dyDescent="0.25">
      <c r="A329" t="s">
        <v>1110</v>
      </c>
      <c r="B329" t="s">
        <v>1111</v>
      </c>
      <c r="C329" s="1">
        <v>44428</v>
      </c>
      <c r="D329" s="1">
        <v>43976</v>
      </c>
      <c r="E329" t="s">
        <v>30</v>
      </c>
      <c r="F329" t="s">
        <v>64</v>
      </c>
      <c r="G329" t="s">
        <v>32</v>
      </c>
      <c r="H329" t="s">
        <v>128</v>
      </c>
      <c r="I329" s="3" t="s">
        <v>3028</v>
      </c>
      <c r="J329" s="3" t="s">
        <v>3518</v>
      </c>
      <c r="K329" s="3" t="s">
        <v>3525</v>
      </c>
      <c r="L329" s="3" t="s">
        <v>3825</v>
      </c>
      <c r="M329">
        <v>85.45</v>
      </c>
      <c r="N329">
        <v>27</v>
      </c>
      <c r="O329">
        <f>Supply_Chain[[#This Row],[Unit_Price]]*Supply_Chain[[#This Row],[Quantity]]</f>
        <v>2307.15</v>
      </c>
      <c r="P329" t="s">
        <v>1112</v>
      </c>
      <c r="Q329" t="s">
        <v>35</v>
      </c>
      <c r="R329" t="s">
        <v>111</v>
      </c>
      <c r="S329" t="s">
        <v>50</v>
      </c>
      <c r="T329" t="s">
        <v>71</v>
      </c>
      <c r="U329" t="s">
        <v>265</v>
      </c>
      <c r="V329">
        <v>1917</v>
      </c>
      <c r="W329">
        <v>355</v>
      </c>
      <c r="X329">
        <v>7</v>
      </c>
      <c r="Y329">
        <v>167.97</v>
      </c>
      <c r="Z329">
        <v>319.38</v>
      </c>
      <c r="AA329" s="9">
        <v>487.35</v>
      </c>
      <c r="AB329" t="s">
        <v>52</v>
      </c>
      <c r="AC329">
        <v>0</v>
      </c>
      <c r="AD329">
        <v>97.17</v>
      </c>
      <c r="AE329">
        <v>166</v>
      </c>
      <c r="AF329">
        <v>165</v>
      </c>
      <c r="AG329" s="11">
        <f>Supply_Chain[[#This Row],[Total_Cost]]/Supply_Chain[[#This Row],[Stock_On_Hand]]</f>
        <v>0.25422535211267605</v>
      </c>
    </row>
    <row r="330" spans="1:33" x14ac:dyDescent="0.25">
      <c r="A330" t="s">
        <v>1113</v>
      </c>
      <c r="B330" t="s">
        <v>1114</v>
      </c>
      <c r="C330" s="1">
        <v>45220</v>
      </c>
      <c r="D330" s="1">
        <v>43891</v>
      </c>
      <c r="E330" t="s">
        <v>43</v>
      </c>
      <c r="F330" t="s">
        <v>64</v>
      </c>
      <c r="G330" t="s">
        <v>65</v>
      </c>
      <c r="H330" t="s">
        <v>33</v>
      </c>
      <c r="I330" s="3" t="s">
        <v>3029</v>
      </c>
      <c r="J330" s="3" t="s">
        <v>3518</v>
      </c>
      <c r="K330" s="3" t="s">
        <v>3522</v>
      </c>
      <c r="L330" s="3" t="s">
        <v>3826</v>
      </c>
      <c r="M330">
        <v>201.32</v>
      </c>
      <c r="N330">
        <v>13</v>
      </c>
      <c r="O330">
        <f>Supply_Chain[[#This Row],[Unit_Price]]*Supply_Chain[[#This Row],[Quantity]]</f>
        <v>2617.16</v>
      </c>
      <c r="P330" t="s">
        <v>614</v>
      </c>
      <c r="Q330" t="s">
        <v>68</v>
      </c>
      <c r="R330" t="s">
        <v>236</v>
      </c>
      <c r="S330" t="s">
        <v>37</v>
      </c>
      <c r="T330" t="s">
        <v>100</v>
      </c>
      <c r="U330" t="s">
        <v>389</v>
      </c>
      <c r="V330">
        <v>71</v>
      </c>
      <c r="W330">
        <v>400</v>
      </c>
      <c r="X330">
        <v>24</v>
      </c>
      <c r="Y330">
        <v>140.58000000000001</v>
      </c>
      <c r="Z330">
        <v>113.57</v>
      </c>
      <c r="AA330" s="9">
        <v>254.15</v>
      </c>
      <c r="AB330" t="s">
        <v>52</v>
      </c>
      <c r="AC330">
        <v>0</v>
      </c>
      <c r="AD330">
        <v>82.27</v>
      </c>
      <c r="AE330">
        <v>255</v>
      </c>
      <c r="AF330">
        <v>208</v>
      </c>
      <c r="AG330" s="11">
        <f>Supply_Chain[[#This Row],[Total_Cost]]/Supply_Chain[[#This Row],[Stock_On_Hand]]</f>
        <v>3.5795774647887324</v>
      </c>
    </row>
    <row r="331" spans="1:33" x14ac:dyDescent="0.25">
      <c r="A331" t="s">
        <v>1115</v>
      </c>
      <c r="B331" t="s">
        <v>1116</v>
      </c>
      <c r="C331" s="1">
        <v>43900</v>
      </c>
      <c r="D331" s="1">
        <v>45118</v>
      </c>
      <c r="E331" t="s">
        <v>43</v>
      </c>
      <c r="F331" t="s">
        <v>75</v>
      </c>
      <c r="G331" t="s">
        <v>76</v>
      </c>
      <c r="H331" t="s">
        <v>33</v>
      </c>
      <c r="I331" s="3" t="s">
        <v>3030</v>
      </c>
      <c r="J331" s="3" t="s">
        <v>3518</v>
      </c>
      <c r="K331" s="3" t="s">
        <v>3522</v>
      </c>
      <c r="L331" s="3" t="s">
        <v>3827</v>
      </c>
      <c r="M331">
        <v>114.67</v>
      </c>
      <c r="N331">
        <v>92</v>
      </c>
      <c r="O331">
        <f>Supply_Chain[[#This Row],[Unit_Price]]*Supply_Chain[[#This Row],[Quantity]]</f>
        <v>10549.64</v>
      </c>
      <c r="P331" t="s">
        <v>1117</v>
      </c>
      <c r="Q331" t="s">
        <v>110</v>
      </c>
      <c r="R331" t="s">
        <v>69</v>
      </c>
      <c r="S331" t="s">
        <v>70</v>
      </c>
      <c r="T331" t="s">
        <v>100</v>
      </c>
      <c r="U331" t="s">
        <v>389</v>
      </c>
      <c r="V331">
        <v>864</v>
      </c>
      <c r="W331">
        <v>419</v>
      </c>
      <c r="X331">
        <v>4</v>
      </c>
      <c r="Y331">
        <v>1669.6</v>
      </c>
      <c r="Z331">
        <v>397.87</v>
      </c>
      <c r="AA331" s="9">
        <v>2067.4699999999998</v>
      </c>
      <c r="AB331" t="s">
        <v>52</v>
      </c>
      <c r="AC331">
        <v>0</v>
      </c>
      <c r="AD331">
        <v>78.87</v>
      </c>
      <c r="AE331">
        <v>456</v>
      </c>
      <c r="AF331">
        <v>471</v>
      </c>
      <c r="AG331" s="11">
        <f>Supply_Chain[[#This Row],[Total_Cost]]/Supply_Chain[[#This Row],[Stock_On_Hand]]</f>
        <v>2.3929050925925925</v>
      </c>
    </row>
    <row r="332" spans="1:33" x14ac:dyDescent="0.25">
      <c r="A332" t="s">
        <v>1118</v>
      </c>
      <c r="B332" t="s">
        <v>1119</v>
      </c>
      <c r="C332" s="1">
        <v>44505</v>
      </c>
      <c r="D332" s="1">
        <v>44323</v>
      </c>
      <c r="E332" t="s">
        <v>43</v>
      </c>
      <c r="F332" t="s">
        <v>75</v>
      </c>
      <c r="G332" t="s">
        <v>91</v>
      </c>
      <c r="H332" t="s">
        <v>66</v>
      </c>
      <c r="I332" s="3" t="s">
        <v>3031</v>
      </c>
      <c r="J332" s="3" t="s">
        <v>3518</v>
      </c>
      <c r="K332" s="3" t="s">
        <v>3521</v>
      </c>
      <c r="L332" s="3" t="s">
        <v>3828</v>
      </c>
      <c r="M332">
        <v>20.45</v>
      </c>
      <c r="N332">
        <v>5</v>
      </c>
      <c r="O332">
        <f>Supply_Chain[[#This Row],[Unit_Price]]*Supply_Chain[[#This Row],[Quantity]]</f>
        <v>102.25</v>
      </c>
      <c r="P332" t="s">
        <v>1120</v>
      </c>
      <c r="Q332" t="s">
        <v>48</v>
      </c>
      <c r="R332" t="s">
        <v>145</v>
      </c>
      <c r="S332" t="s">
        <v>70</v>
      </c>
      <c r="T332" t="s">
        <v>60</v>
      </c>
      <c r="U332" t="s">
        <v>196</v>
      </c>
      <c r="V332">
        <v>1259</v>
      </c>
      <c r="W332">
        <v>275</v>
      </c>
      <c r="X332">
        <v>5</v>
      </c>
      <c r="Y332">
        <v>1881.61</v>
      </c>
      <c r="Z332">
        <v>334.16</v>
      </c>
      <c r="AA332" s="9">
        <v>2215.77</v>
      </c>
      <c r="AB332" t="s">
        <v>52</v>
      </c>
      <c r="AC332">
        <v>0</v>
      </c>
      <c r="AD332">
        <v>74.05</v>
      </c>
      <c r="AE332">
        <v>289</v>
      </c>
      <c r="AF332">
        <v>273</v>
      </c>
      <c r="AG332" s="11">
        <f>Supply_Chain[[#This Row],[Total_Cost]]/Supply_Chain[[#This Row],[Stock_On_Hand]]</f>
        <v>1.7599444003177125</v>
      </c>
    </row>
    <row r="333" spans="1:33" x14ac:dyDescent="0.25">
      <c r="A333" t="s">
        <v>1121</v>
      </c>
      <c r="B333" t="s">
        <v>1122</v>
      </c>
      <c r="C333" s="1">
        <v>44866</v>
      </c>
      <c r="D333" s="1">
        <v>45077</v>
      </c>
      <c r="E333" t="s">
        <v>55</v>
      </c>
      <c r="F333" t="s">
        <v>75</v>
      </c>
      <c r="G333" t="s">
        <v>83</v>
      </c>
      <c r="H333" t="s">
        <v>57</v>
      </c>
      <c r="I333" s="3" t="s">
        <v>3032</v>
      </c>
      <c r="J333" s="3" t="s">
        <v>3518</v>
      </c>
      <c r="K333" s="3" t="s">
        <v>3521</v>
      </c>
      <c r="L333" s="3" t="s">
        <v>3829</v>
      </c>
      <c r="M333">
        <v>443.34</v>
      </c>
      <c r="N333">
        <v>20</v>
      </c>
      <c r="O333">
        <f>Supply_Chain[[#This Row],[Unit_Price]]*Supply_Chain[[#This Row],[Quantity]]</f>
        <v>8866.7999999999993</v>
      </c>
      <c r="P333" t="s">
        <v>1019</v>
      </c>
      <c r="Q333" t="s">
        <v>68</v>
      </c>
      <c r="R333" t="s">
        <v>269</v>
      </c>
      <c r="S333" t="s">
        <v>37</v>
      </c>
      <c r="T333" t="s">
        <v>100</v>
      </c>
      <c r="U333" t="s">
        <v>611</v>
      </c>
      <c r="V333">
        <v>3253</v>
      </c>
      <c r="W333">
        <v>205</v>
      </c>
      <c r="X333">
        <v>23</v>
      </c>
      <c r="Y333">
        <v>319.27</v>
      </c>
      <c r="Z333">
        <v>264.20999999999998</v>
      </c>
      <c r="AA333" s="9">
        <v>583.48</v>
      </c>
      <c r="AB333" t="s">
        <v>52</v>
      </c>
      <c r="AC333">
        <v>0</v>
      </c>
      <c r="AD333">
        <v>89.79</v>
      </c>
      <c r="AE333">
        <v>372</v>
      </c>
      <c r="AF333">
        <v>346</v>
      </c>
      <c r="AG333" s="11">
        <f>Supply_Chain[[#This Row],[Total_Cost]]/Supply_Chain[[#This Row],[Stock_On_Hand]]</f>
        <v>0.17936673839532741</v>
      </c>
    </row>
    <row r="334" spans="1:33" x14ac:dyDescent="0.25">
      <c r="A334" t="s">
        <v>1123</v>
      </c>
      <c r="B334" t="s">
        <v>1124</v>
      </c>
      <c r="C334" s="1">
        <v>44090</v>
      </c>
      <c r="D334" s="1">
        <v>44433</v>
      </c>
      <c r="E334" t="s">
        <v>43</v>
      </c>
      <c r="F334" t="s">
        <v>75</v>
      </c>
      <c r="G334" t="s">
        <v>247</v>
      </c>
      <c r="H334" t="s">
        <v>92</v>
      </c>
      <c r="I334" s="3" t="s">
        <v>3033</v>
      </c>
      <c r="J334" s="3" t="s">
        <v>3518</v>
      </c>
      <c r="K334" s="3" t="s">
        <v>3535</v>
      </c>
      <c r="L334" s="3" t="s">
        <v>3830</v>
      </c>
      <c r="M334">
        <v>265.19</v>
      </c>
      <c r="N334">
        <v>43</v>
      </c>
      <c r="O334">
        <f>Supply_Chain[[#This Row],[Unit_Price]]*Supply_Chain[[#This Row],[Quantity]]</f>
        <v>11403.17</v>
      </c>
      <c r="P334" t="s">
        <v>1125</v>
      </c>
      <c r="Q334" t="s">
        <v>110</v>
      </c>
      <c r="R334" t="s">
        <v>176</v>
      </c>
      <c r="S334" t="s">
        <v>50</v>
      </c>
      <c r="T334" t="s">
        <v>100</v>
      </c>
      <c r="U334" t="s">
        <v>619</v>
      </c>
      <c r="V334">
        <v>1614</v>
      </c>
      <c r="W334">
        <v>161</v>
      </c>
      <c r="X334">
        <v>24</v>
      </c>
      <c r="Y334">
        <v>320.54000000000002</v>
      </c>
      <c r="Z334">
        <v>495.57</v>
      </c>
      <c r="AA334" s="9">
        <v>816.11</v>
      </c>
      <c r="AB334" t="s">
        <v>52</v>
      </c>
      <c r="AC334">
        <v>0</v>
      </c>
      <c r="AD334">
        <v>82.78</v>
      </c>
      <c r="AE334">
        <v>207</v>
      </c>
      <c r="AF334">
        <v>179</v>
      </c>
      <c r="AG334" s="11">
        <f>Supply_Chain[[#This Row],[Total_Cost]]/Supply_Chain[[#This Row],[Stock_On_Hand]]</f>
        <v>0.50564436183395289</v>
      </c>
    </row>
    <row r="335" spans="1:33" x14ac:dyDescent="0.25">
      <c r="A335" t="s">
        <v>1126</v>
      </c>
      <c r="B335" t="s">
        <v>1127</v>
      </c>
      <c r="C335" s="1">
        <v>44876</v>
      </c>
      <c r="D335" s="1">
        <v>44082</v>
      </c>
      <c r="E335" t="s">
        <v>55</v>
      </c>
      <c r="F335" t="s">
        <v>64</v>
      </c>
      <c r="G335" t="s">
        <v>56</v>
      </c>
      <c r="H335" t="s">
        <v>57</v>
      </c>
      <c r="I335" s="3" t="s">
        <v>3034</v>
      </c>
      <c r="J335" s="3" t="s">
        <v>3519</v>
      </c>
      <c r="K335" s="3" t="s">
        <v>3530</v>
      </c>
      <c r="L335" s="3" t="s">
        <v>3831</v>
      </c>
      <c r="M335">
        <v>367.36</v>
      </c>
      <c r="N335">
        <v>50</v>
      </c>
      <c r="O335">
        <f>Supply_Chain[[#This Row],[Unit_Price]]*Supply_Chain[[#This Row],[Quantity]]</f>
        <v>18368</v>
      </c>
      <c r="P335" t="s">
        <v>530</v>
      </c>
      <c r="Q335" t="s">
        <v>68</v>
      </c>
      <c r="R335" t="s">
        <v>610</v>
      </c>
      <c r="S335" t="s">
        <v>70</v>
      </c>
      <c r="T335" t="s">
        <v>100</v>
      </c>
      <c r="U335" t="s">
        <v>168</v>
      </c>
      <c r="V335">
        <v>3373</v>
      </c>
      <c r="W335">
        <v>107</v>
      </c>
      <c r="X335">
        <v>21</v>
      </c>
      <c r="Y335">
        <v>1142.1099999999999</v>
      </c>
      <c r="Z335">
        <v>326.73</v>
      </c>
      <c r="AA335" s="9">
        <v>1468.84</v>
      </c>
      <c r="AB335" t="s">
        <v>52</v>
      </c>
      <c r="AC335">
        <v>0</v>
      </c>
      <c r="AD335">
        <v>79.959999999999994</v>
      </c>
      <c r="AE335">
        <v>476</v>
      </c>
      <c r="AF335">
        <v>436</v>
      </c>
      <c r="AG335" s="11">
        <f>Supply_Chain[[#This Row],[Total_Cost]]/Supply_Chain[[#This Row],[Stock_On_Hand]]</f>
        <v>0.43546990809368513</v>
      </c>
    </row>
    <row r="336" spans="1:33" x14ac:dyDescent="0.25">
      <c r="A336" t="s">
        <v>1128</v>
      </c>
      <c r="B336" t="s">
        <v>1129</v>
      </c>
      <c r="C336" s="1">
        <v>43874</v>
      </c>
      <c r="D336" s="1">
        <v>44778</v>
      </c>
      <c r="E336" t="s">
        <v>55</v>
      </c>
      <c r="F336" t="s">
        <v>115</v>
      </c>
      <c r="G336" t="s">
        <v>65</v>
      </c>
      <c r="H336" t="s">
        <v>116</v>
      </c>
      <c r="I336" s="3" t="s">
        <v>3035</v>
      </c>
      <c r="J336" s="3" t="s">
        <v>3519</v>
      </c>
      <c r="K336" s="3" t="s">
        <v>3530</v>
      </c>
      <c r="L336" s="3" t="s">
        <v>3832</v>
      </c>
      <c r="M336">
        <v>62.8</v>
      </c>
      <c r="N336">
        <v>75</v>
      </c>
      <c r="O336">
        <f>Supply_Chain[[#This Row],[Unit_Price]]*Supply_Chain[[#This Row],[Quantity]]</f>
        <v>4710</v>
      </c>
      <c r="P336" t="s">
        <v>1062</v>
      </c>
      <c r="Q336" t="s">
        <v>110</v>
      </c>
      <c r="R336" t="s">
        <v>419</v>
      </c>
      <c r="S336" t="s">
        <v>50</v>
      </c>
      <c r="T336" t="s">
        <v>38</v>
      </c>
      <c r="U336" t="s">
        <v>249</v>
      </c>
      <c r="V336">
        <v>2668</v>
      </c>
      <c r="W336">
        <v>481</v>
      </c>
      <c r="X336">
        <v>9</v>
      </c>
      <c r="Y336">
        <v>80.31</v>
      </c>
      <c r="Z336">
        <v>125.24</v>
      </c>
      <c r="AA336" s="9">
        <v>205.55</v>
      </c>
      <c r="AB336" t="s">
        <v>52</v>
      </c>
      <c r="AC336">
        <v>0</v>
      </c>
      <c r="AD336">
        <v>99.17</v>
      </c>
      <c r="AE336">
        <v>408</v>
      </c>
      <c r="AF336">
        <v>406</v>
      </c>
      <c r="AG336" s="11">
        <f>Supply_Chain[[#This Row],[Total_Cost]]/Supply_Chain[[#This Row],[Stock_On_Hand]]</f>
        <v>7.7042728635682164E-2</v>
      </c>
    </row>
    <row r="337" spans="1:33" x14ac:dyDescent="0.25">
      <c r="A337" t="s">
        <v>1130</v>
      </c>
      <c r="B337" t="s">
        <v>1131</v>
      </c>
      <c r="C337" s="1">
        <v>45560</v>
      </c>
      <c r="D337" s="1">
        <v>44805</v>
      </c>
      <c r="E337" t="s">
        <v>55</v>
      </c>
      <c r="F337" t="s">
        <v>31</v>
      </c>
      <c r="G337" t="s">
        <v>32</v>
      </c>
      <c r="H337" t="s">
        <v>46</v>
      </c>
      <c r="I337" s="3" t="s">
        <v>3036</v>
      </c>
      <c r="J337" s="3" t="s">
        <v>3519</v>
      </c>
      <c r="K337" s="3" t="s">
        <v>3530</v>
      </c>
      <c r="L337" s="3" t="s">
        <v>3833</v>
      </c>
      <c r="M337">
        <v>121.68</v>
      </c>
      <c r="N337">
        <v>59</v>
      </c>
      <c r="O337">
        <f>Supply_Chain[[#This Row],[Unit_Price]]*Supply_Chain[[#This Row],[Quantity]]</f>
        <v>7179.1200000000008</v>
      </c>
      <c r="P337" t="s">
        <v>1132</v>
      </c>
      <c r="Q337" t="s">
        <v>48</v>
      </c>
      <c r="R337" t="s">
        <v>87</v>
      </c>
      <c r="S337" t="s">
        <v>70</v>
      </c>
      <c r="T337" t="s">
        <v>60</v>
      </c>
      <c r="U337" t="s">
        <v>440</v>
      </c>
      <c r="V337">
        <v>2504</v>
      </c>
      <c r="W337">
        <v>97</v>
      </c>
      <c r="X337">
        <v>5</v>
      </c>
      <c r="Y337">
        <v>141.19999999999999</v>
      </c>
      <c r="Z337">
        <v>171.69</v>
      </c>
      <c r="AA337" s="9">
        <v>312.89</v>
      </c>
      <c r="AB337" t="s">
        <v>40</v>
      </c>
      <c r="AC337">
        <v>5</v>
      </c>
      <c r="AD337">
        <v>88.32</v>
      </c>
      <c r="AE337">
        <v>418</v>
      </c>
      <c r="AF337">
        <v>421</v>
      </c>
      <c r="AG337" s="11">
        <f>Supply_Chain[[#This Row],[Total_Cost]]/Supply_Chain[[#This Row],[Stock_On_Hand]]</f>
        <v>0.12495607028753992</v>
      </c>
    </row>
    <row r="338" spans="1:33" x14ac:dyDescent="0.25">
      <c r="A338" t="s">
        <v>1133</v>
      </c>
      <c r="B338" t="s">
        <v>1134</v>
      </c>
      <c r="C338" s="1">
        <v>44076</v>
      </c>
      <c r="D338" s="1">
        <v>44567</v>
      </c>
      <c r="E338" t="s">
        <v>55</v>
      </c>
      <c r="F338" t="s">
        <v>75</v>
      </c>
      <c r="G338" t="s">
        <v>56</v>
      </c>
      <c r="H338" t="s">
        <v>92</v>
      </c>
      <c r="I338" s="3" t="s">
        <v>3037</v>
      </c>
      <c r="J338" s="3" t="s">
        <v>84</v>
      </c>
      <c r="K338" s="3" t="s">
        <v>3529</v>
      </c>
      <c r="L338" s="3" t="s">
        <v>3834</v>
      </c>
      <c r="M338">
        <v>462.78</v>
      </c>
      <c r="N338">
        <v>59</v>
      </c>
      <c r="O338">
        <f>Supply_Chain[[#This Row],[Unit_Price]]*Supply_Chain[[#This Row],[Quantity]]</f>
        <v>27304.019999999997</v>
      </c>
      <c r="P338" t="s">
        <v>1135</v>
      </c>
      <c r="Q338" t="s">
        <v>68</v>
      </c>
      <c r="R338" t="s">
        <v>231</v>
      </c>
      <c r="S338" t="s">
        <v>50</v>
      </c>
      <c r="T338" t="s">
        <v>60</v>
      </c>
      <c r="U338" t="s">
        <v>131</v>
      </c>
      <c r="V338">
        <v>4228</v>
      </c>
      <c r="W338">
        <v>401</v>
      </c>
      <c r="X338">
        <v>17</v>
      </c>
      <c r="Y338">
        <v>777.06</v>
      </c>
      <c r="Z338">
        <v>330.13</v>
      </c>
      <c r="AA338" s="9">
        <v>1107.19</v>
      </c>
      <c r="AB338" t="s">
        <v>52</v>
      </c>
      <c r="AC338">
        <v>0</v>
      </c>
      <c r="AD338">
        <v>87.28</v>
      </c>
      <c r="AE338">
        <v>214</v>
      </c>
      <c r="AF338">
        <v>193</v>
      </c>
      <c r="AG338" s="11">
        <f>Supply_Chain[[#This Row],[Total_Cost]]/Supply_Chain[[#This Row],[Stock_On_Hand]]</f>
        <v>0.26187086092715234</v>
      </c>
    </row>
    <row r="339" spans="1:33" x14ac:dyDescent="0.25">
      <c r="A339" t="s">
        <v>1136</v>
      </c>
      <c r="B339" t="s">
        <v>1137</v>
      </c>
      <c r="C339" s="1">
        <v>44798</v>
      </c>
      <c r="D339" s="1">
        <v>45433</v>
      </c>
      <c r="E339" t="s">
        <v>55</v>
      </c>
      <c r="F339" t="s">
        <v>115</v>
      </c>
      <c r="G339" t="s">
        <v>247</v>
      </c>
      <c r="H339" t="s">
        <v>166</v>
      </c>
      <c r="I339" s="3" t="s">
        <v>3038</v>
      </c>
      <c r="J339" s="3" t="s">
        <v>3518</v>
      </c>
      <c r="K339" s="3" t="s">
        <v>3521</v>
      </c>
      <c r="L339" s="3" t="s">
        <v>3835</v>
      </c>
      <c r="M339">
        <v>63.77</v>
      </c>
      <c r="N339">
        <v>20</v>
      </c>
      <c r="O339">
        <f>Supply_Chain[[#This Row],[Unit_Price]]*Supply_Chain[[#This Row],[Quantity]]</f>
        <v>1275.4000000000001</v>
      </c>
      <c r="P339" t="s">
        <v>1138</v>
      </c>
      <c r="Q339" t="s">
        <v>86</v>
      </c>
      <c r="R339" t="s">
        <v>480</v>
      </c>
      <c r="S339" t="s">
        <v>70</v>
      </c>
      <c r="T339" t="s">
        <v>60</v>
      </c>
      <c r="U339" t="s">
        <v>669</v>
      </c>
      <c r="V339">
        <v>3926</v>
      </c>
      <c r="W339">
        <v>84</v>
      </c>
      <c r="X339">
        <v>10</v>
      </c>
      <c r="Y339">
        <v>1378.05</v>
      </c>
      <c r="Z339">
        <v>33.08</v>
      </c>
      <c r="AA339" s="9">
        <v>1411.13</v>
      </c>
      <c r="AB339" t="s">
        <v>52</v>
      </c>
      <c r="AC339">
        <v>0</v>
      </c>
      <c r="AD339">
        <v>88.5</v>
      </c>
      <c r="AE339">
        <v>206</v>
      </c>
      <c r="AF339">
        <v>246</v>
      </c>
      <c r="AG339" s="11">
        <f>Supply_Chain[[#This Row],[Total_Cost]]/Supply_Chain[[#This Row],[Stock_On_Hand]]</f>
        <v>0.35943199184921043</v>
      </c>
    </row>
    <row r="340" spans="1:33" x14ac:dyDescent="0.25">
      <c r="A340" t="s">
        <v>1139</v>
      </c>
      <c r="B340" t="s">
        <v>1140</v>
      </c>
      <c r="C340" s="1">
        <v>44814</v>
      </c>
      <c r="D340" s="1">
        <v>44912</v>
      </c>
      <c r="E340" t="s">
        <v>55</v>
      </c>
      <c r="F340" t="s">
        <v>31</v>
      </c>
      <c r="G340" t="s">
        <v>83</v>
      </c>
      <c r="H340" t="s">
        <v>128</v>
      </c>
      <c r="I340" s="3" t="s">
        <v>3039</v>
      </c>
      <c r="J340" s="3" t="s">
        <v>3518</v>
      </c>
      <c r="K340" s="3" t="s">
        <v>3521</v>
      </c>
      <c r="L340" s="3" t="s">
        <v>3836</v>
      </c>
      <c r="M340">
        <v>144.91999999999999</v>
      </c>
      <c r="N340">
        <v>97</v>
      </c>
      <c r="O340">
        <f>Supply_Chain[[#This Row],[Unit_Price]]*Supply_Chain[[#This Row],[Quantity]]</f>
        <v>14057.239999999998</v>
      </c>
      <c r="P340" t="s">
        <v>1141</v>
      </c>
      <c r="Q340" t="s">
        <v>86</v>
      </c>
      <c r="R340" t="s">
        <v>172</v>
      </c>
      <c r="S340" t="s">
        <v>119</v>
      </c>
      <c r="T340" t="s">
        <v>100</v>
      </c>
      <c r="U340" t="s">
        <v>270</v>
      </c>
      <c r="V340">
        <v>2514</v>
      </c>
      <c r="W340">
        <v>280</v>
      </c>
      <c r="X340">
        <v>25</v>
      </c>
      <c r="Y340">
        <v>157.4</v>
      </c>
      <c r="Z340">
        <v>22.03</v>
      </c>
      <c r="AA340" s="9">
        <v>179.43</v>
      </c>
      <c r="AB340" t="s">
        <v>52</v>
      </c>
      <c r="AC340">
        <v>0</v>
      </c>
      <c r="AD340">
        <v>73.319999999999993</v>
      </c>
      <c r="AE340">
        <v>484</v>
      </c>
      <c r="AF340">
        <v>530</v>
      </c>
      <c r="AG340" s="11">
        <f>Supply_Chain[[#This Row],[Total_Cost]]/Supply_Chain[[#This Row],[Stock_On_Hand]]</f>
        <v>7.1372315035799522E-2</v>
      </c>
    </row>
    <row r="341" spans="1:33" x14ac:dyDescent="0.25">
      <c r="A341" t="s">
        <v>1142</v>
      </c>
      <c r="B341" t="s">
        <v>1143</v>
      </c>
      <c r="C341" s="1">
        <v>43849</v>
      </c>
      <c r="D341" s="1">
        <v>43930</v>
      </c>
      <c r="E341" t="s">
        <v>55</v>
      </c>
      <c r="F341" t="s">
        <v>64</v>
      </c>
      <c r="G341" t="s">
        <v>65</v>
      </c>
      <c r="H341" t="s">
        <v>33</v>
      </c>
      <c r="I341" s="3" t="s">
        <v>2979</v>
      </c>
      <c r="J341" s="3" t="s">
        <v>3519</v>
      </c>
      <c r="K341" s="3" t="s">
        <v>3528</v>
      </c>
      <c r="L341" s="3" t="s">
        <v>3777</v>
      </c>
      <c r="M341">
        <v>400.03</v>
      </c>
      <c r="N341">
        <v>10</v>
      </c>
      <c r="O341">
        <f>Supply_Chain[[#This Row],[Unit_Price]]*Supply_Chain[[#This Row],[Quantity]]</f>
        <v>4000.2999999999997</v>
      </c>
      <c r="P341" t="s">
        <v>1025</v>
      </c>
      <c r="Q341" t="s">
        <v>86</v>
      </c>
      <c r="R341" t="s">
        <v>176</v>
      </c>
      <c r="S341" t="s">
        <v>50</v>
      </c>
      <c r="T341" t="s">
        <v>100</v>
      </c>
      <c r="U341" t="s">
        <v>223</v>
      </c>
      <c r="V341">
        <v>4892</v>
      </c>
      <c r="W341">
        <v>246</v>
      </c>
      <c r="X341">
        <v>26</v>
      </c>
      <c r="Y341">
        <v>530.94000000000005</v>
      </c>
      <c r="Z341">
        <v>290.38</v>
      </c>
      <c r="AA341" s="9">
        <v>821.32</v>
      </c>
      <c r="AB341" t="s">
        <v>52</v>
      </c>
      <c r="AC341">
        <v>0</v>
      </c>
      <c r="AD341">
        <v>99.65</v>
      </c>
      <c r="AE341">
        <v>284</v>
      </c>
      <c r="AF341">
        <v>254</v>
      </c>
      <c r="AG341" s="11">
        <f>Supply_Chain[[#This Row],[Total_Cost]]/Supply_Chain[[#This Row],[Stock_On_Hand]]</f>
        <v>0.16789043336058873</v>
      </c>
    </row>
    <row r="342" spans="1:33" x14ac:dyDescent="0.25">
      <c r="A342" t="s">
        <v>1144</v>
      </c>
      <c r="B342" t="s">
        <v>1145</v>
      </c>
      <c r="C342" s="1">
        <v>44052</v>
      </c>
      <c r="D342" s="1">
        <v>45497</v>
      </c>
      <c r="E342" t="s">
        <v>55</v>
      </c>
      <c r="F342" t="s">
        <v>75</v>
      </c>
      <c r="G342" t="s">
        <v>83</v>
      </c>
      <c r="H342" t="s">
        <v>33</v>
      </c>
      <c r="I342" s="3" t="s">
        <v>3040</v>
      </c>
      <c r="J342" s="3" t="s">
        <v>3519</v>
      </c>
      <c r="K342" s="3" t="s">
        <v>3528</v>
      </c>
      <c r="L342" s="3" t="s">
        <v>3837</v>
      </c>
      <c r="M342">
        <v>316.11</v>
      </c>
      <c r="N342">
        <v>33</v>
      </c>
      <c r="O342">
        <f>Supply_Chain[[#This Row],[Unit_Price]]*Supply_Chain[[#This Row],[Quantity]]</f>
        <v>10431.630000000001</v>
      </c>
      <c r="P342" t="s">
        <v>1043</v>
      </c>
      <c r="Q342" t="s">
        <v>110</v>
      </c>
      <c r="R342" t="s">
        <v>135</v>
      </c>
      <c r="S342" t="s">
        <v>119</v>
      </c>
      <c r="T342" t="s">
        <v>79</v>
      </c>
      <c r="U342" t="s">
        <v>232</v>
      </c>
      <c r="V342">
        <v>132</v>
      </c>
      <c r="W342">
        <v>165</v>
      </c>
      <c r="X342">
        <v>4</v>
      </c>
      <c r="Y342">
        <v>198.14</v>
      </c>
      <c r="Z342">
        <v>321.39</v>
      </c>
      <c r="AA342" s="9">
        <v>519.53</v>
      </c>
      <c r="AB342" t="s">
        <v>52</v>
      </c>
      <c r="AC342">
        <v>0</v>
      </c>
      <c r="AD342">
        <v>89.11</v>
      </c>
      <c r="AE342">
        <v>58</v>
      </c>
      <c r="AF342">
        <v>68</v>
      </c>
      <c r="AG342" s="11">
        <f>Supply_Chain[[#This Row],[Total_Cost]]/Supply_Chain[[#This Row],[Stock_On_Hand]]</f>
        <v>3.9358333333333331</v>
      </c>
    </row>
    <row r="343" spans="1:33" x14ac:dyDescent="0.25">
      <c r="A343" t="s">
        <v>1146</v>
      </c>
      <c r="B343" t="s">
        <v>1147</v>
      </c>
      <c r="C343" s="1">
        <v>45348</v>
      </c>
      <c r="D343" s="1">
        <v>45302</v>
      </c>
      <c r="E343" t="s">
        <v>55</v>
      </c>
      <c r="F343" t="s">
        <v>44</v>
      </c>
      <c r="G343" t="s">
        <v>247</v>
      </c>
      <c r="H343" t="s">
        <v>116</v>
      </c>
      <c r="I343" s="3" t="s">
        <v>3041</v>
      </c>
      <c r="J343" s="3" t="s">
        <v>84</v>
      </c>
      <c r="K343" s="3" t="s">
        <v>3534</v>
      </c>
      <c r="L343" s="3" t="s">
        <v>3838</v>
      </c>
      <c r="M343">
        <v>191.27</v>
      </c>
      <c r="N343">
        <v>67</v>
      </c>
      <c r="O343">
        <f>Supply_Chain[[#This Row],[Unit_Price]]*Supply_Chain[[#This Row],[Quantity]]</f>
        <v>12815.09</v>
      </c>
      <c r="P343" t="s">
        <v>1148</v>
      </c>
      <c r="Q343" t="s">
        <v>110</v>
      </c>
      <c r="R343" t="s">
        <v>388</v>
      </c>
      <c r="S343" t="s">
        <v>119</v>
      </c>
      <c r="T343" t="s">
        <v>100</v>
      </c>
      <c r="U343" t="s">
        <v>120</v>
      </c>
      <c r="V343">
        <v>3972</v>
      </c>
      <c r="W343">
        <v>317</v>
      </c>
      <c r="X343">
        <v>14</v>
      </c>
      <c r="Y343">
        <v>1525.9</v>
      </c>
      <c r="Z343">
        <v>465.54</v>
      </c>
      <c r="AA343" s="9">
        <v>1991.44</v>
      </c>
      <c r="AB343" t="s">
        <v>52</v>
      </c>
      <c r="AC343">
        <v>0</v>
      </c>
      <c r="AD343">
        <v>70.47</v>
      </c>
      <c r="AE343">
        <v>70</v>
      </c>
      <c r="AF343">
        <v>43</v>
      </c>
      <c r="AG343" s="11">
        <f>Supply_Chain[[#This Row],[Total_Cost]]/Supply_Chain[[#This Row],[Stock_On_Hand]]</f>
        <v>0.50136958710976842</v>
      </c>
    </row>
    <row r="344" spans="1:33" x14ac:dyDescent="0.25">
      <c r="A344" t="s">
        <v>1149</v>
      </c>
      <c r="B344" t="s">
        <v>1150</v>
      </c>
      <c r="C344" s="1">
        <v>44471</v>
      </c>
      <c r="D344" s="1">
        <v>45604</v>
      </c>
      <c r="E344" t="s">
        <v>43</v>
      </c>
      <c r="F344" t="s">
        <v>44</v>
      </c>
      <c r="G344" t="s">
        <v>91</v>
      </c>
      <c r="H344" t="s">
        <v>46</v>
      </c>
      <c r="I344" s="3" t="s">
        <v>3042</v>
      </c>
      <c r="J344" s="3" t="s">
        <v>84</v>
      </c>
      <c r="K344" s="3" t="s">
        <v>3534</v>
      </c>
      <c r="L344" s="3" t="s">
        <v>3839</v>
      </c>
      <c r="M344">
        <v>186.61</v>
      </c>
      <c r="N344">
        <v>75</v>
      </c>
      <c r="O344">
        <f>Supply_Chain[[#This Row],[Unit_Price]]*Supply_Chain[[#This Row],[Quantity]]</f>
        <v>13995.750000000002</v>
      </c>
      <c r="P344" t="s">
        <v>1151</v>
      </c>
      <c r="Q344" t="s">
        <v>86</v>
      </c>
      <c r="R344" t="s">
        <v>327</v>
      </c>
      <c r="S344" t="s">
        <v>70</v>
      </c>
      <c r="T344" t="s">
        <v>100</v>
      </c>
      <c r="U344" t="s">
        <v>203</v>
      </c>
      <c r="V344">
        <v>808</v>
      </c>
      <c r="W344">
        <v>460</v>
      </c>
      <c r="X344">
        <v>12</v>
      </c>
      <c r="Y344">
        <v>79.27</v>
      </c>
      <c r="Z344">
        <v>128.79</v>
      </c>
      <c r="AA344" s="9">
        <v>208.06</v>
      </c>
      <c r="AB344" t="s">
        <v>52</v>
      </c>
      <c r="AC344">
        <v>0</v>
      </c>
      <c r="AD344">
        <v>74.25</v>
      </c>
      <c r="AE344">
        <v>358</v>
      </c>
      <c r="AF344">
        <v>363</v>
      </c>
      <c r="AG344" s="11">
        <f>Supply_Chain[[#This Row],[Total_Cost]]/Supply_Chain[[#This Row],[Stock_On_Hand]]</f>
        <v>0.25750000000000001</v>
      </c>
    </row>
    <row r="345" spans="1:33" x14ac:dyDescent="0.25">
      <c r="A345" t="s">
        <v>1152</v>
      </c>
      <c r="B345" t="s">
        <v>1153</v>
      </c>
      <c r="C345" s="1">
        <v>44479</v>
      </c>
      <c r="D345" s="1">
        <v>45176</v>
      </c>
      <c r="E345" t="s">
        <v>43</v>
      </c>
      <c r="F345" t="s">
        <v>44</v>
      </c>
      <c r="G345" t="s">
        <v>83</v>
      </c>
      <c r="H345" t="s">
        <v>116</v>
      </c>
      <c r="I345" s="3" t="s">
        <v>3043</v>
      </c>
      <c r="J345" s="3" t="s">
        <v>84</v>
      </c>
      <c r="K345" s="3" t="s">
        <v>3534</v>
      </c>
      <c r="L345" s="3" t="s">
        <v>3840</v>
      </c>
      <c r="M345">
        <v>309.44</v>
      </c>
      <c r="N345">
        <v>81</v>
      </c>
      <c r="O345">
        <f>Supply_Chain[[#This Row],[Unit_Price]]*Supply_Chain[[#This Row],[Quantity]]</f>
        <v>25064.639999999999</v>
      </c>
      <c r="P345" t="s">
        <v>1154</v>
      </c>
      <c r="Q345" t="s">
        <v>110</v>
      </c>
      <c r="R345" t="s">
        <v>181</v>
      </c>
      <c r="S345" t="s">
        <v>119</v>
      </c>
      <c r="T345" t="s">
        <v>60</v>
      </c>
      <c r="U345" t="s">
        <v>459</v>
      </c>
      <c r="V345">
        <v>1093</v>
      </c>
      <c r="W345">
        <v>364</v>
      </c>
      <c r="X345">
        <v>17</v>
      </c>
      <c r="Y345">
        <v>1412.55</v>
      </c>
      <c r="Z345">
        <v>61.49</v>
      </c>
      <c r="AA345" s="9">
        <v>1474.04</v>
      </c>
      <c r="AB345" t="s">
        <v>52</v>
      </c>
      <c r="AC345">
        <v>0</v>
      </c>
      <c r="AD345">
        <v>81.3</v>
      </c>
      <c r="AE345">
        <v>106</v>
      </c>
      <c r="AF345">
        <v>122</v>
      </c>
      <c r="AG345" s="11">
        <f>Supply_Chain[[#This Row],[Total_Cost]]/Supply_Chain[[#This Row],[Stock_On_Hand]]</f>
        <v>1.3486184812442819</v>
      </c>
    </row>
    <row r="346" spans="1:33" x14ac:dyDescent="0.25">
      <c r="A346" t="s">
        <v>1155</v>
      </c>
      <c r="B346" t="s">
        <v>655</v>
      </c>
      <c r="C346" s="1">
        <v>43995</v>
      </c>
      <c r="D346" s="1">
        <v>45099</v>
      </c>
      <c r="E346" t="s">
        <v>43</v>
      </c>
      <c r="F346" t="s">
        <v>75</v>
      </c>
      <c r="G346" t="s">
        <v>83</v>
      </c>
      <c r="H346" t="s">
        <v>92</v>
      </c>
      <c r="I346" s="3" t="s">
        <v>3044</v>
      </c>
      <c r="J346" s="3" t="s">
        <v>3518</v>
      </c>
      <c r="K346" s="3" t="s">
        <v>3527</v>
      </c>
      <c r="L346" s="3" t="s">
        <v>3841</v>
      </c>
      <c r="M346">
        <v>205.63</v>
      </c>
      <c r="N346">
        <v>42</v>
      </c>
      <c r="O346">
        <f>Supply_Chain[[#This Row],[Unit_Price]]*Supply_Chain[[#This Row],[Quantity]]</f>
        <v>8636.4599999999991</v>
      </c>
      <c r="P346" t="s">
        <v>1156</v>
      </c>
      <c r="Q346" t="s">
        <v>35</v>
      </c>
      <c r="R346" t="s">
        <v>94</v>
      </c>
      <c r="S346" t="s">
        <v>37</v>
      </c>
      <c r="T346" t="s">
        <v>71</v>
      </c>
      <c r="U346" t="s">
        <v>215</v>
      </c>
      <c r="V346">
        <v>4722</v>
      </c>
      <c r="W346">
        <v>277</v>
      </c>
      <c r="X346">
        <v>1</v>
      </c>
      <c r="Y346">
        <v>513.46</v>
      </c>
      <c r="Z346">
        <v>112.75</v>
      </c>
      <c r="AA346" s="9">
        <v>626.21</v>
      </c>
      <c r="AB346" t="s">
        <v>52</v>
      </c>
      <c r="AC346">
        <v>0</v>
      </c>
      <c r="AD346">
        <v>72.45</v>
      </c>
      <c r="AE346">
        <v>381</v>
      </c>
      <c r="AF346">
        <v>333</v>
      </c>
      <c r="AG346" s="11">
        <f>Supply_Chain[[#This Row],[Total_Cost]]/Supply_Chain[[#This Row],[Stock_On_Hand]]</f>
        <v>0.13261541719610334</v>
      </c>
    </row>
    <row r="347" spans="1:33" x14ac:dyDescent="0.25">
      <c r="A347" t="s">
        <v>1157</v>
      </c>
      <c r="B347" t="s">
        <v>1158</v>
      </c>
      <c r="C347" s="1">
        <v>44767</v>
      </c>
      <c r="D347" s="1">
        <v>44744</v>
      </c>
      <c r="E347" t="s">
        <v>55</v>
      </c>
      <c r="F347" t="s">
        <v>31</v>
      </c>
      <c r="G347" t="s">
        <v>91</v>
      </c>
      <c r="H347" t="s">
        <v>33</v>
      </c>
      <c r="I347" s="3" t="s">
        <v>2748</v>
      </c>
      <c r="J347" s="3" t="s">
        <v>3518</v>
      </c>
      <c r="K347" s="3" t="s">
        <v>3527</v>
      </c>
      <c r="L347" s="3" t="s">
        <v>3548</v>
      </c>
      <c r="M347">
        <v>278.58999999999997</v>
      </c>
      <c r="N347">
        <v>50</v>
      </c>
      <c r="O347">
        <f>Supply_Chain[[#This Row],[Unit_Price]]*Supply_Chain[[#This Row],[Quantity]]</f>
        <v>13929.499999999998</v>
      </c>
      <c r="P347" t="s">
        <v>1159</v>
      </c>
      <c r="Q347" t="s">
        <v>86</v>
      </c>
      <c r="R347" t="s">
        <v>301</v>
      </c>
      <c r="S347" t="s">
        <v>37</v>
      </c>
      <c r="T347" t="s">
        <v>79</v>
      </c>
      <c r="U347" t="s">
        <v>611</v>
      </c>
      <c r="V347">
        <v>2455</v>
      </c>
      <c r="W347">
        <v>416</v>
      </c>
      <c r="X347">
        <v>5</v>
      </c>
      <c r="Y347">
        <v>1072.46</v>
      </c>
      <c r="Z347">
        <v>499.12</v>
      </c>
      <c r="AA347" s="9">
        <v>1571.58</v>
      </c>
      <c r="AB347" t="s">
        <v>52</v>
      </c>
      <c r="AC347">
        <v>0</v>
      </c>
      <c r="AD347">
        <v>86.57</v>
      </c>
      <c r="AE347">
        <v>301</v>
      </c>
      <c r="AF347">
        <v>329</v>
      </c>
      <c r="AG347" s="11">
        <f>Supply_Chain[[#This Row],[Total_Cost]]/Supply_Chain[[#This Row],[Stock_On_Hand]]</f>
        <v>0.64015478615071275</v>
      </c>
    </row>
    <row r="348" spans="1:33" x14ac:dyDescent="0.25">
      <c r="A348" t="s">
        <v>1160</v>
      </c>
      <c r="B348" t="s">
        <v>1161</v>
      </c>
      <c r="C348" s="1">
        <v>45658</v>
      </c>
      <c r="D348" s="1">
        <v>45388</v>
      </c>
      <c r="E348" t="s">
        <v>55</v>
      </c>
      <c r="F348" t="s">
        <v>64</v>
      </c>
      <c r="G348" t="s">
        <v>247</v>
      </c>
      <c r="H348" t="s">
        <v>46</v>
      </c>
      <c r="I348" s="3" t="s">
        <v>3045</v>
      </c>
      <c r="J348" s="3" t="s">
        <v>3518</v>
      </c>
      <c r="K348" s="3" t="s">
        <v>3521</v>
      </c>
      <c r="L348" s="3" t="s">
        <v>3842</v>
      </c>
      <c r="M348">
        <v>223.18</v>
      </c>
      <c r="N348">
        <v>68</v>
      </c>
      <c r="O348">
        <f>Supply_Chain[[#This Row],[Unit_Price]]*Supply_Chain[[#This Row],[Quantity]]</f>
        <v>15176.24</v>
      </c>
      <c r="P348" t="s">
        <v>1162</v>
      </c>
      <c r="Q348" t="s">
        <v>86</v>
      </c>
      <c r="R348" t="s">
        <v>277</v>
      </c>
      <c r="S348" t="s">
        <v>119</v>
      </c>
      <c r="T348" t="s">
        <v>100</v>
      </c>
      <c r="U348" t="s">
        <v>241</v>
      </c>
      <c r="V348">
        <v>1473</v>
      </c>
      <c r="W348">
        <v>179</v>
      </c>
      <c r="X348">
        <v>15</v>
      </c>
      <c r="Y348">
        <v>1734.08</v>
      </c>
      <c r="Z348">
        <v>284.95</v>
      </c>
      <c r="AA348" s="9">
        <v>2019.03</v>
      </c>
      <c r="AB348" t="s">
        <v>52</v>
      </c>
      <c r="AC348">
        <v>0</v>
      </c>
      <c r="AD348">
        <v>71.88</v>
      </c>
      <c r="AE348">
        <v>460</v>
      </c>
      <c r="AF348">
        <v>419</v>
      </c>
      <c r="AG348" s="11">
        <f>Supply_Chain[[#This Row],[Total_Cost]]/Supply_Chain[[#This Row],[Stock_On_Hand]]</f>
        <v>1.3706924643584522</v>
      </c>
    </row>
    <row r="349" spans="1:33" x14ac:dyDescent="0.25">
      <c r="A349" t="s">
        <v>1163</v>
      </c>
      <c r="B349" t="s">
        <v>1164</v>
      </c>
      <c r="C349" s="1">
        <v>44652</v>
      </c>
      <c r="D349" s="1">
        <v>44208</v>
      </c>
      <c r="E349" t="s">
        <v>43</v>
      </c>
      <c r="F349" t="s">
        <v>64</v>
      </c>
      <c r="G349" t="s">
        <v>91</v>
      </c>
      <c r="H349" t="s">
        <v>116</v>
      </c>
      <c r="I349" s="3" t="s">
        <v>3046</v>
      </c>
      <c r="J349" s="3" t="s">
        <v>3519</v>
      </c>
      <c r="K349" s="3" t="s">
        <v>3530</v>
      </c>
      <c r="L349" s="3" t="s">
        <v>3843</v>
      </c>
      <c r="M349">
        <v>86.81</v>
      </c>
      <c r="N349">
        <v>19</v>
      </c>
      <c r="O349">
        <f>Supply_Chain[[#This Row],[Unit_Price]]*Supply_Chain[[#This Row],[Quantity]]</f>
        <v>1649.39</v>
      </c>
      <c r="P349" t="s">
        <v>1165</v>
      </c>
      <c r="Q349" t="s">
        <v>86</v>
      </c>
      <c r="R349" t="s">
        <v>327</v>
      </c>
      <c r="S349" t="s">
        <v>119</v>
      </c>
      <c r="T349" t="s">
        <v>60</v>
      </c>
      <c r="U349" t="s">
        <v>619</v>
      </c>
      <c r="V349">
        <v>2914</v>
      </c>
      <c r="W349">
        <v>113</v>
      </c>
      <c r="X349">
        <v>12</v>
      </c>
      <c r="Y349">
        <v>1427.11</v>
      </c>
      <c r="Z349">
        <v>362.56</v>
      </c>
      <c r="AA349" s="9">
        <v>1789.67</v>
      </c>
      <c r="AB349" t="s">
        <v>40</v>
      </c>
      <c r="AC349">
        <v>4</v>
      </c>
      <c r="AD349">
        <v>80.069999999999993</v>
      </c>
      <c r="AE349">
        <v>451</v>
      </c>
      <c r="AF349">
        <v>439</v>
      </c>
      <c r="AG349" s="11">
        <f>Supply_Chain[[#This Row],[Total_Cost]]/Supply_Chain[[#This Row],[Stock_On_Hand]]</f>
        <v>0.61416266300617706</v>
      </c>
    </row>
    <row r="350" spans="1:33" x14ac:dyDescent="0.25">
      <c r="A350" t="s">
        <v>1166</v>
      </c>
      <c r="B350" t="s">
        <v>1167</v>
      </c>
      <c r="C350" s="1">
        <v>45464</v>
      </c>
      <c r="D350" s="1">
        <v>43994</v>
      </c>
      <c r="E350" t="s">
        <v>55</v>
      </c>
      <c r="F350" t="s">
        <v>31</v>
      </c>
      <c r="G350" t="s">
        <v>247</v>
      </c>
      <c r="H350" t="s">
        <v>128</v>
      </c>
      <c r="I350" s="3" t="s">
        <v>3047</v>
      </c>
      <c r="J350" s="3" t="s">
        <v>3518</v>
      </c>
      <c r="K350" s="3" t="s">
        <v>3522</v>
      </c>
      <c r="L350" s="3" t="s">
        <v>3844</v>
      </c>
      <c r="M350">
        <v>498.44</v>
      </c>
      <c r="N350">
        <v>74</v>
      </c>
      <c r="O350">
        <f>Supply_Chain[[#This Row],[Unit_Price]]*Supply_Chain[[#This Row],[Quantity]]</f>
        <v>36884.559999999998</v>
      </c>
      <c r="P350" t="s">
        <v>409</v>
      </c>
      <c r="Q350" t="s">
        <v>86</v>
      </c>
      <c r="R350" t="s">
        <v>323</v>
      </c>
      <c r="S350" t="s">
        <v>50</v>
      </c>
      <c r="T350" t="s">
        <v>100</v>
      </c>
      <c r="U350" t="s">
        <v>155</v>
      </c>
      <c r="V350">
        <v>4767</v>
      </c>
      <c r="W350">
        <v>359</v>
      </c>
      <c r="X350">
        <v>16</v>
      </c>
      <c r="Y350">
        <v>1248.83</v>
      </c>
      <c r="Z350">
        <v>468.69</v>
      </c>
      <c r="AA350" s="9">
        <v>1717.52</v>
      </c>
      <c r="AB350" t="s">
        <v>52</v>
      </c>
      <c r="AC350">
        <v>0</v>
      </c>
      <c r="AD350">
        <v>84.74</v>
      </c>
      <c r="AE350">
        <v>387</v>
      </c>
      <c r="AF350">
        <v>436</v>
      </c>
      <c r="AG350" s="11">
        <f>Supply_Chain[[#This Row],[Total_Cost]]/Supply_Chain[[#This Row],[Stock_On_Hand]]</f>
        <v>0.36029368575624082</v>
      </c>
    </row>
    <row r="351" spans="1:33" x14ac:dyDescent="0.25">
      <c r="A351" t="s">
        <v>1168</v>
      </c>
      <c r="B351" t="s">
        <v>1169</v>
      </c>
      <c r="C351" s="1">
        <v>45594</v>
      </c>
      <c r="D351" s="1">
        <v>44528</v>
      </c>
      <c r="E351" t="s">
        <v>55</v>
      </c>
      <c r="F351" t="s">
        <v>115</v>
      </c>
      <c r="G351" t="s">
        <v>65</v>
      </c>
      <c r="H351" t="s">
        <v>116</v>
      </c>
      <c r="I351" s="3" t="s">
        <v>3048</v>
      </c>
      <c r="J351" s="3" t="s">
        <v>3518</v>
      </c>
      <c r="K351" s="3" t="s">
        <v>3527</v>
      </c>
      <c r="L351" s="3" t="s">
        <v>3845</v>
      </c>
      <c r="M351">
        <v>371.52</v>
      </c>
      <c r="N351">
        <v>55</v>
      </c>
      <c r="O351">
        <f>Supply_Chain[[#This Row],[Unit_Price]]*Supply_Chain[[#This Row],[Quantity]]</f>
        <v>20433.599999999999</v>
      </c>
      <c r="P351" t="s">
        <v>305</v>
      </c>
      <c r="Q351" t="s">
        <v>48</v>
      </c>
      <c r="R351" t="s">
        <v>36</v>
      </c>
      <c r="S351" t="s">
        <v>70</v>
      </c>
      <c r="T351" t="s">
        <v>71</v>
      </c>
      <c r="U351" t="s">
        <v>61</v>
      </c>
      <c r="V351">
        <v>2923</v>
      </c>
      <c r="W351">
        <v>126</v>
      </c>
      <c r="X351">
        <v>1</v>
      </c>
      <c r="Y351">
        <v>1166.24</v>
      </c>
      <c r="Z351">
        <v>105.64</v>
      </c>
      <c r="AA351" s="9">
        <v>1271.8800000000001</v>
      </c>
      <c r="AB351" t="s">
        <v>52</v>
      </c>
      <c r="AC351">
        <v>0</v>
      </c>
      <c r="AD351">
        <v>98.16</v>
      </c>
      <c r="AE351">
        <v>98</v>
      </c>
      <c r="AF351">
        <v>118</v>
      </c>
      <c r="AG351" s="11">
        <f>Supply_Chain[[#This Row],[Total_Cost]]/Supply_Chain[[#This Row],[Stock_On_Hand]]</f>
        <v>0.43512829284981186</v>
      </c>
    </row>
    <row r="352" spans="1:33" x14ac:dyDescent="0.25">
      <c r="A352" t="s">
        <v>1170</v>
      </c>
      <c r="B352" t="s">
        <v>1171</v>
      </c>
      <c r="C352" s="1">
        <v>44459</v>
      </c>
      <c r="D352" s="1">
        <v>45257</v>
      </c>
      <c r="E352" t="s">
        <v>55</v>
      </c>
      <c r="F352" t="s">
        <v>115</v>
      </c>
      <c r="G352" t="s">
        <v>247</v>
      </c>
      <c r="H352" t="s">
        <v>92</v>
      </c>
      <c r="I352" s="3" t="s">
        <v>3049</v>
      </c>
      <c r="J352" s="3" t="s">
        <v>3518</v>
      </c>
      <c r="K352" s="3" t="s">
        <v>3521</v>
      </c>
      <c r="L352" s="3" t="s">
        <v>3846</v>
      </c>
      <c r="M352">
        <v>104.87</v>
      </c>
      <c r="N352">
        <v>70</v>
      </c>
      <c r="O352">
        <f>Supply_Chain[[#This Row],[Unit_Price]]*Supply_Chain[[#This Row],[Quantity]]</f>
        <v>7340.9000000000005</v>
      </c>
      <c r="P352" t="s">
        <v>359</v>
      </c>
      <c r="Q352" t="s">
        <v>86</v>
      </c>
      <c r="R352" t="s">
        <v>819</v>
      </c>
      <c r="S352" t="s">
        <v>70</v>
      </c>
      <c r="T352" t="s">
        <v>38</v>
      </c>
      <c r="U352" t="s">
        <v>141</v>
      </c>
      <c r="V352">
        <v>183</v>
      </c>
      <c r="W352">
        <v>469</v>
      </c>
      <c r="X352">
        <v>3</v>
      </c>
      <c r="Y352">
        <v>1379.4</v>
      </c>
      <c r="Z352">
        <v>54.44</v>
      </c>
      <c r="AA352" s="9">
        <v>1433.84</v>
      </c>
      <c r="AB352" t="s">
        <v>52</v>
      </c>
      <c r="AC352">
        <v>0</v>
      </c>
      <c r="AD352">
        <v>81.92</v>
      </c>
      <c r="AE352">
        <v>411</v>
      </c>
      <c r="AF352">
        <v>429</v>
      </c>
      <c r="AG352" s="11">
        <f>Supply_Chain[[#This Row],[Total_Cost]]/Supply_Chain[[#This Row],[Stock_On_Hand]]</f>
        <v>7.8351912568306004</v>
      </c>
    </row>
    <row r="353" spans="1:33" x14ac:dyDescent="0.25">
      <c r="A353" t="s">
        <v>1172</v>
      </c>
      <c r="B353" t="s">
        <v>1173</v>
      </c>
      <c r="C353" s="1">
        <v>43902</v>
      </c>
      <c r="D353" s="1">
        <v>44990</v>
      </c>
      <c r="E353" t="s">
        <v>55</v>
      </c>
      <c r="F353" t="s">
        <v>64</v>
      </c>
      <c r="G353" t="s">
        <v>247</v>
      </c>
      <c r="H353" t="s">
        <v>92</v>
      </c>
      <c r="I353" s="3" t="s">
        <v>3050</v>
      </c>
      <c r="J353" s="3" t="s">
        <v>3518</v>
      </c>
      <c r="K353" s="3" t="s">
        <v>3524</v>
      </c>
      <c r="L353" s="3" t="s">
        <v>3847</v>
      </c>
      <c r="M353">
        <v>191.2</v>
      </c>
      <c r="N353">
        <v>3</v>
      </c>
      <c r="O353">
        <f>Supply_Chain[[#This Row],[Unit_Price]]*Supply_Chain[[#This Row],[Quantity]]</f>
        <v>573.59999999999991</v>
      </c>
      <c r="P353" t="s">
        <v>1174</v>
      </c>
      <c r="Q353" t="s">
        <v>48</v>
      </c>
      <c r="R353" t="s">
        <v>140</v>
      </c>
      <c r="S353" t="s">
        <v>50</v>
      </c>
      <c r="T353" t="s">
        <v>79</v>
      </c>
      <c r="U353" t="s">
        <v>378</v>
      </c>
      <c r="V353">
        <v>146</v>
      </c>
      <c r="W353">
        <v>494</v>
      </c>
      <c r="X353">
        <v>11</v>
      </c>
      <c r="Y353">
        <v>1530.76</v>
      </c>
      <c r="Z353">
        <v>381.05</v>
      </c>
      <c r="AA353" s="9">
        <v>1911.81</v>
      </c>
      <c r="AB353" t="s">
        <v>52</v>
      </c>
      <c r="AC353">
        <v>0</v>
      </c>
      <c r="AD353">
        <v>86.62</v>
      </c>
      <c r="AE353">
        <v>137</v>
      </c>
      <c r="AF353">
        <v>186</v>
      </c>
      <c r="AG353" s="11">
        <f>Supply_Chain[[#This Row],[Total_Cost]]/Supply_Chain[[#This Row],[Stock_On_Hand]]</f>
        <v>13.09458904109589</v>
      </c>
    </row>
    <row r="354" spans="1:33" x14ac:dyDescent="0.25">
      <c r="A354" t="s">
        <v>1175</v>
      </c>
      <c r="B354" t="s">
        <v>1176</v>
      </c>
      <c r="C354" s="1">
        <v>44459</v>
      </c>
      <c r="D354" s="1">
        <v>45433</v>
      </c>
      <c r="E354" t="s">
        <v>55</v>
      </c>
      <c r="F354" t="s">
        <v>44</v>
      </c>
      <c r="G354" t="s">
        <v>76</v>
      </c>
      <c r="H354" t="s">
        <v>66</v>
      </c>
      <c r="I354" s="3" t="s">
        <v>3051</v>
      </c>
      <c r="J354" s="3" t="s">
        <v>3519</v>
      </c>
      <c r="K354" s="3" t="s">
        <v>3530</v>
      </c>
      <c r="L354" s="3" t="s">
        <v>3848</v>
      </c>
      <c r="M354">
        <v>402.36</v>
      </c>
      <c r="N354">
        <v>7</v>
      </c>
      <c r="O354">
        <f>Supply_Chain[[#This Row],[Unit_Price]]*Supply_Chain[[#This Row],[Quantity]]</f>
        <v>2816.52</v>
      </c>
      <c r="P354" t="s">
        <v>1177</v>
      </c>
      <c r="Q354" t="s">
        <v>68</v>
      </c>
      <c r="R354" t="s">
        <v>78</v>
      </c>
      <c r="S354" t="s">
        <v>37</v>
      </c>
      <c r="T354" t="s">
        <v>79</v>
      </c>
      <c r="U354" t="s">
        <v>177</v>
      </c>
      <c r="V354">
        <v>2215</v>
      </c>
      <c r="W354">
        <v>268</v>
      </c>
      <c r="X354">
        <v>27</v>
      </c>
      <c r="Y354">
        <v>830.28</v>
      </c>
      <c r="Z354">
        <v>311.27</v>
      </c>
      <c r="AA354" s="9">
        <v>1141.55</v>
      </c>
      <c r="AB354" t="s">
        <v>52</v>
      </c>
      <c r="AC354">
        <v>0</v>
      </c>
      <c r="AD354">
        <v>87.84</v>
      </c>
      <c r="AE354">
        <v>65</v>
      </c>
      <c r="AF354">
        <v>84</v>
      </c>
      <c r="AG354" s="11">
        <f>Supply_Chain[[#This Row],[Total_Cost]]/Supply_Chain[[#This Row],[Stock_On_Hand]]</f>
        <v>0.515372460496614</v>
      </c>
    </row>
    <row r="355" spans="1:33" x14ac:dyDescent="0.25">
      <c r="A355" t="s">
        <v>1178</v>
      </c>
      <c r="B355" t="s">
        <v>1179</v>
      </c>
      <c r="C355" s="1">
        <v>43948</v>
      </c>
      <c r="D355" s="1">
        <v>44601</v>
      </c>
      <c r="E355" t="s">
        <v>55</v>
      </c>
      <c r="F355" t="s">
        <v>31</v>
      </c>
      <c r="G355" t="s">
        <v>45</v>
      </c>
      <c r="H355" t="s">
        <v>128</v>
      </c>
      <c r="I355" s="3" t="s">
        <v>2886</v>
      </c>
      <c r="J355" s="3" t="s">
        <v>3519</v>
      </c>
      <c r="K355" s="3" t="s">
        <v>3530</v>
      </c>
      <c r="L355" s="3" t="s">
        <v>3685</v>
      </c>
      <c r="M355">
        <v>48.83</v>
      </c>
      <c r="N355">
        <v>66</v>
      </c>
      <c r="O355">
        <f>Supply_Chain[[#This Row],[Unit_Price]]*Supply_Chain[[#This Row],[Quantity]]</f>
        <v>3222.7799999999997</v>
      </c>
      <c r="P355" t="s">
        <v>1180</v>
      </c>
      <c r="Q355" t="s">
        <v>86</v>
      </c>
      <c r="R355" t="s">
        <v>236</v>
      </c>
      <c r="S355" t="s">
        <v>119</v>
      </c>
      <c r="T355" t="s">
        <v>79</v>
      </c>
      <c r="U355" t="s">
        <v>370</v>
      </c>
      <c r="V355">
        <v>2438</v>
      </c>
      <c r="W355">
        <v>328</v>
      </c>
      <c r="X355">
        <v>26</v>
      </c>
      <c r="Y355">
        <v>221.8</v>
      </c>
      <c r="Z355">
        <v>311.77999999999997</v>
      </c>
      <c r="AA355" s="9">
        <v>533.57999999999993</v>
      </c>
      <c r="AB355" t="s">
        <v>52</v>
      </c>
      <c r="AC355">
        <v>0</v>
      </c>
      <c r="AD355">
        <v>75.98</v>
      </c>
      <c r="AE355">
        <v>110</v>
      </c>
      <c r="AF355">
        <v>69</v>
      </c>
      <c r="AG355" s="11">
        <f>Supply_Chain[[#This Row],[Total_Cost]]/Supply_Chain[[#This Row],[Stock_On_Hand]]</f>
        <v>0.21885972108285476</v>
      </c>
    </row>
    <row r="356" spans="1:33" x14ac:dyDescent="0.25">
      <c r="A356" t="s">
        <v>1181</v>
      </c>
      <c r="B356" t="s">
        <v>1182</v>
      </c>
      <c r="C356" s="1">
        <v>45110</v>
      </c>
      <c r="D356" s="1">
        <v>44077</v>
      </c>
      <c r="E356" t="s">
        <v>43</v>
      </c>
      <c r="F356" t="s">
        <v>64</v>
      </c>
      <c r="G356" t="s">
        <v>247</v>
      </c>
      <c r="H356" t="s">
        <v>166</v>
      </c>
      <c r="I356" s="3" t="s">
        <v>3052</v>
      </c>
      <c r="J356" s="3" t="s">
        <v>3519</v>
      </c>
      <c r="K356" s="3" t="s">
        <v>3530</v>
      </c>
      <c r="L356" s="3" t="s">
        <v>3849</v>
      </c>
      <c r="M356">
        <v>106.09</v>
      </c>
      <c r="N356">
        <v>74</v>
      </c>
      <c r="O356">
        <f>Supply_Chain[[#This Row],[Unit_Price]]*Supply_Chain[[#This Row],[Quantity]]</f>
        <v>7850.66</v>
      </c>
      <c r="P356" t="s">
        <v>1183</v>
      </c>
      <c r="Q356" t="s">
        <v>110</v>
      </c>
      <c r="R356" t="s">
        <v>214</v>
      </c>
      <c r="S356" t="s">
        <v>50</v>
      </c>
      <c r="T356" t="s">
        <v>71</v>
      </c>
      <c r="U356" t="s">
        <v>291</v>
      </c>
      <c r="V356">
        <v>3171</v>
      </c>
      <c r="W356">
        <v>71</v>
      </c>
      <c r="X356">
        <v>11</v>
      </c>
      <c r="Y356">
        <v>1975.47</v>
      </c>
      <c r="Z356">
        <v>265.37</v>
      </c>
      <c r="AA356" s="9">
        <v>2240.84</v>
      </c>
      <c r="AB356" t="s">
        <v>52</v>
      </c>
      <c r="AC356">
        <v>0</v>
      </c>
      <c r="AD356">
        <v>86.6</v>
      </c>
      <c r="AE356">
        <v>388</v>
      </c>
      <c r="AF356">
        <v>363</v>
      </c>
      <c r="AG356" s="11">
        <f>Supply_Chain[[#This Row],[Total_Cost]]/Supply_Chain[[#This Row],[Stock_On_Hand]]</f>
        <v>0.70666666666666667</v>
      </c>
    </row>
    <row r="357" spans="1:33" x14ac:dyDescent="0.25">
      <c r="A357" t="s">
        <v>1184</v>
      </c>
      <c r="B357" t="s">
        <v>1185</v>
      </c>
      <c r="C357" s="1">
        <v>44930</v>
      </c>
      <c r="D357" s="1">
        <v>44775</v>
      </c>
      <c r="E357" t="s">
        <v>55</v>
      </c>
      <c r="F357" t="s">
        <v>75</v>
      </c>
      <c r="G357" t="s">
        <v>76</v>
      </c>
      <c r="H357" t="s">
        <v>46</v>
      </c>
      <c r="I357" s="3" t="s">
        <v>3053</v>
      </c>
      <c r="J357" s="3" t="s">
        <v>3519</v>
      </c>
      <c r="K357" s="3" t="s">
        <v>3528</v>
      </c>
      <c r="L357" s="3" t="s">
        <v>3850</v>
      </c>
      <c r="M357">
        <v>258.41000000000003</v>
      </c>
      <c r="N357">
        <v>76</v>
      </c>
      <c r="O357">
        <f>Supply_Chain[[#This Row],[Unit_Price]]*Supply_Chain[[#This Row],[Quantity]]</f>
        <v>19639.160000000003</v>
      </c>
      <c r="P357" t="s">
        <v>1186</v>
      </c>
      <c r="Q357" t="s">
        <v>68</v>
      </c>
      <c r="R357" t="s">
        <v>306</v>
      </c>
      <c r="S357" t="s">
        <v>50</v>
      </c>
      <c r="T357" t="s">
        <v>79</v>
      </c>
      <c r="U357" t="s">
        <v>95</v>
      </c>
      <c r="V357">
        <v>1113</v>
      </c>
      <c r="W357">
        <v>284</v>
      </c>
      <c r="X357">
        <v>2</v>
      </c>
      <c r="Y357">
        <v>1828.76</v>
      </c>
      <c r="Z357">
        <v>60.18</v>
      </c>
      <c r="AA357" s="9">
        <v>1888.94</v>
      </c>
      <c r="AB357" t="s">
        <v>40</v>
      </c>
      <c r="AC357">
        <v>1</v>
      </c>
      <c r="AD357">
        <v>81.41</v>
      </c>
      <c r="AE357">
        <v>181</v>
      </c>
      <c r="AF357">
        <v>166</v>
      </c>
      <c r="AG357" s="11">
        <f>Supply_Chain[[#This Row],[Total_Cost]]/Supply_Chain[[#This Row],[Stock_On_Hand]]</f>
        <v>1.6971608265947888</v>
      </c>
    </row>
    <row r="358" spans="1:33" x14ac:dyDescent="0.25">
      <c r="A358" t="s">
        <v>1187</v>
      </c>
      <c r="B358" t="s">
        <v>1188</v>
      </c>
      <c r="C358" s="1">
        <v>44223</v>
      </c>
      <c r="D358" s="1">
        <v>44715</v>
      </c>
      <c r="E358" t="s">
        <v>55</v>
      </c>
      <c r="F358" t="s">
        <v>75</v>
      </c>
      <c r="G358" t="s">
        <v>91</v>
      </c>
      <c r="H358" t="s">
        <v>46</v>
      </c>
      <c r="I358" s="3" t="s">
        <v>3054</v>
      </c>
      <c r="J358" s="3" t="s">
        <v>3519</v>
      </c>
      <c r="K358" s="3" t="s">
        <v>3528</v>
      </c>
      <c r="L358" s="3" t="s">
        <v>3851</v>
      </c>
      <c r="M358">
        <v>360.32</v>
      </c>
      <c r="N358">
        <v>5</v>
      </c>
      <c r="O358">
        <f>Supply_Chain[[#This Row],[Unit_Price]]*Supply_Chain[[#This Row],[Quantity]]</f>
        <v>1801.6</v>
      </c>
      <c r="P358" t="s">
        <v>1189</v>
      </c>
      <c r="Q358" t="s">
        <v>68</v>
      </c>
      <c r="R358" t="s">
        <v>269</v>
      </c>
      <c r="S358" t="s">
        <v>119</v>
      </c>
      <c r="T358" t="s">
        <v>38</v>
      </c>
      <c r="U358" t="s">
        <v>227</v>
      </c>
      <c r="V358">
        <v>4861</v>
      </c>
      <c r="W358">
        <v>67</v>
      </c>
      <c r="X358">
        <v>2</v>
      </c>
      <c r="Y358">
        <v>985.14</v>
      </c>
      <c r="Z358">
        <v>113.09</v>
      </c>
      <c r="AA358" s="9">
        <v>1098.23</v>
      </c>
      <c r="AB358" t="s">
        <v>52</v>
      </c>
      <c r="AC358">
        <v>0</v>
      </c>
      <c r="AD358">
        <v>78.25</v>
      </c>
      <c r="AE358">
        <v>386</v>
      </c>
      <c r="AF358">
        <v>424</v>
      </c>
      <c r="AG358" s="11">
        <f>Supply_Chain[[#This Row],[Total_Cost]]/Supply_Chain[[#This Row],[Stock_On_Hand]]</f>
        <v>0.22592676404032092</v>
      </c>
    </row>
    <row r="359" spans="1:33" x14ac:dyDescent="0.25">
      <c r="A359" t="s">
        <v>1190</v>
      </c>
      <c r="B359" t="s">
        <v>1191</v>
      </c>
      <c r="C359" s="1">
        <v>45652</v>
      </c>
      <c r="D359" s="1">
        <v>44500</v>
      </c>
      <c r="E359" t="s">
        <v>55</v>
      </c>
      <c r="F359" t="s">
        <v>31</v>
      </c>
      <c r="G359" t="s">
        <v>45</v>
      </c>
      <c r="H359" t="s">
        <v>92</v>
      </c>
      <c r="I359" s="3" t="s">
        <v>2981</v>
      </c>
      <c r="J359" s="3" t="s">
        <v>84</v>
      </c>
      <c r="K359" s="3" t="s">
        <v>3531</v>
      </c>
      <c r="L359" s="3" t="s">
        <v>3779</v>
      </c>
      <c r="M359">
        <v>30.84</v>
      </c>
      <c r="N359">
        <v>68</v>
      </c>
      <c r="O359">
        <f>Supply_Chain[[#This Row],[Unit_Price]]*Supply_Chain[[#This Row],[Quantity]]</f>
        <v>2097.12</v>
      </c>
      <c r="P359" t="s">
        <v>1043</v>
      </c>
      <c r="Q359" t="s">
        <v>68</v>
      </c>
      <c r="R359" t="s">
        <v>172</v>
      </c>
      <c r="S359" t="s">
        <v>119</v>
      </c>
      <c r="T359" t="s">
        <v>38</v>
      </c>
      <c r="U359" t="s">
        <v>232</v>
      </c>
      <c r="V359">
        <v>2793</v>
      </c>
      <c r="W359">
        <v>253</v>
      </c>
      <c r="X359">
        <v>5</v>
      </c>
      <c r="Y359">
        <v>206.88</v>
      </c>
      <c r="Z359">
        <v>462.69</v>
      </c>
      <c r="AA359" s="9">
        <v>669.56999999999994</v>
      </c>
      <c r="AB359" t="s">
        <v>52</v>
      </c>
      <c r="AC359">
        <v>0</v>
      </c>
      <c r="AD359">
        <v>93.75</v>
      </c>
      <c r="AE359">
        <v>286</v>
      </c>
      <c r="AF359">
        <v>262</v>
      </c>
      <c r="AG359" s="11">
        <f>Supply_Chain[[#This Row],[Total_Cost]]/Supply_Chain[[#This Row],[Stock_On_Hand]]</f>
        <v>0.23973147153598279</v>
      </c>
    </row>
    <row r="360" spans="1:33" x14ac:dyDescent="0.25">
      <c r="A360" t="s">
        <v>1192</v>
      </c>
      <c r="B360" t="s">
        <v>1193</v>
      </c>
      <c r="C360" s="1">
        <v>44956</v>
      </c>
      <c r="D360" s="1">
        <v>44774</v>
      </c>
      <c r="E360" t="s">
        <v>43</v>
      </c>
      <c r="F360" t="s">
        <v>44</v>
      </c>
      <c r="G360" t="s">
        <v>76</v>
      </c>
      <c r="H360" t="s">
        <v>116</v>
      </c>
      <c r="I360" s="3" t="s">
        <v>3055</v>
      </c>
      <c r="J360" s="3" t="s">
        <v>3518</v>
      </c>
      <c r="K360" s="3" t="s">
        <v>3525</v>
      </c>
      <c r="L360" s="3" t="s">
        <v>3852</v>
      </c>
      <c r="M360">
        <v>242.6</v>
      </c>
      <c r="N360">
        <v>86</v>
      </c>
      <c r="O360">
        <f>Supply_Chain[[#This Row],[Unit_Price]]*Supply_Chain[[#This Row],[Quantity]]</f>
        <v>20863.599999999999</v>
      </c>
      <c r="P360" t="s">
        <v>1135</v>
      </c>
      <c r="Q360" t="s">
        <v>48</v>
      </c>
      <c r="R360" t="s">
        <v>388</v>
      </c>
      <c r="S360" t="s">
        <v>50</v>
      </c>
      <c r="T360" t="s">
        <v>79</v>
      </c>
      <c r="U360" t="s">
        <v>227</v>
      </c>
      <c r="V360">
        <v>2937</v>
      </c>
      <c r="W360">
        <v>216</v>
      </c>
      <c r="X360">
        <v>23</v>
      </c>
      <c r="Y360">
        <v>526.51</v>
      </c>
      <c r="Z360">
        <v>176.92</v>
      </c>
      <c r="AA360" s="9">
        <v>703.43</v>
      </c>
      <c r="AB360" t="s">
        <v>52</v>
      </c>
      <c r="AC360">
        <v>0</v>
      </c>
      <c r="AD360">
        <v>81.239999999999995</v>
      </c>
      <c r="AE360">
        <v>74</v>
      </c>
      <c r="AF360">
        <v>76</v>
      </c>
      <c r="AG360" s="11">
        <f>Supply_Chain[[#This Row],[Total_Cost]]/Supply_Chain[[#This Row],[Stock_On_Hand]]</f>
        <v>0.23950629894450118</v>
      </c>
    </row>
    <row r="361" spans="1:33" x14ac:dyDescent="0.25">
      <c r="A361" t="s">
        <v>1194</v>
      </c>
      <c r="B361" t="s">
        <v>1195</v>
      </c>
      <c r="C361" s="1">
        <v>43836</v>
      </c>
      <c r="D361" s="1">
        <v>44380</v>
      </c>
      <c r="E361" t="s">
        <v>55</v>
      </c>
      <c r="F361" t="s">
        <v>75</v>
      </c>
      <c r="G361" t="s">
        <v>91</v>
      </c>
      <c r="H361" t="s">
        <v>33</v>
      </c>
      <c r="I361" s="3" t="s">
        <v>3056</v>
      </c>
      <c r="J361" s="3" t="s">
        <v>3518</v>
      </c>
      <c r="K361" s="3" t="s">
        <v>3522</v>
      </c>
      <c r="L361" s="3" t="s">
        <v>3853</v>
      </c>
      <c r="M361">
        <v>27.11</v>
      </c>
      <c r="N361">
        <v>98</v>
      </c>
      <c r="O361">
        <f>Supply_Chain[[#This Row],[Unit_Price]]*Supply_Chain[[#This Row],[Quantity]]</f>
        <v>2656.7799999999997</v>
      </c>
      <c r="P361" t="s">
        <v>1196</v>
      </c>
      <c r="Q361" t="s">
        <v>48</v>
      </c>
      <c r="R361" t="s">
        <v>145</v>
      </c>
      <c r="S361" t="s">
        <v>70</v>
      </c>
      <c r="T361" t="s">
        <v>71</v>
      </c>
      <c r="U361" t="s">
        <v>429</v>
      </c>
      <c r="V361">
        <v>4323</v>
      </c>
      <c r="W361">
        <v>430</v>
      </c>
      <c r="X361">
        <v>25</v>
      </c>
      <c r="Y361">
        <v>470.01</v>
      </c>
      <c r="Z361">
        <v>74.89</v>
      </c>
      <c r="AA361" s="9">
        <v>544.9</v>
      </c>
      <c r="AB361" t="s">
        <v>52</v>
      </c>
      <c r="AC361">
        <v>0</v>
      </c>
      <c r="AD361">
        <v>92.17</v>
      </c>
      <c r="AE361">
        <v>139</v>
      </c>
      <c r="AF361">
        <v>149</v>
      </c>
      <c r="AG361" s="11">
        <f>Supply_Chain[[#This Row],[Total_Cost]]/Supply_Chain[[#This Row],[Stock_On_Hand]]</f>
        <v>0.12604672681008558</v>
      </c>
    </row>
    <row r="362" spans="1:33" x14ac:dyDescent="0.25">
      <c r="A362" t="s">
        <v>1197</v>
      </c>
      <c r="B362" t="s">
        <v>1198</v>
      </c>
      <c r="C362" s="1">
        <v>44653</v>
      </c>
      <c r="D362" s="1">
        <v>44006</v>
      </c>
      <c r="E362" t="s">
        <v>55</v>
      </c>
      <c r="F362" t="s">
        <v>75</v>
      </c>
      <c r="G362" t="s">
        <v>32</v>
      </c>
      <c r="H362" t="s">
        <v>166</v>
      </c>
      <c r="I362" s="3" t="s">
        <v>3057</v>
      </c>
      <c r="J362" s="3" t="s">
        <v>3518</v>
      </c>
      <c r="K362" s="3" t="s">
        <v>3521</v>
      </c>
      <c r="L362" s="3" t="s">
        <v>3854</v>
      </c>
      <c r="M362">
        <v>32.19</v>
      </c>
      <c r="N362">
        <v>89</v>
      </c>
      <c r="O362">
        <f>Supply_Chain[[#This Row],[Unit_Price]]*Supply_Chain[[#This Row],[Quantity]]</f>
        <v>2864.91</v>
      </c>
      <c r="P362" t="s">
        <v>1199</v>
      </c>
      <c r="Q362" t="s">
        <v>68</v>
      </c>
      <c r="R362" t="s">
        <v>360</v>
      </c>
      <c r="S362" t="s">
        <v>70</v>
      </c>
      <c r="T362" t="s">
        <v>60</v>
      </c>
      <c r="U362" t="s">
        <v>196</v>
      </c>
      <c r="V362">
        <v>4336</v>
      </c>
      <c r="W362">
        <v>235</v>
      </c>
      <c r="X362">
        <v>25</v>
      </c>
      <c r="Y362">
        <v>950.02</v>
      </c>
      <c r="Z362">
        <v>146.97</v>
      </c>
      <c r="AA362" s="9">
        <v>1096.99</v>
      </c>
      <c r="AB362" t="s">
        <v>52</v>
      </c>
      <c r="AC362">
        <v>0</v>
      </c>
      <c r="AD362">
        <v>75.56</v>
      </c>
      <c r="AE362">
        <v>468</v>
      </c>
      <c r="AF362">
        <v>497</v>
      </c>
      <c r="AG362" s="11">
        <f>Supply_Chain[[#This Row],[Total_Cost]]/Supply_Chain[[#This Row],[Stock_On_Hand]]</f>
        <v>0.25299584870848707</v>
      </c>
    </row>
    <row r="363" spans="1:33" x14ac:dyDescent="0.25">
      <c r="A363" t="s">
        <v>1200</v>
      </c>
      <c r="B363" t="s">
        <v>1201</v>
      </c>
      <c r="C363" s="1">
        <v>45474</v>
      </c>
      <c r="D363" s="1">
        <v>44492</v>
      </c>
      <c r="E363" t="s">
        <v>55</v>
      </c>
      <c r="F363" t="s">
        <v>64</v>
      </c>
      <c r="G363" t="s">
        <v>91</v>
      </c>
      <c r="H363" t="s">
        <v>33</v>
      </c>
      <c r="I363" s="3" t="s">
        <v>3058</v>
      </c>
      <c r="J363" s="3" t="s">
        <v>3519</v>
      </c>
      <c r="K363" s="3" t="s">
        <v>3528</v>
      </c>
      <c r="L363" s="3" t="s">
        <v>3855</v>
      </c>
      <c r="M363">
        <v>331.21</v>
      </c>
      <c r="N363">
        <v>51</v>
      </c>
      <c r="O363">
        <f>Supply_Chain[[#This Row],[Unit_Price]]*Supply_Chain[[#This Row],[Quantity]]</f>
        <v>16891.71</v>
      </c>
      <c r="P363" t="s">
        <v>699</v>
      </c>
      <c r="Q363" t="s">
        <v>48</v>
      </c>
      <c r="R363" t="s">
        <v>172</v>
      </c>
      <c r="S363" t="s">
        <v>70</v>
      </c>
      <c r="T363" t="s">
        <v>60</v>
      </c>
      <c r="U363" t="s">
        <v>446</v>
      </c>
      <c r="V363">
        <v>1762</v>
      </c>
      <c r="W363">
        <v>425</v>
      </c>
      <c r="X363">
        <v>19</v>
      </c>
      <c r="Y363">
        <v>659.16</v>
      </c>
      <c r="Z363">
        <v>39.67</v>
      </c>
      <c r="AA363" s="9">
        <v>698.82999999999993</v>
      </c>
      <c r="AB363" t="s">
        <v>52</v>
      </c>
      <c r="AC363">
        <v>0</v>
      </c>
      <c r="AD363">
        <v>89.12</v>
      </c>
      <c r="AE363">
        <v>201</v>
      </c>
      <c r="AF363">
        <v>174</v>
      </c>
      <c r="AG363" s="11">
        <f>Supply_Chain[[#This Row],[Total_Cost]]/Supply_Chain[[#This Row],[Stock_On_Hand]]</f>
        <v>0.39661180476730984</v>
      </c>
    </row>
    <row r="364" spans="1:33" x14ac:dyDescent="0.25">
      <c r="A364" t="s">
        <v>1202</v>
      </c>
      <c r="B364" t="s">
        <v>1203</v>
      </c>
      <c r="C364" s="1">
        <v>45423</v>
      </c>
      <c r="D364" s="1">
        <v>44157</v>
      </c>
      <c r="E364" t="s">
        <v>43</v>
      </c>
      <c r="F364" t="s">
        <v>64</v>
      </c>
      <c r="G364" t="s">
        <v>32</v>
      </c>
      <c r="H364" t="s">
        <v>57</v>
      </c>
      <c r="I364" s="3" t="s">
        <v>3059</v>
      </c>
      <c r="J364" s="3" t="s">
        <v>3519</v>
      </c>
      <c r="K364" s="3" t="s">
        <v>3528</v>
      </c>
      <c r="L364" s="3" t="s">
        <v>3856</v>
      </c>
      <c r="M364">
        <v>341.44</v>
      </c>
      <c r="N364">
        <v>85</v>
      </c>
      <c r="O364">
        <f>Supply_Chain[[#This Row],[Unit_Price]]*Supply_Chain[[#This Row],[Quantity]]</f>
        <v>29022.400000000001</v>
      </c>
      <c r="P364" t="s">
        <v>1204</v>
      </c>
      <c r="Q364" t="s">
        <v>68</v>
      </c>
      <c r="R364" t="s">
        <v>301</v>
      </c>
      <c r="S364" t="s">
        <v>50</v>
      </c>
      <c r="T364" t="s">
        <v>71</v>
      </c>
      <c r="U364" t="s">
        <v>691</v>
      </c>
      <c r="V364">
        <v>2378</v>
      </c>
      <c r="W364">
        <v>381</v>
      </c>
      <c r="X364">
        <v>2</v>
      </c>
      <c r="Y364">
        <v>721.77</v>
      </c>
      <c r="Z364">
        <v>104.74</v>
      </c>
      <c r="AA364" s="9">
        <v>826.51</v>
      </c>
      <c r="AB364" t="s">
        <v>52</v>
      </c>
      <c r="AC364">
        <v>0</v>
      </c>
      <c r="AD364">
        <v>75.06</v>
      </c>
      <c r="AE364">
        <v>314</v>
      </c>
      <c r="AF364">
        <v>281</v>
      </c>
      <c r="AG364" s="11">
        <f>Supply_Chain[[#This Row],[Total_Cost]]/Supply_Chain[[#This Row],[Stock_On_Hand]]</f>
        <v>0.34756518082422205</v>
      </c>
    </row>
    <row r="365" spans="1:33" x14ac:dyDescent="0.25">
      <c r="A365" t="s">
        <v>1205</v>
      </c>
      <c r="B365" t="s">
        <v>1047</v>
      </c>
      <c r="C365" s="1">
        <v>44357</v>
      </c>
      <c r="D365" s="1">
        <v>44826</v>
      </c>
      <c r="E365" t="s">
        <v>43</v>
      </c>
      <c r="F365" t="s">
        <v>64</v>
      </c>
      <c r="G365" t="s">
        <v>32</v>
      </c>
      <c r="H365" t="s">
        <v>166</v>
      </c>
      <c r="I365" s="3" t="s">
        <v>3060</v>
      </c>
      <c r="J365" s="3" t="s">
        <v>3518</v>
      </c>
      <c r="K365" s="3" t="s">
        <v>3525</v>
      </c>
      <c r="L365" s="3" t="s">
        <v>3857</v>
      </c>
      <c r="M365">
        <v>28.32</v>
      </c>
      <c r="N365">
        <v>85</v>
      </c>
      <c r="O365">
        <f>Supply_Chain[[#This Row],[Unit_Price]]*Supply_Chain[[#This Row],[Quantity]]</f>
        <v>2407.1999999999998</v>
      </c>
      <c r="P365" t="s">
        <v>1206</v>
      </c>
      <c r="Q365" t="s">
        <v>86</v>
      </c>
      <c r="R365" t="s">
        <v>306</v>
      </c>
      <c r="S365" t="s">
        <v>70</v>
      </c>
      <c r="T365" t="s">
        <v>60</v>
      </c>
      <c r="U365" t="s">
        <v>265</v>
      </c>
      <c r="V365">
        <v>3614</v>
      </c>
      <c r="W365">
        <v>280</v>
      </c>
      <c r="X365">
        <v>18</v>
      </c>
      <c r="Y365">
        <v>1563.99</v>
      </c>
      <c r="Z365">
        <v>434.44</v>
      </c>
      <c r="AA365" s="9">
        <v>1998.43</v>
      </c>
      <c r="AB365" t="s">
        <v>52</v>
      </c>
      <c r="AC365">
        <v>0</v>
      </c>
      <c r="AD365">
        <v>88.47</v>
      </c>
      <c r="AE365">
        <v>141</v>
      </c>
      <c r="AF365">
        <v>111</v>
      </c>
      <c r="AG365" s="11">
        <f>Supply_Chain[[#This Row],[Total_Cost]]/Supply_Chain[[#This Row],[Stock_On_Hand]]</f>
        <v>0.55296900940785831</v>
      </c>
    </row>
    <row r="366" spans="1:33" x14ac:dyDescent="0.25">
      <c r="A366" t="s">
        <v>1207</v>
      </c>
      <c r="B366" t="s">
        <v>1208</v>
      </c>
      <c r="C366" s="1">
        <v>45418</v>
      </c>
      <c r="D366" s="1">
        <v>45461</v>
      </c>
      <c r="E366" t="s">
        <v>55</v>
      </c>
      <c r="F366" t="s">
        <v>75</v>
      </c>
      <c r="G366" t="s">
        <v>247</v>
      </c>
      <c r="H366" t="s">
        <v>116</v>
      </c>
      <c r="I366" s="3" t="s">
        <v>3061</v>
      </c>
      <c r="J366" s="3" t="s">
        <v>3518</v>
      </c>
      <c r="K366" s="3" t="s">
        <v>3522</v>
      </c>
      <c r="L366" s="3" t="s">
        <v>3858</v>
      </c>
      <c r="M366">
        <v>144.21</v>
      </c>
      <c r="N366">
        <v>29</v>
      </c>
      <c r="O366">
        <f>Supply_Chain[[#This Row],[Unit_Price]]*Supply_Chain[[#This Row],[Quantity]]</f>
        <v>4182.09</v>
      </c>
      <c r="P366" t="s">
        <v>129</v>
      </c>
      <c r="Q366" t="s">
        <v>68</v>
      </c>
      <c r="R366" t="s">
        <v>269</v>
      </c>
      <c r="S366" t="s">
        <v>70</v>
      </c>
      <c r="T366" t="s">
        <v>71</v>
      </c>
      <c r="U366" t="s">
        <v>155</v>
      </c>
      <c r="V366">
        <v>3801</v>
      </c>
      <c r="W366">
        <v>120</v>
      </c>
      <c r="X366">
        <v>11</v>
      </c>
      <c r="Y366">
        <v>848.56</v>
      </c>
      <c r="Z366">
        <v>237.86</v>
      </c>
      <c r="AA366" s="9">
        <v>1086.42</v>
      </c>
      <c r="AB366" t="s">
        <v>52</v>
      </c>
      <c r="AC366">
        <v>0</v>
      </c>
      <c r="AD366">
        <v>80.150000000000006</v>
      </c>
      <c r="AE366">
        <v>287</v>
      </c>
      <c r="AF366">
        <v>304</v>
      </c>
      <c r="AG366" s="11">
        <f>Supply_Chain[[#This Row],[Total_Cost]]/Supply_Chain[[#This Row],[Stock_On_Hand]]</f>
        <v>0.28582478295185482</v>
      </c>
    </row>
    <row r="367" spans="1:33" x14ac:dyDescent="0.25">
      <c r="A367" t="s">
        <v>1209</v>
      </c>
      <c r="B367" t="s">
        <v>1210</v>
      </c>
      <c r="C367" s="1">
        <v>44802</v>
      </c>
      <c r="D367" s="1">
        <v>45452</v>
      </c>
      <c r="E367" t="s">
        <v>55</v>
      </c>
      <c r="F367" t="s">
        <v>31</v>
      </c>
      <c r="G367" t="s">
        <v>83</v>
      </c>
      <c r="H367" t="s">
        <v>46</v>
      </c>
      <c r="I367" s="3" t="s">
        <v>3062</v>
      </c>
      <c r="J367" s="3" t="s">
        <v>3518</v>
      </c>
      <c r="K367" s="3" t="s">
        <v>3527</v>
      </c>
      <c r="L367" s="3" t="s">
        <v>3623</v>
      </c>
      <c r="M367">
        <v>112.22</v>
      </c>
      <c r="N367">
        <v>40</v>
      </c>
      <c r="O367">
        <f>Supply_Chain[[#This Row],[Unit_Price]]*Supply_Chain[[#This Row],[Quantity]]</f>
        <v>4488.8</v>
      </c>
      <c r="P367" t="s">
        <v>1211</v>
      </c>
      <c r="Q367" t="s">
        <v>68</v>
      </c>
      <c r="R367" t="s">
        <v>49</v>
      </c>
      <c r="S367" t="s">
        <v>37</v>
      </c>
      <c r="T367" t="s">
        <v>60</v>
      </c>
      <c r="U367" t="s">
        <v>163</v>
      </c>
      <c r="V367">
        <v>2660</v>
      </c>
      <c r="W367">
        <v>162</v>
      </c>
      <c r="X367">
        <v>10</v>
      </c>
      <c r="Y367">
        <v>1977.08</v>
      </c>
      <c r="Z367">
        <v>344.52</v>
      </c>
      <c r="AA367" s="9">
        <v>2321.6</v>
      </c>
      <c r="AB367" t="s">
        <v>52</v>
      </c>
      <c r="AC367">
        <v>0</v>
      </c>
      <c r="AD367">
        <v>79.59</v>
      </c>
      <c r="AE367">
        <v>59</v>
      </c>
      <c r="AF367">
        <v>107</v>
      </c>
      <c r="AG367" s="11">
        <f>Supply_Chain[[#This Row],[Total_Cost]]/Supply_Chain[[#This Row],[Stock_On_Hand]]</f>
        <v>0.87278195488721799</v>
      </c>
    </row>
    <row r="368" spans="1:33" x14ac:dyDescent="0.25">
      <c r="A368" t="s">
        <v>1212</v>
      </c>
      <c r="B368" t="s">
        <v>1213</v>
      </c>
      <c r="C368" s="1">
        <v>44021</v>
      </c>
      <c r="D368" s="1">
        <v>44684</v>
      </c>
      <c r="E368" t="s">
        <v>55</v>
      </c>
      <c r="F368" t="s">
        <v>64</v>
      </c>
      <c r="G368" t="s">
        <v>91</v>
      </c>
      <c r="H368" t="s">
        <v>46</v>
      </c>
      <c r="I368" s="3" t="s">
        <v>3063</v>
      </c>
      <c r="J368" s="3" t="s">
        <v>3518</v>
      </c>
      <c r="K368" s="3" t="s">
        <v>3523</v>
      </c>
      <c r="L368" s="3" t="s">
        <v>3859</v>
      </c>
      <c r="M368">
        <v>463.92</v>
      </c>
      <c r="N368">
        <v>49</v>
      </c>
      <c r="O368">
        <f>Supply_Chain[[#This Row],[Unit_Price]]*Supply_Chain[[#This Row],[Quantity]]</f>
        <v>22732.080000000002</v>
      </c>
      <c r="P368" t="s">
        <v>1214</v>
      </c>
      <c r="Q368" t="s">
        <v>110</v>
      </c>
      <c r="R368" t="s">
        <v>388</v>
      </c>
      <c r="S368" t="s">
        <v>37</v>
      </c>
      <c r="T368" t="s">
        <v>38</v>
      </c>
      <c r="U368" t="s">
        <v>227</v>
      </c>
      <c r="V368">
        <v>1593</v>
      </c>
      <c r="W368">
        <v>289</v>
      </c>
      <c r="X368">
        <v>19</v>
      </c>
      <c r="Y368">
        <v>1354.2</v>
      </c>
      <c r="Z368">
        <v>137.9</v>
      </c>
      <c r="AA368" s="9">
        <v>1492.1</v>
      </c>
      <c r="AB368" t="s">
        <v>52</v>
      </c>
      <c r="AC368">
        <v>0</v>
      </c>
      <c r="AD368">
        <v>96.08</v>
      </c>
      <c r="AE368">
        <v>188</v>
      </c>
      <c r="AF368">
        <v>223</v>
      </c>
      <c r="AG368" s="11">
        <f>Supply_Chain[[#This Row],[Total_Cost]]/Supply_Chain[[#This Row],[Stock_On_Hand]]</f>
        <v>0.93666038920276207</v>
      </c>
    </row>
    <row r="369" spans="1:33" x14ac:dyDescent="0.25">
      <c r="A369" t="s">
        <v>1215</v>
      </c>
      <c r="B369" t="s">
        <v>1216</v>
      </c>
      <c r="C369" s="1">
        <v>45265</v>
      </c>
      <c r="D369" s="1">
        <v>45055</v>
      </c>
      <c r="E369" t="s">
        <v>43</v>
      </c>
      <c r="F369" t="s">
        <v>115</v>
      </c>
      <c r="G369" t="s">
        <v>56</v>
      </c>
      <c r="H369" t="s">
        <v>66</v>
      </c>
      <c r="I369" s="3" t="s">
        <v>3064</v>
      </c>
      <c r="J369" s="3" t="s">
        <v>3519</v>
      </c>
      <c r="K369" s="3" t="s">
        <v>3528</v>
      </c>
      <c r="L369" s="3" t="s">
        <v>3860</v>
      </c>
      <c r="M369">
        <v>443.86</v>
      </c>
      <c r="N369">
        <v>64</v>
      </c>
      <c r="O369">
        <f>Supply_Chain[[#This Row],[Unit_Price]]*Supply_Chain[[#This Row],[Quantity]]</f>
        <v>28407.040000000001</v>
      </c>
      <c r="P369" t="s">
        <v>1071</v>
      </c>
      <c r="Q369" t="s">
        <v>86</v>
      </c>
      <c r="R369" t="s">
        <v>610</v>
      </c>
      <c r="S369" t="s">
        <v>50</v>
      </c>
      <c r="T369" t="s">
        <v>71</v>
      </c>
      <c r="U369" t="s">
        <v>316</v>
      </c>
      <c r="V369">
        <v>3467</v>
      </c>
      <c r="W369">
        <v>331</v>
      </c>
      <c r="X369">
        <v>5</v>
      </c>
      <c r="Y369">
        <v>391.01</v>
      </c>
      <c r="Z369">
        <v>225.14</v>
      </c>
      <c r="AA369" s="9">
        <v>616.15</v>
      </c>
      <c r="AB369" t="s">
        <v>52</v>
      </c>
      <c r="AC369">
        <v>0</v>
      </c>
      <c r="AD369">
        <v>75.83</v>
      </c>
      <c r="AE369">
        <v>266</v>
      </c>
      <c r="AF369">
        <v>283</v>
      </c>
      <c r="AG369" s="11">
        <f>Supply_Chain[[#This Row],[Total_Cost]]/Supply_Chain[[#This Row],[Stock_On_Hand]]</f>
        <v>0.17771848860686471</v>
      </c>
    </row>
    <row r="370" spans="1:33" x14ac:dyDescent="0.25">
      <c r="A370" t="s">
        <v>1217</v>
      </c>
      <c r="B370" t="s">
        <v>1218</v>
      </c>
      <c r="C370" s="1">
        <v>45026</v>
      </c>
      <c r="D370" s="1">
        <v>44153</v>
      </c>
      <c r="E370" t="s">
        <v>55</v>
      </c>
      <c r="F370" t="s">
        <v>75</v>
      </c>
      <c r="G370" t="s">
        <v>32</v>
      </c>
      <c r="H370" t="s">
        <v>92</v>
      </c>
      <c r="I370" s="3" t="s">
        <v>3065</v>
      </c>
      <c r="J370" s="3" t="s">
        <v>84</v>
      </c>
      <c r="K370" s="3" t="s">
        <v>3529</v>
      </c>
      <c r="L370" s="3" t="s">
        <v>3861</v>
      </c>
      <c r="M370">
        <v>293.23</v>
      </c>
      <c r="N370">
        <v>2</v>
      </c>
      <c r="O370">
        <f>Supply_Chain[[#This Row],[Unit_Price]]*Supply_Chain[[#This Row],[Quantity]]</f>
        <v>586.46</v>
      </c>
      <c r="P370" t="s">
        <v>1219</v>
      </c>
      <c r="Q370" t="s">
        <v>110</v>
      </c>
      <c r="R370" t="s">
        <v>130</v>
      </c>
      <c r="S370" t="s">
        <v>50</v>
      </c>
      <c r="T370" t="s">
        <v>60</v>
      </c>
      <c r="U370" t="s">
        <v>227</v>
      </c>
      <c r="V370">
        <v>2393</v>
      </c>
      <c r="W370">
        <v>460</v>
      </c>
      <c r="X370">
        <v>10</v>
      </c>
      <c r="Y370">
        <v>274.01</v>
      </c>
      <c r="Z370">
        <v>174.73</v>
      </c>
      <c r="AA370" s="9">
        <v>448.74</v>
      </c>
      <c r="AB370" t="s">
        <v>52</v>
      </c>
      <c r="AC370">
        <v>0</v>
      </c>
      <c r="AD370">
        <v>82.81</v>
      </c>
      <c r="AE370">
        <v>344</v>
      </c>
      <c r="AF370">
        <v>310</v>
      </c>
      <c r="AG370" s="11">
        <f>Supply_Chain[[#This Row],[Total_Cost]]/Supply_Chain[[#This Row],[Stock_On_Hand]]</f>
        <v>0.18752193898871711</v>
      </c>
    </row>
    <row r="371" spans="1:33" x14ac:dyDescent="0.25">
      <c r="A371" t="s">
        <v>1220</v>
      </c>
      <c r="B371" t="s">
        <v>1221</v>
      </c>
      <c r="C371" s="1">
        <v>45388</v>
      </c>
      <c r="D371" s="1">
        <v>45399</v>
      </c>
      <c r="E371" t="s">
        <v>43</v>
      </c>
      <c r="F371" t="s">
        <v>31</v>
      </c>
      <c r="G371" t="s">
        <v>45</v>
      </c>
      <c r="H371" t="s">
        <v>166</v>
      </c>
      <c r="I371" s="3" t="s">
        <v>3066</v>
      </c>
      <c r="J371" s="3" t="s">
        <v>3518</v>
      </c>
      <c r="K371" s="3" t="s">
        <v>3533</v>
      </c>
      <c r="L371" s="3" t="s">
        <v>3862</v>
      </c>
      <c r="M371">
        <v>94.35</v>
      </c>
      <c r="N371">
        <v>92</v>
      </c>
      <c r="O371">
        <f>Supply_Chain[[#This Row],[Unit_Price]]*Supply_Chain[[#This Row],[Quantity]]</f>
        <v>8680.1999999999989</v>
      </c>
      <c r="P371" t="s">
        <v>1151</v>
      </c>
      <c r="Q371" t="s">
        <v>48</v>
      </c>
      <c r="R371" t="s">
        <v>124</v>
      </c>
      <c r="S371" t="s">
        <v>50</v>
      </c>
      <c r="T371" t="s">
        <v>71</v>
      </c>
      <c r="U371" t="s">
        <v>80</v>
      </c>
      <c r="V371">
        <v>858</v>
      </c>
      <c r="W371">
        <v>121</v>
      </c>
      <c r="X371">
        <v>6</v>
      </c>
      <c r="Y371">
        <v>1472.42</v>
      </c>
      <c r="Z371">
        <v>311.47000000000003</v>
      </c>
      <c r="AA371" s="9">
        <v>1783.89</v>
      </c>
      <c r="AB371" t="s">
        <v>52</v>
      </c>
      <c r="AC371">
        <v>0</v>
      </c>
      <c r="AD371">
        <v>72.52</v>
      </c>
      <c r="AE371">
        <v>354</v>
      </c>
      <c r="AF371">
        <v>354</v>
      </c>
      <c r="AG371" s="11">
        <f>Supply_Chain[[#This Row],[Total_Cost]]/Supply_Chain[[#This Row],[Stock_On_Hand]]</f>
        <v>2.0791258741258742</v>
      </c>
    </row>
    <row r="372" spans="1:33" x14ac:dyDescent="0.25">
      <c r="A372" t="s">
        <v>1222</v>
      </c>
      <c r="B372" t="s">
        <v>1223</v>
      </c>
      <c r="C372" s="1">
        <v>45242</v>
      </c>
      <c r="D372" s="1">
        <v>45215</v>
      </c>
      <c r="E372" t="s">
        <v>43</v>
      </c>
      <c r="F372" t="s">
        <v>44</v>
      </c>
      <c r="G372" t="s">
        <v>247</v>
      </c>
      <c r="H372" t="s">
        <v>33</v>
      </c>
      <c r="I372" s="3" t="s">
        <v>2743</v>
      </c>
      <c r="J372" s="3" t="s">
        <v>3518</v>
      </c>
      <c r="K372" s="3" t="s">
        <v>3525</v>
      </c>
      <c r="L372" s="3" t="s">
        <v>3543</v>
      </c>
      <c r="M372">
        <v>41.98</v>
      </c>
      <c r="N372">
        <v>40</v>
      </c>
      <c r="O372">
        <f>Supply_Chain[[#This Row],[Unit_Price]]*Supply_Chain[[#This Row],[Quantity]]</f>
        <v>1679.1999999999998</v>
      </c>
      <c r="P372" t="s">
        <v>286</v>
      </c>
      <c r="Q372" t="s">
        <v>110</v>
      </c>
      <c r="R372" t="s">
        <v>277</v>
      </c>
      <c r="S372" t="s">
        <v>119</v>
      </c>
      <c r="T372" t="s">
        <v>79</v>
      </c>
      <c r="U372" t="s">
        <v>370</v>
      </c>
      <c r="V372">
        <v>4676</v>
      </c>
      <c r="W372">
        <v>131</v>
      </c>
      <c r="X372">
        <v>26</v>
      </c>
      <c r="Y372">
        <v>497.87</v>
      </c>
      <c r="Z372">
        <v>15.92</v>
      </c>
      <c r="AA372" s="9">
        <v>513.79</v>
      </c>
      <c r="AB372" t="s">
        <v>52</v>
      </c>
      <c r="AC372">
        <v>0</v>
      </c>
      <c r="AD372">
        <v>85.3</v>
      </c>
      <c r="AE372">
        <v>262</v>
      </c>
      <c r="AF372">
        <v>295</v>
      </c>
      <c r="AG372" s="11">
        <f>Supply_Chain[[#This Row],[Total_Cost]]/Supply_Chain[[#This Row],[Stock_On_Hand]]</f>
        <v>0.10987810094097518</v>
      </c>
    </row>
    <row r="373" spans="1:33" x14ac:dyDescent="0.25">
      <c r="A373" t="s">
        <v>1224</v>
      </c>
      <c r="B373" t="s">
        <v>1225</v>
      </c>
      <c r="C373" s="1">
        <v>45346</v>
      </c>
      <c r="D373" s="1">
        <v>44450</v>
      </c>
      <c r="E373" t="s">
        <v>55</v>
      </c>
      <c r="F373" t="s">
        <v>64</v>
      </c>
      <c r="G373" t="s">
        <v>91</v>
      </c>
      <c r="H373" t="s">
        <v>57</v>
      </c>
      <c r="I373" s="3" t="s">
        <v>3067</v>
      </c>
      <c r="J373" s="3" t="s">
        <v>84</v>
      </c>
      <c r="K373" s="3" t="s">
        <v>3526</v>
      </c>
      <c r="L373" s="3" t="s">
        <v>3863</v>
      </c>
      <c r="M373">
        <v>360.43</v>
      </c>
      <c r="N373">
        <v>56</v>
      </c>
      <c r="O373">
        <f>Supply_Chain[[#This Row],[Unit_Price]]*Supply_Chain[[#This Row],[Quantity]]</f>
        <v>20184.080000000002</v>
      </c>
      <c r="P373" t="s">
        <v>1226</v>
      </c>
      <c r="Q373" t="s">
        <v>86</v>
      </c>
      <c r="R373" t="s">
        <v>172</v>
      </c>
      <c r="S373" t="s">
        <v>37</v>
      </c>
      <c r="T373" t="s">
        <v>100</v>
      </c>
      <c r="U373" t="s">
        <v>168</v>
      </c>
      <c r="V373">
        <v>4179</v>
      </c>
      <c r="W373">
        <v>174</v>
      </c>
      <c r="X373">
        <v>14</v>
      </c>
      <c r="Y373">
        <v>1829.78</v>
      </c>
      <c r="Z373">
        <v>81.69</v>
      </c>
      <c r="AA373" s="9">
        <v>1911.47</v>
      </c>
      <c r="AB373" t="s">
        <v>40</v>
      </c>
      <c r="AC373">
        <v>5</v>
      </c>
      <c r="AD373">
        <v>91.73</v>
      </c>
      <c r="AE373">
        <v>228</v>
      </c>
      <c r="AF373">
        <v>191</v>
      </c>
      <c r="AG373" s="11">
        <f>Supply_Chain[[#This Row],[Total_Cost]]/Supply_Chain[[#This Row],[Stock_On_Hand]]</f>
        <v>0.45739889925819577</v>
      </c>
    </row>
    <row r="374" spans="1:33" x14ac:dyDescent="0.25">
      <c r="A374" t="s">
        <v>1227</v>
      </c>
      <c r="B374" t="s">
        <v>1228</v>
      </c>
      <c r="C374" s="1">
        <v>44052</v>
      </c>
      <c r="D374" s="1">
        <v>45501</v>
      </c>
      <c r="E374" t="s">
        <v>55</v>
      </c>
      <c r="F374" t="s">
        <v>31</v>
      </c>
      <c r="G374" t="s">
        <v>83</v>
      </c>
      <c r="H374" t="s">
        <v>46</v>
      </c>
      <c r="I374" s="3" t="s">
        <v>3068</v>
      </c>
      <c r="J374" s="3" t="s">
        <v>3518</v>
      </c>
      <c r="K374" s="3" t="s">
        <v>3525</v>
      </c>
      <c r="L374" s="3" t="s">
        <v>3864</v>
      </c>
      <c r="M374">
        <v>357.7</v>
      </c>
      <c r="N374">
        <v>10</v>
      </c>
      <c r="O374">
        <f>Supply_Chain[[#This Row],[Unit_Price]]*Supply_Chain[[#This Row],[Quantity]]</f>
        <v>3577</v>
      </c>
      <c r="P374" t="s">
        <v>129</v>
      </c>
      <c r="Q374" t="s">
        <v>86</v>
      </c>
      <c r="R374" t="s">
        <v>78</v>
      </c>
      <c r="S374" t="s">
        <v>37</v>
      </c>
      <c r="T374" t="s">
        <v>60</v>
      </c>
      <c r="U374" t="s">
        <v>270</v>
      </c>
      <c r="V374">
        <v>1610</v>
      </c>
      <c r="W374">
        <v>372</v>
      </c>
      <c r="X374">
        <v>2</v>
      </c>
      <c r="Y374">
        <v>1345.21</v>
      </c>
      <c r="Z374">
        <v>18.16</v>
      </c>
      <c r="AA374" s="9">
        <v>1363.37</v>
      </c>
      <c r="AB374" t="s">
        <v>52</v>
      </c>
      <c r="AC374">
        <v>0</v>
      </c>
      <c r="AD374">
        <v>73.349999999999994</v>
      </c>
      <c r="AE374">
        <v>339</v>
      </c>
      <c r="AF374">
        <v>363</v>
      </c>
      <c r="AG374" s="11">
        <f>Supply_Chain[[#This Row],[Total_Cost]]/Supply_Chain[[#This Row],[Stock_On_Hand]]</f>
        <v>0.84681366459627327</v>
      </c>
    </row>
    <row r="375" spans="1:33" x14ac:dyDescent="0.25">
      <c r="A375" t="s">
        <v>1229</v>
      </c>
      <c r="B375" t="s">
        <v>1230</v>
      </c>
      <c r="C375" s="1">
        <v>44309</v>
      </c>
      <c r="D375" s="1">
        <v>45471</v>
      </c>
      <c r="E375" t="s">
        <v>43</v>
      </c>
      <c r="F375" t="s">
        <v>44</v>
      </c>
      <c r="G375" t="s">
        <v>45</v>
      </c>
      <c r="H375" t="s">
        <v>57</v>
      </c>
      <c r="I375" s="3" t="s">
        <v>3069</v>
      </c>
      <c r="J375" s="3" t="s">
        <v>3518</v>
      </c>
      <c r="K375" s="3" t="s">
        <v>3525</v>
      </c>
      <c r="L375" s="3" t="s">
        <v>3865</v>
      </c>
      <c r="M375">
        <v>305.52999999999997</v>
      </c>
      <c r="N375">
        <v>59</v>
      </c>
      <c r="O375">
        <f>Supply_Chain[[#This Row],[Unit_Price]]*Supply_Chain[[#This Row],[Quantity]]</f>
        <v>18026.269999999997</v>
      </c>
      <c r="P375" t="s">
        <v>1231</v>
      </c>
      <c r="Q375" t="s">
        <v>35</v>
      </c>
      <c r="R375" t="s">
        <v>819</v>
      </c>
      <c r="S375" t="s">
        <v>70</v>
      </c>
      <c r="T375" t="s">
        <v>100</v>
      </c>
      <c r="U375" t="s">
        <v>125</v>
      </c>
      <c r="V375">
        <v>2110</v>
      </c>
      <c r="W375">
        <v>215</v>
      </c>
      <c r="X375">
        <v>9</v>
      </c>
      <c r="Y375">
        <v>1341.13</v>
      </c>
      <c r="Z375">
        <v>460.44</v>
      </c>
      <c r="AA375" s="9">
        <v>1801.57</v>
      </c>
      <c r="AB375" t="s">
        <v>52</v>
      </c>
      <c r="AC375">
        <v>0</v>
      </c>
      <c r="AD375">
        <v>97.05</v>
      </c>
      <c r="AE375">
        <v>95</v>
      </c>
      <c r="AF375">
        <v>136</v>
      </c>
      <c r="AG375" s="11">
        <f>Supply_Chain[[#This Row],[Total_Cost]]/Supply_Chain[[#This Row],[Stock_On_Hand]]</f>
        <v>0.85382464454976303</v>
      </c>
    </row>
    <row r="376" spans="1:33" x14ac:dyDescent="0.25">
      <c r="A376" t="s">
        <v>1232</v>
      </c>
      <c r="B376" t="s">
        <v>1233</v>
      </c>
      <c r="C376" s="1">
        <v>45464</v>
      </c>
      <c r="D376" s="1">
        <v>44569</v>
      </c>
      <c r="E376" t="s">
        <v>55</v>
      </c>
      <c r="F376" t="s">
        <v>75</v>
      </c>
      <c r="G376" t="s">
        <v>76</v>
      </c>
      <c r="H376" t="s">
        <v>92</v>
      </c>
      <c r="I376" s="3" t="s">
        <v>2787</v>
      </c>
      <c r="J376" s="3" t="s">
        <v>3518</v>
      </c>
      <c r="K376" s="3" t="s">
        <v>3525</v>
      </c>
      <c r="L376" s="3" t="s">
        <v>3587</v>
      </c>
      <c r="M376">
        <v>372</v>
      </c>
      <c r="N376">
        <v>44</v>
      </c>
      <c r="O376">
        <f>Supply_Chain[[#This Row],[Unit_Price]]*Supply_Chain[[#This Row],[Quantity]]</f>
        <v>16368</v>
      </c>
      <c r="P376" t="s">
        <v>1234</v>
      </c>
      <c r="Q376" t="s">
        <v>48</v>
      </c>
      <c r="R376" t="s">
        <v>145</v>
      </c>
      <c r="S376" t="s">
        <v>37</v>
      </c>
      <c r="T376" t="s">
        <v>100</v>
      </c>
      <c r="U376" t="s">
        <v>39</v>
      </c>
      <c r="V376">
        <v>94</v>
      </c>
      <c r="W376">
        <v>71</v>
      </c>
      <c r="X376">
        <v>7</v>
      </c>
      <c r="Y376">
        <v>1934.59</v>
      </c>
      <c r="Z376">
        <v>211.21</v>
      </c>
      <c r="AA376" s="9">
        <v>2145.8000000000002</v>
      </c>
      <c r="AB376" t="s">
        <v>40</v>
      </c>
      <c r="AC376">
        <v>1</v>
      </c>
      <c r="AD376">
        <v>75.06</v>
      </c>
      <c r="AE376">
        <v>74</v>
      </c>
      <c r="AF376">
        <v>120</v>
      </c>
      <c r="AG376" s="11">
        <f>Supply_Chain[[#This Row],[Total_Cost]]/Supply_Chain[[#This Row],[Stock_On_Hand]]</f>
        <v>22.827659574468086</v>
      </c>
    </row>
    <row r="377" spans="1:33" x14ac:dyDescent="0.25">
      <c r="A377" t="s">
        <v>1235</v>
      </c>
      <c r="B377" t="s">
        <v>1236</v>
      </c>
      <c r="C377" s="1">
        <v>45626</v>
      </c>
      <c r="D377" s="1">
        <v>45583</v>
      </c>
      <c r="E377" t="s">
        <v>43</v>
      </c>
      <c r="F377" t="s">
        <v>44</v>
      </c>
      <c r="G377" t="s">
        <v>56</v>
      </c>
      <c r="H377" t="s">
        <v>33</v>
      </c>
      <c r="I377" s="3" t="s">
        <v>3070</v>
      </c>
      <c r="J377" s="3" t="s">
        <v>3518</v>
      </c>
      <c r="K377" s="3" t="s">
        <v>3532</v>
      </c>
      <c r="L377" s="3" t="s">
        <v>3866</v>
      </c>
      <c r="M377">
        <v>115.44</v>
      </c>
      <c r="N377">
        <v>71</v>
      </c>
      <c r="O377">
        <f>Supply_Chain[[#This Row],[Unit_Price]]*Supply_Chain[[#This Row],[Quantity]]</f>
        <v>8196.24</v>
      </c>
      <c r="P377" t="s">
        <v>1237</v>
      </c>
      <c r="Q377" t="s">
        <v>110</v>
      </c>
      <c r="R377" t="s">
        <v>145</v>
      </c>
      <c r="S377" t="s">
        <v>50</v>
      </c>
      <c r="T377" t="s">
        <v>71</v>
      </c>
      <c r="U377" t="s">
        <v>291</v>
      </c>
      <c r="V377">
        <v>1059</v>
      </c>
      <c r="W377">
        <v>390</v>
      </c>
      <c r="X377">
        <v>3</v>
      </c>
      <c r="Y377">
        <v>942.64</v>
      </c>
      <c r="Z377">
        <v>218.7</v>
      </c>
      <c r="AA377" s="9">
        <v>1161.3399999999999</v>
      </c>
      <c r="AB377" t="s">
        <v>52</v>
      </c>
      <c r="AC377">
        <v>0</v>
      </c>
      <c r="AD377">
        <v>87.53</v>
      </c>
      <c r="AE377">
        <v>227</v>
      </c>
      <c r="AF377">
        <v>263</v>
      </c>
      <c r="AG377" s="11">
        <f>Supply_Chain[[#This Row],[Total_Cost]]/Supply_Chain[[#This Row],[Stock_On_Hand]]</f>
        <v>1.0966383380547686</v>
      </c>
    </row>
    <row r="378" spans="1:33" x14ac:dyDescent="0.25">
      <c r="A378" t="s">
        <v>1238</v>
      </c>
      <c r="B378" t="s">
        <v>1239</v>
      </c>
      <c r="C378" s="1">
        <v>44859</v>
      </c>
      <c r="D378" s="1">
        <v>44689</v>
      </c>
      <c r="E378" t="s">
        <v>55</v>
      </c>
      <c r="F378" t="s">
        <v>75</v>
      </c>
      <c r="G378" t="s">
        <v>247</v>
      </c>
      <c r="H378" t="s">
        <v>33</v>
      </c>
      <c r="I378" s="3" t="s">
        <v>3071</v>
      </c>
      <c r="J378" s="3" t="s">
        <v>3518</v>
      </c>
      <c r="K378" s="3" t="s">
        <v>3527</v>
      </c>
      <c r="L378" s="3" t="s">
        <v>3867</v>
      </c>
      <c r="M378">
        <v>422.22</v>
      </c>
      <c r="N378">
        <v>37</v>
      </c>
      <c r="O378">
        <f>Supply_Chain[[#This Row],[Unit_Price]]*Supply_Chain[[#This Row],[Quantity]]</f>
        <v>15622.140000000001</v>
      </c>
      <c r="P378" t="s">
        <v>505</v>
      </c>
      <c r="Q378" t="s">
        <v>110</v>
      </c>
      <c r="R378" t="s">
        <v>135</v>
      </c>
      <c r="S378" t="s">
        <v>70</v>
      </c>
      <c r="T378" t="s">
        <v>38</v>
      </c>
      <c r="U378" t="s">
        <v>310</v>
      </c>
      <c r="V378">
        <v>3462</v>
      </c>
      <c r="W378">
        <v>236</v>
      </c>
      <c r="X378">
        <v>8</v>
      </c>
      <c r="Y378">
        <v>1315.39</v>
      </c>
      <c r="Z378">
        <v>105.6</v>
      </c>
      <c r="AA378" s="9">
        <v>1420.99</v>
      </c>
      <c r="AB378" t="s">
        <v>52</v>
      </c>
      <c r="AC378">
        <v>0</v>
      </c>
      <c r="AD378">
        <v>79.31</v>
      </c>
      <c r="AE378">
        <v>113</v>
      </c>
      <c r="AF378">
        <v>99</v>
      </c>
      <c r="AG378" s="11">
        <f>Supply_Chain[[#This Row],[Total_Cost]]/Supply_Chain[[#This Row],[Stock_On_Hand]]</f>
        <v>0.4104534950895436</v>
      </c>
    </row>
    <row r="379" spans="1:33" x14ac:dyDescent="0.25">
      <c r="A379" t="s">
        <v>1240</v>
      </c>
      <c r="B379" t="s">
        <v>1241</v>
      </c>
      <c r="C379" s="1">
        <v>44149</v>
      </c>
      <c r="D379" s="1">
        <v>44031</v>
      </c>
      <c r="E379" t="s">
        <v>55</v>
      </c>
      <c r="F379" t="s">
        <v>31</v>
      </c>
      <c r="G379" t="s">
        <v>65</v>
      </c>
      <c r="H379" t="s">
        <v>57</v>
      </c>
      <c r="I379" s="3" t="s">
        <v>3072</v>
      </c>
      <c r="J379" s="3" t="s">
        <v>3519</v>
      </c>
      <c r="K379" s="3" t="s">
        <v>3530</v>
      </c>
      <c r="L379" s="3" t="s">
        <v>3868</v>
      </c>
      <c r="M379">
        <v>400.41</v>
      </c>
      <c r="N379">
        <v>84</v>
      </c>
      <c r="O379">
        <f>Supply_Chain[[#This Row],[Unit_Price]]*Supply_Chain[[#This Row],[Quantity]]</f>
        <v>33634.44</v>
      </c>
      <c r="P379" t="s">
        <v>403</v>
      </c>
      <c r="Q379" t="s">
        <v>35</v>
      </c>
      <c r="R379" t="s">
        <v>819</v>
      </c>
      <c r="S379" t="s">
        <v>70</v>
      </c>
      <c r="T379" t="s">
        <v>79</v>
      </c>
      <c r="U379" t="s">
        <v>51</v>
      </c>
      <c r="V379">
        <v>537</v>
      </c>
      <c r="W379">
        <v>409</v>
      </c>
      <c r="X379">
        <v>25</v>
      </c>
      <c r="Y379">
        <v>525.48</v>
      </c>
      <c r="Z379">
        <v>352.82</v>
      </c>
      <c r="AA379" s="9">
        <v>878.3</v>
      </c>
      <c r="AB379" t="s">
        <v>52</v>
      </c>
      <c r="AC379">
        <v>0</v>
      </c>
      <c r="AD379">
        <v>83.23</v>
      </c>
      <c r="AE379">
        <v>109</v>
      </c>
      <c r="AF379">
        <v>101</v>
      </c>
      <c r="AG379" s="11">
        <f>Supply_Chain[[#This Row],[Total_Cost]]/Supply_Chain[[#This Row],[Stock_On_Hand]]</f>
        <v>1.6355679702048416</v>
      </c>
    </row>
    <row r="380" spans="1:33" x14ac:dyDescent="0.25">
      <c r="A380" t="s">
        <v>1242</v>
      </c>
      <c r="B380" t="s">
        <v>1243</v>
      </c>
      <c r="C380" s="1">
        <v>45160</v>
      </c>
      <c r="D380" s="1">
        <v>44612</v>
      </c>
      <c r="E380" t="s">
        <v>43</v>
      </c>
      <c r="F380" t="s">
        <v>115</v>
      </c>
      <c r="G380" t="s">
        <v>91</v>
      </c>
      <c r="H380" t="s">
        <v>92</v>
      </c>
      <c r="I380" s="3" t="s">
        <v>3073</v>
      </c>
      <c r="J380" s="3" t="s">
        <v>3519</v>
      </c>
      <c r="K380" s="3" t="s">
        <v>3536</v>
      </c>
      <c r="L380" s="3" t="s">
        <v>3869</v>
      </c>
      <c r="M380">
        <v>215.08</v>
      </c>
      <c r="N380">
        <v>93</v>
      </c>
      <c r="O380">
        <f>Supply_Chain[[#This Row],[Unit_Price]]*Supply_Chain[[#This Row],[Quantity]]</f>
        <v>20002.440000000002</v>
      </c>
      <c r="P380" t="s">
        <v>139</v>
      </c>
      <c r="Q380" t="s">
        <v>110</v>
      </c>
      <c r="R380" t="s">
        <v>172</v>
      </c>
      <c r="S380" t="s">
        <v>70</v>
      </c>
      <c r="T380" t="s">
        <v>60</v>
      </c>
      <c r="U380" t="s">
        <v>265</v>
      </c>
      <c r="V380">
        <v>17</v>
      </c>
      <c r="W380">
        <v>119</v>
      </c>
      <c r="X380">
        <v>19</v>
      </c>
      <c r="Y380">
        <v>1877.46</v>
      </c>
      <c r="Z380">
        <v>322.63</v>
      </c>
      <c r="AA380" s="9">
        <v>2200.09</v>
      </c>
      <c r="AB380" t="s">
        <v>52</v>
      </c>
      <c r="AC380">
        <v>0</v>
      </c>
      <c r="AD380">
        <v>73.81</v>
      </c>
      <c r="AE380">
        <v>151</v>
      </c>
      <c r="AF380">
        <v>159</v>
      </c>
      <c r="AG380" s="11">
        <f>Supply_Chain[[#This Row],[Total_Cost]]/Supply_Chain[[#This Row],[Stock_On_Hand]]</f>
        <v>129.41705882352943</v>
      </c>
    </row>
    <row r="381" spans="1:33" x14ac:dyDescent="0.25">
      <c r="A381" t="s">
        <v>1244</v>
      </c>
      <c r="B381" t="s">
        <v>1245</v>
      </c>
      <c r="C381" s="1">
        <v>45333</v>
      </c>
      <c r="D381" s="1">
        <v>45583</v>
      </c>
      <c r="E381" t="s">
        <v>55</v>
      </c>
      <c r="F381" t="s">
        <v>115</v>
      </c>
      <c r="G381" t="s">
        <v>91</v>
      </c>
      <c r="H381" t="s">
        <v>92</v>
      </c>
      <c r="I381" s="3" t="s">
        <v>3074</v>
      </c>
      <c r="J381" s="3" t="s">
        <v>84</v>
      </c>
      <c r="K381" s="3" t="s">
        <v>3529</v>
      </c>
      <c r="L381" s="3" t="s">
        <v>3870</v>
      </c>
      <c r="M381">
        <v>175.96</v>
      </c>
      <c r="N381">
        <v>83</v>
      </c>
      <c r="O381">
        <f>Supply_Chain[[#This Row],[Unit_Price]]*Supply_Chain[[#This Row],[Quantity]]</f>
        <v>14604.68</v>
      </c>
      <c r="P381" t="s">
        <v>1246</v>
      </c>
      <c r="Q381" t="s">
        <v>48</v>
      </c>
      <c r="R381" t="s">
        <v>290</v>
      </c>
      <c r="S381" t="s">
        <v>70</v>
      </c>
      <c r="T381" t="s">
        <v>71</v>
      </c>
      <c r="U381" t="s">
        <v>691</v>
      </c>
      <c r="V381">
        <v>3980</v>
      </c>
      <c r="W381">
        <v>237</v>
      </c>
      <c r="X381">
        <v>27</v>
      </c>
      <c r="Y381">
        <v>89.56</v>
      </c>
      <c r="Z381">
        <v>350.76</v>
      </c>
      <c r="AA381" s="9">
        <v>440.32</v>
      </c>
      <c r="AB381" t="s">
        <v>52</v>
      </c>
      <c r="AC381">
        <v>0</v>
      </c>
      <c r="AD381">
        <v>74.19</v>
      </c>
      <c r="AE381">
        <v>61</v>
      </c>
      <c r="AF381">
        <v>44</v>
      </c>
      <c r="AG381" s="11">
        <f>Supply_Chain[[#This Row],[Total_Cost]]/Supply_Chain[[#This Row],[Stock_On_Hand]]</f>
        <v>0.11063316582914573</v>
      </c>
    </row>
    <row r="382" spans="1:33" x14ac:dyDescent="0.25">
      <c r="A382" t="s">
        <v>1247</v>
      </c>
      <c r="B382" t="s">
        <v>1248</v>
      </c>
      <c r="C382" s="1">
        <v>43890</v>
      </c>
      <c r="D382" s="1">
        <v>44903</v>
      </c>
      <c r="E382" t="s">
        <v>55</v>
      </c>
      <c r="F382" t="s">
        <v>31</v>
      </c>
      <c r="G382" t="s">
        <v>32</v>
      </c>
      <c r="H382" t="s">
        <v>46</v>
      </c>
      <c r="I382" s="3" t="s">
        <v>3075</v>
      </c>
      <c r="J382" s="3" t="s">
        <v>3518</v>
      </c>
      <c r="K382" s="3" t="s">
        <v>3522</v>
      </c>
      <c r="L382" s="3" t="s">
        <v>3871</v>
      </c>
      <c r="M382">
        <v>205.67</v>
      </c>
      <c r="N382">
        <v>58</v>
      </c>
      <c r="O382">
        <f>Supply_Chain[[#This Row],[Unit_Price]]*Supply_Chain[[#This Row],[Quantity]]</f>
        <v>11928.859999999999</v>
      </c>
      <c r="P382" t="s">
        <v>1249</v>
      </c>
      <c r="Q382" t="s">
        <v>110</v>
      </c>
      <c r="R382" t="s">
        <v>306</v>
      </c>
      <c r="S382" t="s">
        <v>119</v>
      </c>
      <c r="T382" t="s">
        <v>60</v>
      </c>
      <c r="U382" t="s">
        <v>249</v>
      </c>
      <c r="V382">
        <v>3480</v>
      </c>
      <c r="W382">
        <v>163</v>
      </c>
      <c r="X382">
        <v>18</v>
      </c>
      <c r="Y382">
        <v>810.79</v>
      </c>
      <c r="Z382">
        <v>445.4</v>
      </c>
      <c r="AA382" s="9">
        <v>1256.19</v>
      </c>
      <c r="AB382" t="s">
        <v>52</v>
      </c>
      <c r="AC382">
        <v>0</v>
      </c>
      <c r="AD382">
        <v>85.54</v>
      </c>
      <c r="AE382">
        <v>320</v>
      </c>
      <c r="AF382">
        <v>365</v>
      </c>
      <c r="AG382" s="11">
        <f>Supply_Chain[[#This Row],[Total_Cost]]/Supply_Chain[[#This Row],[Stock_On_Hand]]</f>
        <v>0.3609741379310345</v>
      </c>
    </row>
    <row r="383" spans="1:33" x14ac:dyDescent="0.25">
      <c r="A383" t="s">
        <v>1250</v>
      </c>
      <c r="B383" t="s">
        <v>1251</v>
      </c>
      <c r="C383" s="1">
        <v>45470</v>
      </c>
      <c r="D383" s="1">
        <v>44629</v>
      </c>
      <c r="E383" t="s">
        <v>30</v>
      </c>
      <c r="F383" t="s">
        <v>64</v>
      </c>
      <c r="G383" t="s">
        <v>247</v>
      </c>
      <c r="H383" t="s">
        <v>166</v>
      </c>
      <c r="I383" s="3" t="s">
        <v>3076</v>
      </c>
      <c r="J383" s="3" t="s">
        <v>3518</v>
      </c>
      <c r="K383" s="3" t="s">
        <v>3521</v>
      </c>
      <c r="L383" s="3" t="s">
        <v>3872</v>
      </c>
      <c r="M383">
        <v>403.76</v>
      </c>
      <c r="N383">
        <v>66</v>
      </c>
      <c r="O383">
        <f>Supply_Chain[[#This Row],[Unit_Price]]*Supply_Chain[[#This Row],[Quantity]]</f>
        <v>26648.16</v>
      </c>
      <c r="P383" t="s">
        <v>638</v>
      </c>
      <c r="Q383" t="s">
        <v>86</v>
      </c>
      <c r="R383" t="s">
        <v>480</v>
      </c>
      <c r="S383" t="s">
        <v>37</v>
      </c>
      <c r="T383" t="s">
        <v>71</v>
      </c>
      <c r="U383" t="s">
        <v>316</v>
      </c>
      <c r="V383">
        <v>4581</v>
      </c>
      <c r="W383">
        <v>469</v>
      </c>
      <c r="X383">
        <v>4</v>
      </c>
      <c r="Y383">
        <v>1630.77</v>
      </c>
      <c r="Z383">
        <v>102.36</v>
      </c>
      <c r="AA383" s="9">
        <v>1733.13</v>
      </c>
      <c r="AB383" t="s">
        <v>52</v>
      </c>
      <c r="AC383">
        <v>0</v>
      </c>
      <c r="AD383">
        <v>72.81</v>
      </c>
      <c r="AE383">
        <v>125</v>
      </c>
      <c r="AF383">
        <v>90</v>
      </c>
      <c r="AG383" s="11">
        <f>Supply_Chain[[#This Row],[Total_Cost]]/Supply_Chain[[#This Row],[Stock_On_Hand]]</f>
        <v>0.37833005893909627</v>
      </c>
    </row>
    <row r="384" spans="1:33" x14ac:dyDescent="0.25">
      <c r="A384" t="s">
        <v>1252</v>
      </c>
      <c r="B384" t="s">
        <v>1253</v>
      </c>
      <c r="C384" s="1">
        <v>44009</v>
      </c>
      <c r="D384" s="1">
        <v>45406</v>
      </c>
      <c r="E384" t="s">
        <v>30</v>
      </c>
      <c r="F384" t="s">
        <v>31</v>
      </c>
      <c r="G384" t="s">
        <v>91</v>
      </c>
      <c r="H384" t="s">
        <v>57</v>
      </c>
      <c r="I384" s="3" t="s">
        <v>3077</v>
      </c>
      <c r="J384" s="3" t="s">
        <v>84</v>
      </c>
      <c r="K384" s="3" t="s">
        <v>3529</v>
      </c>
      <c r="L384" s="3" t="s">
        <v>3873</v>
      </c>
      <c r="M384">
        <v>255.68</v>
      </c>
      <c r="N384">
        <v>72</v>
      </c>
      <c r="O384">
        <f>Supply_Chain[[#This Row],[Unit_Price]]*Supply_Chain[[#This Row],[Quantity]]</f>
        <v>18408.96</v>
      </c>
      <c r="P384" t="s">
        <v>1254</v>
      </c>
      <c r="Q384" t="s">
        <v>68</v>
      </c>
      <c r="R384" t="s">
        <v>140</v>
      </c>
      <c r="S384" t="s">
        <v>70</v>
      </c>
      <c r="T384" t="s">
        <v>71</v>
      </c>
      <c r="U384" t="s">
        <v>101</v>
      </c>
      <c r="V384">
        <v>1394</v>
      </c>
      <c r="W384">
        <v>417</v>
      </c>
      <c r="X384">
        <v>25</v>
      </c>
      <c r="Y384">
        <v>561.62</v>
      </c>
      <c r="Z384">
        <v>12.49</v>
      </c>
      <c r="AA384" s="9">
        <v>574.11</v>
      </c>
      <c r="AB384" t="s">
        <v>52</v>
      </c>
      <c r="AC384">
        <v>0</v>
      </c>
      <c r="AD384">
        <v>80.92</v>
      </c>
      <c r="AE384">
        <v>438</v>
      </c>
      <c r="AF384">
        <v>396</v>
      </c>
      <c r="AG384" s="11">
        <f>Supply_Chain[[#This Row],[Total_Cost]]/Supply_Chain[[#This Row],[Stock_On_Hand]]</f>
        <v>0.4118436154949785</v>
      </c>
    </row>
    <row r="385" spans="1:33" x14ac:dyDescent="0.25">
      <c r="A385" t="s">
        <v>1255</v>
      </c>
      <c r="B385" t="s">
        <v>1256</v>
      </c>
      <c r="C385" s="1">
        <v>44534</v>
      </c>
      <c r="D385" s="1">
        <v>43922</v>
      </c>
      <c r="E385" t="s">
        <v>43</v>
      </c>
      <c r="F385" t="s">
        <v>44</v>
      </c>
      <c r="G385" t="s">
        <v>76</v>
      </c>
      <c r="H385" t="s">
        <v>66</v>
      </c>
      <c r="I385" s="3" t="s">
        <v>3078</v>
      </c>
      <c r="J385" s="3" t="s">
        <v>84</v>
      </c>
      <c r="K385" s="3" t="s">
        <v>3534</v>
      </c>
      <c r="L385" s="3" t="s">
        <v>3874</v>
      </c>
      <c r="M385">
        <v>24.56</v>
      </c>
      <c r="N385">
        <v>30</v>
      </c>
      <c r="O385">
        <f>Supply_Chain[[#This Row],[Unit_Price]]*Supply_Chain[[#This Row],[Quantity]]</f>
        <v>736.8</v>
      </c>
      <c r="P385" t="s">
        <v>538</v>
      </c>
      <c r="Q385" t="s">
        <v>86</v>
      </c>
      <c r="R385" t="s">
        <v>269</v>
      </c>
      <c r="S385" t="s">
        <v>37</v>
      </c>
      <c r="T385" t="s">
        <v>38</v>
      </c>
      <c r="U385" t="s">
        <v>80</v>
      </c>
      <c r="V385">
        <v>3695</v>
      </c>
      <c r="W385">
        <v>257</v>
      </c>
      <c r="X385">
        <v>10</v>
      </c>
      <c r="Y385">
        <v>1418.31</v>
      </c>
      <c r="Z385">
        <v>82.6</v>
      </c>
      <c r="AA385" s="9">
        <v>1500.91</v>
      </c>
      <c r="AB385" t="s">
        <v>52</v>
      </c>
      <c r="AC385">
        <v>0</v>
      </c>
      <c r="AD385">
        <v>74.2</v>
      </c>
      <c r="AE385">
        <v>326</v>
      </c>
      <c r="AF385">
        <v>304</v>
      </c>
      <c r="AG385" s="11">
        <f>Supply_Chain[[#This Row],[Total_Cost]]/Supply_Chain[[#This Row],[Stock_On_Hand]]</f>
        <v>0.40620027063599462</v>
      </c>
    </row>
    <row r="386" spans="1:33" x14ac:dyDescent="0.25">
      <c r="A386" t="s">
        <v>1257</v>
      </c>
      <c r="B386" t="s">
        <v>1258</v>
      </c>
      <c r="C386" s="1">
        <v>44885</v>
      </c>
      <c r="D386" s="1">
        <v>45263</v>
      </c>
      <c r="E386" t="s">
        <v>55</v>
      </c>
      <c r="F386" t="s">
        <v>115</v>
      </c>
      <c r="G386" t="s">
        <v>65</v>
      </c>
      <c r="H386" t="s">
        <v>92</v>
      </c>
      <c r="I386" s="3" t="s">
        <v>3043</v>
      </c>
      <c r="J386" s="3" t="s">
        <v>84</v>
      </c>
      <c r="K386" s="3" t="s">
        <v>3534</v>
      </c>
      <c r="L386" s="3" t="s">
        <v>3840</v>
      </c>
      <c r="M386">
        <v>464.3</v>
      </c>
      <c r="N386">
        <v>79</v>
      </c>
      <c r="O386">
        <f>Supply_Chain[[#This Row],[Unit_Price]]*Supply_Chain[[#This Row],[Quantity]]</f>
        <v>36679.700000000004</v>
      </c>
      <c r="P386" t="s">
        <v>1259</v>
      </c>
      <c r="Q386" t="s">
        <v>35</v>
      </c>
      <c r="R386" t="s">
        <v>135</v>
      </c>
      <c r="S386" t="s">
        <v>37</v>
      </c>
      <c r="T386" t="s">
        <v>38</v>
      </c>
      <c r="U386" t="s">
        <v>446</v>
      </c>
      <c r="V386">
        <v>136</v>
      </c>
      <c r="W386">
        <v>444</v>
      </c>
      <c r="X386">
        <v>14</v>
      </c>
      <c r="Y386">
        <v>826.12</v>
      </c>
      <c r="Z386">
        <v>348.32</v>
      </c>
      <c r="AA386" s="9">
        <v>1174.44</v>
      </c>
      <c r="AB386" t="s">
        <v>52</v>
      </c>
      <c r="AC386">
        <v>0</v>
      </c>
      <c r="AD386">
        <v>88.97</v>
      </c>
      <c r="AE386">
        <v>156</v>
      </c>
      <c r="AF386">
        <v>185</v>
      </c>
      <c r="AG386" s="11">
        <f>Supply_Chain[[#This Row],[Total_Cost]]/Supply_Chain[[#This Row],[Stock_On_Hand]]</f>
        <v>8.6355882352941187</v>
      </c>
    </row>
    <row r="387" spans="1:33" x14ac:dyDescent="0.25">
      <c r="A387" t="s">
        <v>1260</v>
      </c>
      <c r="B387" t="s">
        <v>1261</v>
      </c>
      <c r="C387" s="1">
        <v>44828</v>
      </c>
      <c r="D387" s="1">
        <v>45606</v>
      </c>
      <c r="E387" t="s">
        <v>55</v>
      </c>
      <c r="F387" t="s">
        <v>44</v>
      </c>
      <c r="G387" t="s">
        <v>91</v>
      </c>
      <c r="H387" t="s">
        <v>66</v>
      </c>
      <c r="I387" s="3" t="s">
        <v>3079</v>
      </c>
      <c r="J387" s="3" t="s">
        <v>3518</v>
      </c>
      <c r="K387" s="3" t="s">
        <v>3524</v>
      </c>
      <c r="L387" s="3" t="s">
        <v>3875</v>
      </c>
      <c r="M387">
        <v>316.83</v>
      </c>
      <c r="N387">
        <v>7</v>
      </c>
      <c r="O387">
        <f>Supply_Chain[[#This Row],[Unit_Price]]*Supply_Chain[[#This Row],[Quantity]]</f>
        <v>2217.81</v>
      </c>
      <c r="P387" t="s">
        <v>1262</v>
      </c>
      <c r="Q387" t="s">
        <v>86</v>
      </c>
      <c r="R387" t="s">
        <v>610</v>
      </c>
      <c r="S387" t="s">
        <v>37</v>
      </c>
      <c r="T387" t="s">
        <v>38</v>
      </c>
      <c r="U387" t="s">
        <v>370</v>
      </c>
      <c r="V387">
        <v>1869</v>
      </c>
      <c r="W387">
        <v>62</v>
      </c>
      <c r="X387">
        <v>3</v>
      </c>
      <c r="Y387">
        <v>1286.95</v>
      </c>
      <c r="Z387">
        <v>335.69</v>
      </c>
      <c r="AA387" s="9">
        <v>1622.64</v>
      </c>
      <c r="AB387" t="s">
        <v>52</v>
      </c>
      <c r="AC387">
        <v>0</v>
      </c>
      <c r="AD387">
        <v>70.34</v>
      </c>
      <c r="AE387">
        <v>378</v>
      </c>
      <c r="AF387">
        <v>363</v>
      </c>
      <c r="AG387" s="11">
        <f>Supply_Chain[[#This Row],[Total_Cost]]/Supply_Chain[[#This Row],[Stock_On_Hand]]</f>
        <v>0.86818619582664536</v>
      </c>
    </row>
    <row r="388" spans="1:33" x14ac:dyDescent="0.25">
      <c r="A388" t="s">
        <v>1263</v>
      </c>
      <c r="B388" t="s">
        <v>1264</v>
      </c>
      <c r="C388" s="1">
        <v>45174</v>
      </c>
      <c r="D388" s="1">
        <v>45664</v>
      </c>
      <c r="E388" t="s">
        <v>43</v>
      </c>
      <c r="F388" t="s">
        <v>64</v>
      </c>
      <c r="G388" t="s">
        <v>32</v>
      </c>
      <c r="H388" t="s">
        <v>128</v>
      </c>
      <c r="I388" s="3" t="s">
        <v>3080</v>
      </c>
      <c r="J388" s="3" t="s">
        <v>3518</v>
      </c>
      <c r="K388" s="3" t="s">
        <v>3522</v>
      </c>
      <c r="L388" s="3" t="s">
        <v>3876</v>
      </c>
      <c r="M388">
        <v>93.91</v>
      </c>
      <c r="N388">
        <v>37</v>
      </c>
      <c r="O388">
        <f>Supply_Chain[[#This Row],[Unit_Price]]*Supply_Chain[[#This Row],[Quantity]]</f>
        <v>3474.67</v>
      </c>
      <c r="P388" t="s">
        <v>1265</v>
      </c>
      <c r="Q388" t="s">
        <v>86</v>
      </c>
      <c r="R388" t="s">
        <v>419</v>
      </c>
      <c r="S388" t="s">
        <v>37</v>
      </c>
      <c r="T388" t="s">
        <v>71</v>
      </c>
      <c r="U388" t="s">
        <v>101</v>
      </c>
      <c r="V388">
        <v>2136</v>
      </c>
      <c r="W388">
        <v>74</v>
      </c>
      <c r="X388">
        <v>7</v>
      </c>
      <c r="Y388">
        <v>1151.6600000000001</v>
      </c>
      <c r="Z388">
        <v>467.98</v>
      </c>
      <c r="AA388" s="9">
        <v>1619.64</v>
      </c>
      <c r="AB388" t="s">
        <v>52</v>
      </c>
      <c r="AC388">
        <v>0</v>
      </c>
      <c r="AD388">
        <v>82.39</v>
      </c>
      <c r="AE388">
        <v>233</v>
      </c>
      <c r="AF388">
        <v>266</v>
      </c>
      <c r="AG388" s="11">
        <f>Supply_Chain[[#This Row],[Total_Cost]]/Supply_Chain[[#This Row],[Stock_On_Hand]]</f>
        <v>0.7582584269662922</v>
      </c>
    </row>
    <row r="389" spans="1:33" x14ac:dyDescent="0.25">
      <c r="A389" t="s">
        <v>1266</v>
      </c>
      <c r="B389" t="s">
        <v>1267</v>
      </c>
      <c r="C389" s="1">
        <v>45170</v>
      </c>
      <c r="D389" s="1">
        <v>45037</v>
      </c>
      <c r="E389" t="s">
        <v>55</v>
      </c>
      <c r="F389" t="s">
        <v>44</v>
      </c>
      <c r="G389" t="s">
        <v>247</v>
      </c>
      <c r="H389" t="s">
        <v>128</v>
      </c>
      <c r="I389" s="3" t="s">
        <v>3081</v>
      </c>
      <c r="J389" s="3" t="s">
        <v>3518</v>
      </c>
      <c r="K389" s="3" t="s">
        <v>3524</v>
      </c>
      <c r="L389" s="3" t="s">
        <v>3877</v>
      </c>
      <c r="M389">
        <v>262.88</v>
      </c>
      <c r="N389">
        <v>80</v>
      </c>
      <c r="O389">
        <f>Supply_Chain[[#This Row],[Unit_Price]]*Supply_Chain[[#This Row],[Quantity]]</f>
        <v>21030.400000000001</v>
      </c>
      <c r="P389" t="s">
        <v>1268</v>
      </c>
      <c r="Q389" t="s">
        <v>35</v>
      </c>
      <c r="R389" t="s">
        <v>610</v>
      </c>
      <c r="S389" t="s">
        <v>119</v>
      </c>
      <c r="T389" t="s">
        <v>38</v>
      </c>
      <c r="U389" t="s">
        <v>669</v>
      </c>
      <c r="V389">
        <v>697</v>
      </c>
      <c r="W389">
        <v>134</v>
      </c>
      <c r="X389">
        <v>22</v>
      </c>
      <c r="Y389">
        <v>1368.62</v>
      </c>
      <c r="Z389">
        <v>77.27</v>
      </c>
      <c r="AA389" s="9">
        <v>1445.89</v>
      </c>
      <c r="AB389" t="s">
        <v>52</v>
      </c>
      <c r="AC389">
        <v>0</v>
      </c>
      <c r="AD389">
        <v>88.81</v>
      </c>
      <c r="AE389">
        <v>247</v>
      </c>
      <c r="AF389">
        <v>247</v>
      </c>
      <c r="AG389" s="11">
        <f>Supply_Chain[[#This Row],[Total_Cost]]/Supply_Chain[[#This Row],[Stock_On_Hand]]</f>
        <v>2.0744476327116215</v>
      </c>
    </row>
    <row r="390" spans="1:33" x14ac:dyDescent="0.25">
      <c r="A390" t="s">
        <v>1269</v>
      </c>
      <c r="B390" t="s">
        <v>1270</v>
      </c>
      <c r="C390" s="1">
        <v>45435</v>
      </c>
      <c r="D390" s="1">
        <v>43871</v>
      </c>
      <c r="E390" t="s">
        <v>30</v>
      </c>
      <c r="F390" t="s">
        <v>31</v>
      </c>
      <c r="G390" t="s">
        <v>32</v>
      </c>
      <c r="H390" t="s">
        <v>46</v>
      </c>
      <c r="I390" s="3" t="s">
        <v>3082</v>
      </c>
      <c r="J390" s="3" t="s">
        <v>3518</v>
      </c>
      <c r="K390" s="3" t="s">
        <v>3522</v>
      </c>
      <c r="L390" s="3" t="s">
        <v>3878</v>
      </c>
      <c r="M390">
        <v>312.11</v>
      </c>
      <c r="N390">
        <v>34</v>
      </c>
      <c r="O390">
        <f>Supply_Chain[[#This Row],[Unit_Price]]*Supply_Chain[[#This Row],[Quantity]]</f>
        <v>10611.74</v>
      </c>
      <c r="P390" t="s">
        <v>398</v>
      </c>
      <c r="Q390" t="s">
        <v>68</v>
      </c>
      <c r="R390" t="s">
        <v>264</v>
      </c>
      <c r="S390" t="s">
        <v>50</v>
      </c>
      <c r="T390" t="s">
        <v>79</v>
      </c>
      <c r="U390" t="s">
        <v>619</v>
      </c>
      <c r="V390">
        <v>3990</v>
      </c>
      <c r="W390">
        <v>473</v>
      </c>
      <c r="X390">
        <v>11</v>
      </c>
      <c r="Y390">
        <v>1875.33</v>
      </c>
      <c r="Z390">
        <v>401.93</v>
      </c>
      <c r="AA390" s="9">
        <v>2277.2600000000002</v>
      </c>
      <c r="AB390" t="s">
        <v>52</v>
      </c>
      <c r="AC390">
        <v>0</v>
      </c>
      <c r="AD390">
        <v>96.24</v>
      </c>
      <c r="AE390">
        <v>402</v>
      </c>
      <c r="AF390">
        <v>418</v>
      </c>
      <c r="AG390" s="11">
        <f>Supply_Chain[[#This Row],[Total_Cost]]/Supply_Chain[[#This Row],[Stock_On_Hand]]</f>
        <v>0.57074185463659155</v>
      </c>
    </row>
    <row r="391" spans="1:33" x14ac:dyDescent="0.25">
      <c r="A391" t="s">
        <v>1271</v>
      </c>
      <c r="B391" t="s">
        <v>1272</v>
      </c>
      <c r="C391" s="1">
        <v>43936</v>
      </c>
      <c r="D391" s="1">
        <v>44336</v>
      </c>
      <c r="E391" t="s">
        <v>55</v>
      </c>
      <c r="F391" t="s">
        <v>44</v>
      </c>
      <c r="G391" t="s">
        <v>65</v>
      </c>
      <c r="H391" t="s">
        <v>46</v>
      </c>
      <c r="I391" s="3" t="s">
        <v>3083</v>
      </c>
      <c r="J391" s="3" t="s">
        <v>3518</v>
      </c>
      <c r="K391" s="3" t="s">
        <v>3532</v>
      </c>
      <c r="L391" s="3" t="s">
        <v>3566</v>
      </c>
      <c r="M391">
        <v>391.95</v>
      </c>
      <c r="N391">
        <v>46</v>
      </c>
      <c r="O391">
        <f>Supply_Chain[[#This Row],[Unit_Price]]*Supply_Chain[[#This Row],[Quantity]]</f>
        <v>18029.7</v>
      </c>
      <c r="P391" t="s">
        <v>1273</v>
      </c>
      <c r="Q391" t="s">
        <v>35</v>
      </c>
      <c r="R391" t="s">
        <v>195</v>
      </c>
      <c r="S391" t="s">
        <v>50</v>
      </c>
      <c r="T391" t="s">
        <v>38</v>
      </c>
      <c r="U391" t="s">
        <v>669</v>
      </c>
      <c r="V391">
        <v>1302</v>
      </c>
      <c r="W391">
        <v>164</v>
      </c>
      <c r="X391">
        <v>17</v>
      </c>
      <c r="Y391">
        <v>106.4</v>
      </c>
      <c r="Z391">
        <v>455.07</v>
      </c>
      <c r="AA391" s="9">
        <v>561.47</v>
      </c>
      <c r="AB391" t="s">
        <v>40</v>
      </c>
      <c r="AC391">
        <v>10</v>
      </c>
      <c r="AD391">
        <v>90</v>
      </c>
      <c r="AE391">
        <v>485</v>
      </c>
      <c r="AF391">
        <v>526</v>
      </c>
      <c r="AG391" s="11">
        <f>Supply_Chain[[#This Row],[Total_Cost]]/Supply_Chain[[#This Row],[Stock_On_Hand]]</f>
        <v>0.43123655913978498</v>
      </c>
    </row>
    <row r="392" spans="1:33" x14ac:dyDescent="0.25">
      <c r="A392" t="s">
        <v>1274</v>
      </c>
      <c r="B392" t="s">
        <v>1275</v>
      </c>
      <c r="C392" s="1">
        <v>45215</v>
      </c>
      <c r="D392" s="1">
        <v>43965</v>
      </c>
      <c r="E392" t="s">
        <v>55</v>
      </c>
      <c r="F392" t="s">
        <v>115</v>
      </c>
      <c r="G392" t="s">
        <v>45</v>
      </c>
      <c r="H392" t="s">
        <v>66</v>
      </c>
      <c r="I392" s="3" t="s">
        <v>2990</v>
      </c>
      <c r="J392" s="3" t="s">
        <v>84</v>
      </c>
      <c r="K392" s="3" t="s">
        <v>3526</v>
      </c>
      <c r="L392" s="3" t="s">
        <v>3788</v>
      </c>
      <c r="M392">
        <v>11.44</v>
      </c>
      <c r="N392">
        <v>74</v>
      </c>
      <c r="O392">
        <f>Supply_Chain[[#This Row],[Unit_Price]]*Supply_Chain[[#This Row],[Quantity]]</f>
        <v>846.56</v>
      </c>
      <c r="P392" t="s">
        <v>1276</v>
      </c>
      <c r="Q392" t="s">
        <v>48</v>
      </c>
      <c r="R392" t="s">
        <v>466</v>
      </c>
      <c r="S392" t="s">
        <v>70</v>
      </c>
      <c r="T392" t="s">
        <v>38</v>
      </c>
      <c r="U392" t="s">
        <v>155</v>
      </c>
      <c r="V392">
        <v>594</v>
      </c>
      <c r="W392">
        <v>232</v>
      </c>
      <c r="X392">
        <v>21</v>
      </c>
      <c r="Y392">
        <v>1529.63</v>
      </c>
      <c r="Z392">
        <v>431.87</v>
      </c>
      <c r="AA392" s="9">
        <v>1961.5</v>
      </c>
      <c r="AB392" t="s">
        <v>52</v>
      </c>
      <c r="AC392">
        <v>0</v>
      </c>
      <c r="AD392">
        <v>86.38</v>
      </c>
      <c r="AE392">
        <v>117</v>
      </c>
      <c r="AF392">
        <v>139</v>
      </c>
      <c r="AG392" s="11">
        <f>Supply_Chain[[#This Row],[Total_Cost]]/Supply_Chain[[#This Row],[Stock_On_Hand]]</f>
        <v>3.3021885521885523</v>
      </c>
    </row>
    <row r="393" spans="1:33" x14ac:dyDescent="0.25">
      <c r="A393" t="s">
        <v>1277</v>
      </c>
      <c r="B393" t="s">
        <v>1278</v>
      </c>
      <c r="C393" s="1">
        <v>45401</v>
      </c>
      <c r="D393" s="1">
        <v>45519</v>
      </c>
      <c r="E393" t="s">
        <v>43</v>
      </c>
      <c r="F393" t="s">
        <v>44</v>
      </c>
      <c r="G393" t="s">
        <v>65</v>
      </c>
      <c r="H393" t="s">
        <v>128</v>
      </c>
      <c r="I393" s="3" t="s">
        <v>2990</v>
      </c>
      <c r="J393" s="3" t="s">
        <v>84</v>
      </c>
      <c r="K393" s="3" t="s">
        <v>3526</v>
      </c>
      <c r="L393" s="3" t="s">
        <v>3788</v>
      </c>
      <c r="M393">
        <v>167.06</v>
      </c>
      <c r="N393">
        <v>89</v>
      </c>
      <c r="O393">
        <f>Supply_Chain[[#This Row],[Unit_Price]]*Supply_Chain[[#This Row],[Quantity]]</f>
        <v>14868.34</v>
      </c>
      <c r="P393" t="s">
        <v>1279</v>
      </c>
      <c r="Q393" t="s">
        <v>35</v>
      </c>
      <c r="R393" t="s">
        <v>301</v>
      </c>
      <c r="S393" t="s">
        <v>119</v>
      </c>
      <c r="T393" t="s">
        <v>79</v>
      </c>
      <c r="U393" t="s">
        <v>191</v>
      </c>
      <c r="V393">
        <v>4407</v>
      </c>
      <c r="W393">
        <v>191</v>
      </c>
      <c r="X393">
        <v>10</v>
      </c>
      <c r="Y393">
        <v>1568.28</v>
      </c>
      <c r="Z393">
        <v>432.12</v>
      </c>
      <c r="AA393" s="9">
        <v>2000.4</v>
      </c>
      <c r="AB393" t="s">
        <v>52</v>
      </c>
      <c r="AC393">
        <v>0</v>
      </c>
      <c r="AD393">
        <v>93.03</v>
      </c>
      <c r="AE393">
        <v>452</v>
      </c>
      <c r="AF393">
        <v>411</v>
      </c>
      <c r="AG393" s="11">
        <f>Supply_Chain[[#This Row],[Total_Cost]]/Supply_Chain[[#This Row],[Stock_On_Hand]]</f>
        <v>0.45391422736555481</v>
      </c>
    </row>
    <row r="394" spans="1:33" x14ac:dyDescent="0.25">
      <c r="A394" t="s">
        <v>1280</v>
      </c>
      <c r="B394" t="s">
        <v>1281</v>
      </c>
      <c r="C394" s="1">
        <v>45288</v>
      </c>
      <c r="D394" s="1">
        <v>45159</v>
      </c>
      <c r="E394" t="s">
        <v>55</v>
      </c>
      <c r="F394" t="s">
        <v>115</v>
      </c>
      <c r="G394" t="s">
        <v>247</v>
      </c>
      <c r="H394" t="s">
        <v>66</v>
      </c>
      <c r="I394" s="3" t="s">
        <v>3084</v>
      </c>
      <c r="J394" s="3" t="s">
        <v>84</v>
      </c>
      <c r="K394" s="3" t="s">
        <v>3529</v>
      </c>
      <c r="L394" s="3" t="s">
        <v>3879</v>
      </c>
      <c r="M394">
        <v>392.17</v>
      </c>
      <c r="N394">
        <v>51</v>
      </c>
      <c r="O394">
        <f>Supply_Chain[[#This Row],[Unit_Price]]*Supply_Chain[[#This Row],[Quantity]]</f>
        <v>20000.670000000002</v>
      </c>
      <c r="P394" t="s">
        <v>1282</v>
      </c>
      <c r="Q394" t="s">
        <v>86</v>
      </c>
      <c r="R394" t="s">
        <v>162</v>
      </c>
      <c r="S394" t="s">
        <v>119</v>
      </c>
      <c r="T394" t="s">
        <v>79</v>
      </c>
      <c r="U394" t="s">
        <v>440</v>
      </c>
      <c r="V394">
        <v>65</v>
      </c>
      <c r="W394">
        <v>373</v>
      </c>
      <c r="X394">
        <v>1</v>
      </c>
      <c r="Y394">
        <v>1164.58</v>
      </c>
      <c r="Z394">
        <v>319.69</v>
      </c>
      <c r="AA394" s="9">
        <v>1484.27</v>
      </c>
      <c r="AB394" t="s">
        <v>52</v>
      </c>
      <c r="AC394">
        <v>0</v>
      </c>
      <c r="AD394">
        <v>91.91</v>
      </c>
      <c r="AE394">
        <v>263</v>
      </c>
      <c r="AF394">
        <v>222</v>
      </c>
      <c r="AG394" s="11">
        <f>Supply_Chain[[#This Row],[Total_Cost]]/Supply_Chain[[#This Row],[Stock_On_Hand]]</f>
        <v>22.834923076923076</v>
      </c>
    </row>
    <row r="395" spans="1:33" x14ac:dyDescent="0.25">
      <c r="A395" t="s">
        <v>1283</v>
      </c>
      <c r="B395" t="s">
        <v>1284</v>
      </c>
      <c r="C395" s="1">
        <v>43877</v>
      </c>
      <c r="D395" s="1">
        <v>44065</v>
      </c>
      <c r="E395" t="s">
        <v>55</v>
      </c>
      <c r="F395" t="s">
        <v>115</v>
      </c>
      <c r="G395" t="s">
        <v>65</v>
      </c>
      <c r="H395" t="s">
        <v>57</v>
      </c>
      <c r="I395" s="3" t="s">
        <v>2999</v>
      </c>
      <c r="J395" s="3" t="s">
        <v>3518</v>
      </c>
      <c r="K395" s="3" t="s">
        <v>3522</v>
      </c>
      <c r="L395" s="3" t="s">
        <v>3797</v>
      </c>
      <c r="M395">
        <v>344.2</v>
      </c>
      <c r="N395">
        <v>43</v>
      </c>
      <c r="O395">
        <f>Supply_Chain[[#This Row],[Unit_Price]]*Supply_Chain[[#This Row],[Quantity]]</f>
        <v>14800.6</v>
      </c>
      <c r="P395" t="s">
        <v>1285</v>
      </c>
      <c r="Q395" t="s">
        <v>35</v>
      </c>
      <c r="R395" t="s">
        <v>236</v>
      </c>
      <c r="S395" t="s">
        <v>119</v>
      </c>
      <c r="T395" t="s">
        <v>60</v>
      </c>
      <c r="U395" t="s">
        <v>101</v>
      </c>
      <c r="V395">
        <v>3883</v>
      </c>
      <c r="W395">
        <v>68</v>
      </c>
      <c r="X395">
        <v>17</v>
      </c>
      <c r="Y395">
        <v>1465.92</v>
      </c>
      <c r="Z395">
        <v>34.4</v>
      </c>
      <c r="AA395" s="9">
        <v>1500.32</v>
      </c>
      <c r="AB395" t="s">
        <v>52</v>
      </c>
      <c r="AC395">
        <v>0</v>
      </c>
      <c r="AD395">
        <v>76.569999999999993</v>
      </c>
      <c r="AE395">
        <v>486</v>
      </c>
      <c r="AF395">
        <v>492</v>
      </c>
      <c r="AG395" s="11">
        <f>Supply_Chain[[#This Row],[Total_Cost]]/Supply_Chain[[#This Row],[Stock_On_Hand]]</f>
        <v>0.3863816636621169</v>
      </c>
    </row>
    <row r="396" spans="1:33" x14ac:dyDescent="0.25">
      <c r="A396" t="s">
        <v>1286</v>
      </c>
      <c r="B396" t="s">
        <v>1287</v>
      </c>
      <c r="C396" s="1">
        <v>44354</v>
      </c>
      <c r="D396" s="1">
        <v>44393</v>
      </c>
      <c r="E396" t="s">
        <v>55</v>
      </c>
      <c r="F396" t="s">
        <v>31</v>
      </c>
      <c r="G396" t="s">
        <v>83</v>
      </c>
      <c r="H396" t="s">
        <v>46</v>
      </c>
      <c r="I396" s="3" t="s">
        <v>3085</v>
      </c>
      <c r="J396" s="3" t="s">
        <v>3518</v>
      </c>
      <c r="K396" s="3" t="s">
        <v>3522</v>
      </c>
      <c r="L396" s="3" t="s">
        <v>3880</v>
      </c>
      <c r="M396">
        <v>207.24</v>
      </c>
      <c r="N396">
        <v>97</v>
      </c>
      <c r="O396">
        <f>Supply_Chain[[#This Row],[Unit_Price]]*Supply_Chain[[#This Row],[Quantity]]</f>
        <v>20102.280000000002</v>
      </c>
      <c r="P396" t="s">
        <v>1288</v>
      </c>
      <c r="Q396" t="s">
        <v>68</v>
      </c>
      <c r="R396" t="s">
        <v>377</v>
      </c>
      <c r="S396" t="s">
        <v>37</v>
      </c>
      <c r="T396" t="s">
        <v>38</v>
      </c>
      <c r="U396" t="s">
        <v>270</v>
      </c>
      <c r="V396">
        <v>2375</v>
      </c>
      <c r="W396">
        <v>420</v>
      </c>
      <c r="X396">
        <v>19</v>
      </c>
      <c r="Y396">
        <v>1241.01</v>
      </c>
      <c r="Z396">
        <v>277.16000000000003</v>
      </c>
      <c r="AA396" s="9">
        <v>1518.17</v>
      </c>
      <c r="AB396" t="s">
        <v>52</v>
      </c>
      <c r="AC396">
        <v>0</v>
      </c>
      <c r="AD396">
        <v>98.5</v>
      </c>
      <c r="AE396">
        <v>133</v>
      </c>
      <c r="AF396">
        <v>116</v>
      </c>
      <c r="AG396" s="11">
        <f>Supply_Chain[[#This Row],[Total_Cost]]/Supply_Chain[[#This Row],[Stock_On_Hand]]</f>
        <v>0.63922947368421057</v>
      </c>
    </row>
    <row r="397" spans="1:33" x14ac:dyDescent="0.25">
      <c r="A397" t="s">
        <v>1289</v>
      </c>
      <c r="B397" t="s">
        <v>1290</v>
      </c>
      <c r="C397" s="1">
        <v>45039</v>
      </c>
      <c r="D397" s="1">
        <v>44845</v>
      </c>
      <c r="E397" t="s">
        <v>55</v>
      </c>
      <c r="F397" t="s">
        <v>31</v>
      </c>
      <c r="G397" t="s">
        <v>247</v>
      </c>
      <c r="H397" t="s">
        <v>128</v>
      </c>
      <c r="I397" s="3" t="s">
        <v>2884</v>
      </c>
      <c r="J397" s="3" t="s">
        <v>3518</v>
      </c>
      <c r="K397" s="3" t="s">
        <v>3521</v>
      </c>
      <c r="L397" s="3" t="s">
        <v>3683</v>
      </c>
      <c r="M397">
        <v>303.32</v>
      </c>
      <c r="N397">
        <v>35</v>
      </c>
      <c r="O397">
        <f>Supply_Chain[[#This Row],[Unit_Price]]*Supply_Chain[[#This Row],[Quantity]]</f>
        <v>10616.199999999999</v>
      </c>
      <c r="P397" t="s">
        <v>1291</v>
      </c>
      <c r="Q397" t="s">
        <v>35</v>
      </c>
      <c r="R397" t="s">
        <v>176</v>
      </c>
      <c r="S397" t="s">
        <v>119</v>
      </c>
      <c r="T397" t="s">
        <v>100</v>
      </c>
      <c r="U397" t="s">
        <v>316</v>
      </c>
      <c r="V397">
        <v>3671</v>
      </c>
      <c r="W397">
        <v>490</v>
      </c>
      <c r="X397">
        <v>2</v>
      </c>
      <c r="Y397">
        <v>832.16</v>
      </c>
      <c r="Z397">
        <v>417.15</v>
      </c>
      <c r="AA397" s="9">
        <v>1249.31</v>
      </c>
      <c r="AB397" t="s">
        <v>52</v>
      </c>
      <c r="AC397">
        <v>0</v>
      </c>
      <c r="AD397">
        <v>82.32</v>
      </c>
      <c r="AE397">
        <v>441</v>
      </c>
      <c r="AF397">
        <v>426</v>
      </c>
      <c r="AG397" s="11">
        <f>Supply_Chain[[#This Row],[Total_Cost]]/Supply_Chain[[#This Row],[Stock_On_Hand]]</f>
        <v>0.34031871424679921</v>
      </c>
    </row>
    <row r="398" spans="1:33" x14ac:dyDescent="0.25">
      <c r="A398" t="s">
        <v>1292</v>
      </c>
      <c r="B398" t="s">
        <v>1293</v>
      </c>
      <c r="C398" s="1">
        <v>44569</v>
      </c>
      <c r="D398" s="1">
        <v>44823</v>
      </c>
      <c r="E398" t="s">
        <v>55</v>
      </c>
      <c r="F398" t="s">
        <v>64</v>
      </c>
      <c r="G398" t="s">
        <v>247</v>
      </c>
      <c r="H398" t="s">
        <v>166</v>
      </c>
      <c r="I398" s="3" t="s">
        <v>3086</v>
      </c>
      <c r="J398" s="3" t="s">
        <v>84</v>
      </c>
      <c r="K398" s="3" t="s">
        <v>3526</v>
      </c>
      <c r="L398" s="3" t="s">
        <v>3881</v>
      </c>
      <c r="M398">
        <v>427.3</v>
      </c>
      <c r="N398">
        <v>3</v>
      </c>
      <c r="O398">
        <f>Supply_Chain[[#This Row],[Unit_Price]]*Supply_Chain[[#This Row],[Quantity]]</f>
        <v>1281.9000000000001</v>
      </c>
      <c r="P398" t="s">
        <v>1154</v>
      </c>
      <c r="Q398" t="s">
        <v>110</v>
      </c>
      <c r="R398" t="s">
        <v>369</v>
      </c>
      <c r="S398" t="s">
        <v>119</v>
      </c>
      <c r="T398" t="s">
        <v>79</v>
      </c>
      <c r="U398" t="s">
        <v>331</v>
      </c>
      <c r="V398">
        <v>1933</v>
      </c>
      <c r="W398">
        <v>176</v>
      </c>
      <c r="X398">
        <v>3</v>
      </c>
      <c r="Y398">
        <v>1504.9</v>
      </c>
      <c r="Z398">
        <v>198.57</v>
      </c>
      <c r="AA398" s="9">
        <v>1703.47</v>
      </c>
      <c r="AB398" t="s">
        <v>52</v>
      </c>
      <c r="AC398">
        <v>0</v>
      </c>
      <c r="AD398">
        <v>82.99</v>
      </c>
      <c r="AE398">
        <v>473</v>
      </c>
      <c r="AF398">
        <v>497</v>
      </c>
      <c r="AG398" s="11">
        <f>Supply_Chain[[#This Row],[Total_Cost]]/Supply_Chain[[#This Row],[Stock_On_Hand]]</f>
        <v>0.8812571132953958</v>
      </c>
    </row>
    <row r="399" spans="1:33" x14ac:dyDescent="0.25">
      <c r="A399" t="s">
        <v>1294</v>
      </c>
      <c r="B399" t="s">
        <v>1295</v>
      </c>
      <c r="C399" s="1">
        <v>44588</v>
      </c>
      <c r="D399" s="1">
        <v>44221</v>
      </c>
      <c r="E399" t="s">
        <v>55</v>
      </c>
      <c r="F399" t="s">
        <v>31</v>
      </c>
      <c r="G399" t="s">
        <v>45</v>
      </c>
      <c r="H399" t="s">
        <v>166</v>
      </c>
      <c r="I399" s="3" t="s">
        <v>3087</v>
      </c>
      <c r="J399" s="3" t="s">
        <v>84</v>
      </c>
      <c r="K399" s="3" t="s">
        <v>3529</v>
      </c>
      <c r="L399" s="3" t="s">
        <v>3882</v>
      </c>
      <c r="M399">
        <v>94.06</v>
      </c>
      <c r="N399">
        <v>37</v>
      </c>
      <c r="O399">
        <f>Supply_Chain[[#This Row],[Unit_Price]]*Supply_Chain[[#This Row],[Quantity]]</f>
        <v>3480.2200000000003</v>
      </c>
      <c r="P399" t="s">
        <v>1296</v>
      </c>
      <c r="Q399" t="s">
        <v>35</v>
      </c>
      <c r="R399" t="s">
        <v>99</v>
      </c>
      <c r="S399" t="s">
        <v>119</v>
      </c>
      <c r="T399" t="s">
        <v>100</v>
      </c>
      <c r="U399" t="s">
        <v>257</v>
      </c>
      <c r="V399">
        <v>1647</v>
      </c>
      <c r="W399">
        <v>91</v>
      </c>
      <c r="X399">
        <v>2</v>
      </c>
      <c r="Y399">
        <v>618.78</v>
      </c>
      <c r="Z399">
        <v>295.8</v>
      </c>
      <c r="AA399" s="9">
        <v>914.57999999999993</v>
      </c>
      <c r="AB399" t="s">
        <v>52</v>
      </c>
      <c r="AC399">
        <v>0</v>
      </c>
      <c r="AD399">
        <v>74.91</v>
      </c>
      <c r="AE399">
        <v>68</v>
      </c>
      <c r="AF399">
        <v>73</v>
      </c>
      <c r="AG399" s="11">
        <f>Supply_Chain[[#This Row],[Total_Cost]]/Supply_Chain[[#This Row],[Stock_On_Hand]]</f>
        <v>0.55530054644808735</v>
      </c>
    </row>
    <row r="400" spans="1:33" x14ac:dyDescent="0.25">
      <c r="A400" t="s">
        <v>1297</v>
      </c>
      <c r="B400" t="s">
        <v>1298</v>
      </c>
      <c r="C400" s="1">
        <v>45571</v>
      </c>
      <c r="D400" s="1">
        <v>44993</v>
      </c>
      <c r="E400" t="s">
        <v>43</v>
      </c>
      <c r="F400" t="s">
        <v>64</v>
      </c>
      <c r="G400" t="s">
        <v>91</v>
      </c>
      <c r="H400" t="s">
        <v>166</v>
      </c>
      <c r="I400" s="3" t="s">
        <v>3088</v>
      </c>
      <c r="J400" s="3" t="s">
        <v>3518</v>
      </c>
      <c r="K400" s="3" t="s">
        <v>3533</v>
      </c>
      <c r="L400" s="3" t="s">
        <v>3883</v>
      </c>
      <c r="M400">
        <v>119.52</v>
      </c>
      <c r="N400">
        <v>41</v>
      </c>
      <c r="O400">
        <f>Supply_Chain[[#This Row],[Unit_Price]]*Supply_Chain[[#This Row],[Quantity]]</f>
        <v>4900.32</v>
      </c>
      <c r="P400" t="s">
        <v>647</v>
      </c>
      <c r="Q400" t="s">
        <v>68</v>
      </c>
      <c r="R400" t="s">
        <v>360</v>
      </c>
      <c r="S400" t="s">
        <v>70</v>
      </c>
      <c r="T400" t="s">
        <v>79</v>
      </c>
      <c r="U400" t="s">
        <v>331</v>
      </c>
      <c r="V400">
        <v>1966</v>
      </c>
      <c r="W400">
        <v>409</v>
      </c>
      <c r="X400">
        <v>19</v>
      </c>
      <c r="Y400">
        <v>1409.39</v>
      </c>
      <c r="Z400">
        <v>23.83</v>
      </c>
      <c r="AA400" s="9">
        <v>1433.22</v>
      </c>
      <c r="AB400" t="s">
        <v>52</v>
      </c>
      <c r="AC400">
        <v>0</v>
      </c>
      <c r="AD400">
        <v>79.400000000000006</v>
      </c>
      <c r="AE400">
        <v>480</v>
      </c>
      <c r="AF400">
        <v>465</v>
      </c>
      <c r="AG400" s="11">
        <f>Supply_Chain[[#This Row],[Total_Cost]]/Supply_Chain[[#This Row],[Stock_On_Hand]]</f>
        <v>0.72900305188199388</v>
      </c>
    </row>
    <row r="401" spans="1:33" x14ac:dyDescent="0.25">
      <c r="A401" t="s">
        <v>1299</v>
      </c>
      <c r="B401" t="s">
        <v>1300</v>
      </c>
      <c r="C401" s="1">
        <v>44636</v>
      </c>
      <c r="D401" s="1">
        <v>43911</v>
      </c>
      <c r="E401" t="s">
        <v>55</v>
      </c>
      <c r="F401" t="s">
        <v>44</v>
      </c>
      <c r="G401" t="s">
        <v>32</v>
      </c>
      <c r="H401" t="s">
        <v>46</v>
      </c>
      <c r="I401" s="3" t="s">
        <v>3089</v>
      </c>
      <c r="J401" s="3" t="s">
        <v>3518</v>
      </c>
      <c r="K401" s="3" t="s">
        <v>3525</v>
      </c>
      <c r="L401" s="3" t="s">
        <v>3884</v>
      </c>
      <c r="M401">
        <v>280</v>
      </c>
      <c r="N401">
        <v>44</v>
      </c>
      <c r="O401">
        <f>Supply_Chain[[#This Row],[Unit_Price]]*Supply_Chain[[#This Row],[Quantity]]</f>
        <v>12320</v>
      </c>
      <c r="P401" t="s">
        <v>665</v>
      </c>
      <c r="Q401" t="s">
        <v>48</v>
      </c>
      <c r="R401" t="s">
        <v>290</v>
      </c>
      <c r="S401" t="s">
        <v>50</v>
      </c>
      <c r="T401" t="s">
        <v>71</v>
      </c>
      <c r="U401" t="s">
        <v>227</v>
      </c>
      <c r="V401">
        <v>1314</v>
      </c>
      <c r="W401">
        <v>327</v>
      </c>
      <c r="X401">
        <v>17</v>
      </c>
      <c r="Y401">
        <v>1260.53</v>
      </c>
      <c r="Z401">
        <v>42.88</v>
      </c>
      <c r="AA401" s="9">
        <v>1303.4100000000001</v>
      </c>
      <c r="AB401" t="s">
        <v>40</v>
      </c>
      <c r="AC401">
        <v>7</v>
      </c>
      <c r="AD401">
        <v>78.36</v>
      </c>
      <c r="AE401">
        <v>480</v>
      </c>
      <c r="AF401">
        <v>489</v>
      </c>
      <c r="AG401" s="11">
        <f>Supply_Chain[[#This Row],[Total_Cost]]/Supply_Chain[[#This Row],[Stock_On_Hand]]</f>
        <v>0.99194063926940645</v>
      </c>
    </row>
    <row r="402" spans="1:33" x14ac:dyDescent="0.25">
      <c r="A402" t="s">
        <v>1301</v>
      </c>
      <c r="B402" t="s">
        <v>1302</v>
      </c>
      <c r="C402" s="1">
        <v>44474</v>
      </c>
      <c r="D402" s="1">
        <v>44877</v>
      </c>
      <c r="E402" t="s">
        <v>55</v>
      </c>
      <c r="F402" t="s">
        <v>75</v>
      </c>
      <c r="G402" t="s">
        <v>45</v>
      </c>
      <c r="H402" t="s">
        <v>128</v>
      </c>
      <c r="I402" s="3" t="s">
        <v>3090</v>
      </c>
      <c r="J402" s="3" t="s">
        <v>3518</v>
      </c>
      <c r="K402" s="3" t="s">
        <v>3521</v>
      </c>
      <c r="L402" s="3" t="s">
        <v>3885</v>
      </c>
      <c r="M402">
        <v>344.96</v>
      </c>
      <c r="N402">
        <v>10</v>
      </c>
      <c r="O402">
        <f>Supply_Chain[[#This Row],[Unit_Price]]*Supply_Chain[[#This Row],[Quantity]]</f>
        <v>3449.6</v>
      </c>
      <c r="P402" t="s">
        <v>1303</v>
      </c>
      <c r="Q402" t="s">
        <v>86</v>
      </c>
      <c r="R402" t="s">
        <v>323</v>
      </c>
      <c r="S402" t="s">
        <v>70</v>
      </c>
      <c r="T402" t="s">
        <v>38</v>
      </c>
      <c r="U402" t="s">
        <v>436</v>
      </c>
      <c r="V402">
        <v>4508</v>
      </c>
      <c r="W402">
        <v>190</v>
      </c>
      <c r="X402">
        <v>28</v>
      </c>
      <c r="Y402">
        <v>798</v>
      </c>
      <c r="Z402">
        <v>423.51</v>
      </c>
      <c r="AA402" s="9">
        <v>1221.51</v>
      </c>
      <c r="AB402" t="s">
        <v>52</v>
      </c>
      <c r="AC402">
        <v>0</v>
      </c>
      <c r="AD402">
        <v>99.96</v>
      </c>
      <c r="AE402">
        <v>180</v>
      </c>
      <c r="AF402">
        <v>192</v>
      </c>
      <c r="AG402" s="11">
        <f>Supply_Chain[[#This Row],[Total_Cost]]/Supply_Chain[[#This Row],[Stock_On_Hand]]</f>
        <v>0.27096495119787045</v>
      </c>
    </row>
    <row r="403" spans="1:33" x14ac:dyDescent="0.25">
      <c r="A403" t="s">
        <v>1304</v>
      </c>
      <c r="B403" t="s">
        <v>1305</v>
      </c>
      <c r="C403" s="1">
        <v>44596</v>
      </c>
      <c r="D403" s="1">
        <v>44599</v>
      </c>
      <c r="E403" t="s">
        <v>43</v>
      </c>
      <c r="F403" t="s">
        <v>31</v>
      </c>
      <c r="G403" t="s">
        <v>91</v>
      </c>
      <c r="H403" t="s">
        <v>166</v>
      </c>
      <c r="I403" s="3" t="s">
        <v>3091</v>
      </c>
      <c r="J403" s="3" t="s">
        <v>3519</v>
      </c>
      <c r="K403" s="3" t="s">
        <v>3528</v>
      </c>
      <c r="L403" s="3" t="s">
        <v>3886</v>
      </c>
      <c r="M403">
        <v>499.5</v>
      </c>
      <c r="N403">
        <v>48</v>
      </c>
      <c r="O403">
        <f>Supply_Chain[[#This Row],[Unit_Price]]*Supply_Chain[[#This Row],[Quantity]]</f>
        <v>23976</v>
      </c>
      <c r="P403" t="s">
        <v>1097</v>
      </c>
      <c r="Q403" t="s">
        <v>68</v>
      </c>
      <c r="R403" t="s">
        <v>476</v>
      </c>
      <c r="S403" t="s">
        <v>119</v>
      </c>
      <c r="T403" t="s">
        <v>100</v>
      </c>
      <c r="U403" t="s">
        <v>331</v>
      </c>
      <c r="V403">
        <v>4381</v>
      </c>
      <c r="W403">
        <v>440</v>
      </c>
      <c r="X403">
        <v>17</v>
      </c>
      <c r="Y403">
        <v>1197.43</v>
      </c>
      <c r="Z403">
        <v>454.86</v>
      </c>
      <c r="AA403" s="9">
        <v>1652.29</v>
      </c>
      <c r="AB403" t="s">
        <v>52</v>
      </c>
      <c r="AC403">
        <v>0</v>
      </c>
      <c r="AD403">
        <v>81.88</v>
      </c>
      <c r="AE403">
        <v>268</v>
      </c>
      <c r="AF403">
        <v>252</v>
      </c>
      <c r="AG403" s="11">
        <f>Supply_Chain[[#This Row],[Total_Cost]]/Supply_Chain[[#This Row],[Stock_On_Hand]]</f>
        <v>0.37714905272768773</v>
      </c>
    </row>
    <row r="404" spans="1:33" x14ac:dyDescent="0.25">
      <c r="A404" t="s">
        <v>1306</v>
      </c>
      <c r="B404" t="s">
        <v>1307</v>
      </c>
      <c r="C404" s="1">
        <v>44212</v>
      </c>
      <c r="D404" s="1">
        <v>44791</v>
      </c>
      <c r="E404" t="s">
        <v>55</v>
      </c>
      <c r="F404" t="s">
        <v>44</v>
      </c>
      <c r="G404" t="s">
        <v>91</v>
      </c>
      <c r="H404" t="s">
        <v>116</v>
      </c>
      <c r="I404" s="3" t="s">
        <v>3092</v>
      </c>
      <c r="J404" s="3" t="s">
        <v>84</v>
      </c>
      <c r="K404" s="3" t="s">
        <v>3526</v>
      </c>
      <c r="L404" s="3" t="s">
        <v>3887</v>
      </c>
      <c r="M404">
        <v>273.02999999999997</v>
      </c>
      <c r="N404">
        <v>71</v>
      </c>
      <c r="O404">
        <f>Supply_Chain[[#This Row],[Unit_Price]]*Supply_Chain[[#This Row],[Quantity]]</f>
        <v>19385.129999999997</v>
      </c>
      <c r="P404" t="s">
        <v>1308</v>
      </c>
      <c r="Q404" t="s">
        <v>48</v>
      </c>
      <c r="R404" t="s">
        <v>236</v>
      </c>
      <c r="S404" t="s">
        <v>37</v>
      </c>
      <c r="T404" t="s">
        <v>60</v>
      </c>
      <c r="U404" t="s">
        <v>855</v>
      </c>
      <c r="V404">
        <v>2445</v>
      </c>
      <c r="W404">
        <v>478</v>
      </c>
      <c r="X404">
        <v>6</v>
      </c>
      <c r="Y404">
        <v>1152.27</v>
      </c>
      <c r="Z404">
        <v>67.63</v>
      </c>
      <c r="AA404" s="9">
        <v>1219.9000000000001</v>
      </c>
      <c r="AB404" t="s">
        <v>52</v>
      </c>
      <c r="AC404">
        <v>0</v>
      </c>
      <c r="AD404">
        <v>92.26</v>
      </c>
      <c r="AE404">
        <v>459</v>
      </c>
      <c r="AF404">
        <v>492</v>
      </c>
      <c r="AG404" s="11">
        <f>Supply_Chain[[#This Row],[Total_Cost]]/Supply_Chain[[#This Row],[Stock_On_Hand]]</f>
        <v>0.49893660531697342</v>
      </c>
    </row>
    <row r="405" spans="1:33" x14ac:dyDescent="0.25">
      <c r="A405" t="s">
        <v>1309</v>
      </c>
      <c r="B405" t="s">
        <v>1310</v>
      </c>
      <c r="C405" s="1">
        <v>44267</v>
      </c>
      <c r="D405" s="1">
        <v>45447</v>
      </c>
      <c r="E405" t="s">
        <v>43</v>
      </c>
      <c r="F405" t="s">
        <v>44</v>
      </c>
      <c r="G405" t="s">
        <v>83</v>
      </c>
      <c r="H405" t="s">
        <v>33</v>
      </c>
      <c r="I405" s="3" t="s">
        <v>3093</v>
      </c>
      <c r="J405" s="3" t="s">
        <v>3518</v>
      </c>
      <c r="K405" s="3" t="s">
        <v>3525</v>
      </c>
      <c r="L405" s="3" t="s">
        <v>3888</v>
      </c>
      <c r="M405">
        <v>353.47</v>
      </c>
      <c r="N405">
        <v>2</v>
      </c>
      <c r="O405">
        <f>Supply_Chain[[#This Row],[Unit_Price]]*Supply_Chain[[#This Row],[Quantity]]</f>
        <v>706.94</v>
      </c>
      <c r="P405" t="s">
        <v>1311</v>
      </c>
      <c r="Q405" t="s">
        <v>68</v>
      </c>
      <c r="R405" t="s">
        <v>388</v>
      </c>
      <c r="S405" t="s">
        <v>70</v>
      </c>
      <c r="T405" t="s">
        <v>38</v>
      </c>
      <c r="U405" t="s">
        <v>182</v>
      </c>
      <c r="V405">
        <v>3525</v>
      </c>
      <c r="W405">
        <v>365</v>
      </c>
      <c r="X405">
        <v>5</v>
      </c>
      <c r="Y405">
        <v>1878.21</v>
      </c>
      <c r="Z405">
        <v>454.12</v>
      </c>
      <c r="AA405" s="9">
        <v>2332.33</v>
      </c>
      <c r="AB405" t="s">
        <v>52</v>
      </c>
      <c r="AC405">
        <v>0</v>
      </c>
      <c r="AD405">
        <v>72.55</v>
      </c>
      <c r="AE405">
        <v>465</v>
      </c>
      <c r="AF405">
        <v>465</v>
      </c>
      <c r="AG405" s="11">
        <f>Supply_Chain[[#This Row],[Total_Cost]]/Supply_Chain[[#This Row],[Stock_On_Hand]]</f>
        <v>0.66165390070921981</v>
      </c>
    </row>
    <row r="406" spans="1:33" x14ac:dyDescent="0.25">
      <c r="A406" t="s">
        <v>1312</v>
      </c>
      <c r="B406" t="s">
        <v>1313</v>
      </c>
      <c r="C406" s="1">
        <v>45319</v>
      </c>
      <c r="D406" s="1">
        <v>45127</v>
      </c>
      <c r="E406" t="s">
        <v>55</v>
      </c>
      <c r="F406" t="s">
        <v>31</v>
      </c>
      <c r="G406" t="s">
        <v>65</v>
      </c>
      <c r="H406" t="s">
        <v>46</v>
      </c>
      <c r="I406" s="3" t="s">
        <v>3094</v>
      </c>
      <c r="J406" s="3" t="s">
        <v>3518</v>
      </c>
      <c r="K406" s="3" t="s">
        <v>3522</v>
      </c>
      <c r="L406" s="3" t="s">
        <v>3889</v>
      </c>
      <c r="M406">
        <v>86.56</v>
      </c>
      <c r="N406">
        <v>32</v>
      </c>
      <c r="O406">
        <f>Supply_Chain[[#This Row],[Unit_Price]]*Supply_Chain[[#This Row],[Quantity]]</f>
        <v>2769.92</v>
      </c>
      <c r="P406" t="s">
        <v>1062</v>
      </c>
      <c r="Q406" t="s">
        <v>35</v>
      </c>
      <c r="R406" t="s">
        <v>388</v>
      </c>
      <c r="S406" t="s">
        <v>37</v>
      </c>
      <c r="T406" t="s">
        <v>60</v>
      </c>
      <c r="U406" t="s">
        <v>611</v>
      </c>
      <c r="V406">
        <v>1646</v>
      </c>
      <c r="W406">
        <v>492</v>
      </c>
      <c r="X406">
        <v>6</v>
      </c>
      <c r="Y406">
        <v>1265.8699999999999</v>
      </c>
      <c r="Z406">
        <v>226.68</v>
      </c>
      <c r="AA406" s="9">
        <v>1492.55</v>
      </c>
      <c r="AB406" t="s">
        <v>52</v>
      </c>
      <c r="AC406">
        <v>0</v>
      </c>
      <c r="AD406">
        <v>89.79</v>
      </c>
      <c r="AE406">
        <v>260</v>
      </c>
      <c r="AF406">
        <v>269</v>
      </c>
      <c r="AG406" s="11">
        <f>Supply_Chain[[#This Row],[Total_Cost]]/Supply_Chain[[#This Row],[Stock_On_Hand]]</f>
        <v>0.90677399756986632</v>
      </c>
    </row>
    <row r="407" spans="1:33" x14ac:dyDescent="0.25">
      <c r="A407" t="s">
        <v>1314</v>
      </c>
      <c r="B407" t="s">
        <v>1315</v>
      </c>
      <c r="C407" s="1">
        <v>43991</v>
      </c>
      <c r="D407" s="1">
        <v>44904</v>
      </c>
      <c r="E407" t="s">
        <v>55</v>
      </c>
      <c r="F407" t="s">
        <v>75</v>
      </c>
      <c r="G407" t="s">
        <v>91</v>
      </c>
      <c r="H407" t="s">
        <v>33</v>
      </c>
      <c r="I407" s="3" t="s">
        <v>2877</v>
      </c>
      <c r="J407" s="3" t="s">
        <v>3518</v>
      </c>
      <c r="K407" s="3" t="s">
        <v>3523</v>
      </c>
      <c r="L407" s="3" t="s">
        <v>3676</v>
      </c>
      <c r="M407">
        <v>171.87</v>
      </c>
      <c r="N407">
        <v>42</v>
      </c>
      <c r="O407">
        <f>Supply_Chain[[#This Row],[Unit_Price]]*Supply_Chain[[#This Row],[Quantity]]</f>
        <v>7218.54</v>
      </c>
      <c r="P407" t="s">
        <v>1316</v>
      </c>
      <c r="Q407" t="s">
        <v>35</v>
      </c>
      <c r="R407" t="s">
        <v>172</v>
      </c>
      <c r="S407" t="s">
        <v>50</v>
      </c>
      <c r="T407" t="s">
        <v>38</v>
      </c>
      <c r="U407" t="s">
        <v>545</v>
      </c>
      <c r="V407">
        <v>3144</v>
      </c>
      <c r="W407">
        <v>214</v>
      </c>
      <c r="X407">
        <v>15</v>
      </c>
      <c r="Y407">
        <v>328.32</v>
      </c>
      <c r="Z407">
        <v>75.06</v>
      </c>
      <c r="AA407" s="9">
        <v>403.38</v>
      </c>
      <c r="AB407" t="s">
        <v>52</v>
      </c>
      <c r="AC407">
        <v>0</v>
      </c>
      <c r="AD407">
        <v>88.87</v>
      </c>
      <c r="AE407">
        <v>204</v>
      </c>
      <c r="AF407">
        <v>184</v>
      </c>
      <c r="AG407" s="11">
        <f>Supply_Chain[[#This Row],[Total_Cost]]/Supply_Chain[[#This Row],[Stock_On_Hand]]</f>
        <v>0.12830152671755726</v>
      </c>
    </row>
    <row r="408" spans="1:33" x14ac:dyDescent="0.25">
      <c r="A408" t="s">
        <v>1317</v>
      </c>
      <c r="B408" t="s">
        <v>1318</v>
      </c>
      <c r="C408" s="1">
        <v>44443</v>
      </c>
      <c r="D408" s="1">
        <v>44956</v>
      </c>
      <c r="E408" t="s">
        <v>55</v>
      </c>
      <c r="F408" t="s">
        <v>75</v>
      </c>
      <c r="G408" t="s">
        <v>65</v>
      </c>
      <c r="H408" t="s">
        <v>128</v>
      </c>
      <c r="I408" s="3" t="s">
        <v>3095</v>
      </c>
      <c r="J408" s="3" t="s">
        <v>3518</v>
      </c>
      <c r="K408" s="3" t="s">
        <v>3525</v>
      </c>
      <c r="L408" s="3" t="s">
        <v>3890</v>
      </c>
      <c r="M408">
        <v>99.45</v>
      </c>
      <c r="N408">
        <v>62</v>
      </c>
      <c r="O408">
        <f>Supply_Chain[[#This Row],[Unit_Price]]*Supply_Chain[[#This Row],[Quantity]]</f>
        <v>6165.9000000000005</v>
      </c>
      <c r="P408" t="s">
        <v>1319</v>
      </c>
      <c r="Q408" t="s">
        <v>35</v>
      </c>
      <c r="R408" t="s">
        <v>130</v>
      </c>
      <c r="S408" t="s">
        <v>70</v>
      </c>
      <c r="T408" t="s">
        <v>60</v>
      </c>
      <c r="U408" t="s">
        <v>150</v>
      </c>
      <c r="V408">
        <v>2890</v>
      </c>
      <c r="W408">
        <v>84</v>
      </c>
      <c r="X408">
        <v>9</v>
      </c>
      <c r="Y408">
        <v>95.52</v>
      </c>
      <c r="Z408">
        <v>414.73</v>
      </c>
      <c r="AA408" s="9">
        <v>510.25</v>
      </c>
      <c r="AB408" t="s">
        <v>52</v>
      </c>
      <c r="AC408">
        <v>0</v>
      </c>
      <c r="AD408">
        <v>76.42</v>
      </c>
      <c r="AE408">
        <v>373</v>
      </c>
      <c r="AF408">
        <v>393</v>
      </c>
      <c r="AG408" s="11">
        <f>Supply_Chain[[#This Row],[Total_Cost]]/Supply_Chain[[#This Row],[Stock_On_Hand]]</f>
        <v>0.17655709342560555</v>
      </c>
    </row>
    <row r="409" spans="1:33" x14ac:dyDescent="0.25">
      <c r="A409" t="s">
        <v>1320</v>
      </c>
      <c r="B409" t="s">
        <v>1321</v>
      </c>
      <c r="C409" s="1">
        <v>44572</v>
      </c>
      <c r="D409" s="1">
        <v>44627</v>
      </c>
      <c r="E409" t="s">
        <v>43</v>
      </c>
      <c r="F409" t="s">
        <v>44</v>
      </c>
      <c r="G409" t="s">
        <v>65</v>
      </c>
      <c r="H409" t="s">
        <v>33</v>
      </c>
      <c r="I409" s="3" t="s">
        <v>3096</v>
      </c>
      <c r="J409" s="3" t="s">
        <v>3518</v>
      </c>
      <c r="K409" s="3" t="s">
        <v>3522</v>
      </c>
      <c r="L409" s="3" t="s">
        <v>3891</v>
      </c>
      <c r="M409">
        <v>428.73</v>
      </c>
      <c r="N409">
        <v>46</v>
      </c>
      <c r="O409">
        <f>Supply_Chain[[#This Row],[Unit_Price]]*Supply_Chain[[#This Row],[Quantity]]</f>
        <v>19721.580000000002</v>
      </c>
      <c r="P409" t="s">
        <v>1322</v>
      </c>
      <c r="Q409" t="s">
        <v>48</v>
      </c>
      <c r="R409" t="s">
        <v>145</v>
      </c>
      <c r="S409" t="s">
        <v>37</v>
      </c>
      <c r="T409" t="s">
        <v>71</v>
      </c>
      <c r="U409" t="s">
        <v>191</v>
      </c>
      <c r="V409">
        <v>3341</v>
      </c>
      <c r="W409">
        <v>371</v>
      </c>
      <c r="X409">
        <v>12</v>
      </c>
      <c r="Y409">
        <v>79.22</v>
      </c>
      <c r="Z409">
        <v>451.68</v>
      </c>
      <c r="AA409" s="9">
        <v>530.9</v>
      </c>
      <c r="AB409" t="s">
        <v>52</v>
      </c>
      <c r="AC409">
        <v>0</v>
      </c>
      <c r="AD409">
        <v>72.459999999999994</v>
      </c>
      <c r="AE409">
        <v>80</v>
      </c>
      <c r="AF409">
        <v>40</v>
      </c>
      <c r="AG409" s="11">
        <f>Supply_Chain[[#This Row],[Total_Cost]]/Supply_Chain[[#This Row],[Stock_On_Hand]]</f>
        <v>0.1589045196049087</v>
      </c>
    </row>
    <row r="410" spans="1:33" x14ac:dyDescent="0.25">
      <c r="A410" t="s">
        <v>1323</v>
      </c>
      <c r="B410" t="s">
        <v>1324</v>
      </c>
      <c r="C410" s="1">
        <v>44096</v>
      </c>
      <c r="D410" s="1">
        <v>44534</v>
      </c>
      <c r="E410" t="s">
        <v>55</v>
      </c>
      <c r="F410" t="s">
        <v>115</v>
      </c>
      <c r="G410" t="s">
        <v>32</v>
      </c>
      <c r="H410" t="s">
        <v>128</v>
      </c>
      <c r="I410" s="3" t="s">
        <v>3097</v>
      </c>
      <c r="J410" s="3" t="s">
        <v>3518</v>
      </c>
      <c r="K410" s="3" t="s">
        <v>3523</v>
      </c>
      <c r="L410" s="3" t="s">
        <v>3892</v>
      </c>
      <c r="M410">
        <v>357.82</v>
      </c>
      <c r="N410">
        <v>93</v>
      </c>
      <c r="O410">
        <f>Supply_Chain[[#This Row],[Unit_Price]]*Supply_Chain[[#This Row],[Quantity]]</f>
        <v>33277.26</v>
      </c>
      <c r="P410" t="s">
        <v>1325</v>
      </c>
      <c r="Q410" t="s">
        <v>48</v>
      </c>
      <c r="R410" t="s">
        <v>240</v>
      </c>
      <c r="S410" t="s">
        <v>50</v>
      </c>
      <c r="T410" t="s">
        <v>100</v>
      </c>
      <c r="U410" t="s">
        <v>95</v>
      </c>
      <c r="V410">
        <v>2609</v>
      </c>
      <c r="W410">
        <v>170</v>
      </c>
      <c r="X410">
        <v>24</v>
      </c>
      <c r="Y410">
        <v>1177.8900000000001</v>
      </c>
      <c r="Z410">
        <v>377.22</v>
      </c>
      <c r="AA410" s="9">
        <v>1555.11</v>
      </c>
      <c r="AB410" t="s">
        <v>52</v>
      </c>
      <c r="AC410">
        <v>0</v>
      </c>
      <c r="AD410">
        <v>89.67</v>
      </c>
      <c r="AE410">
        <v>489</v>
      </c>
      <c r="AF410">
        <v>512</v>
      </c>
      <c r="AG410" s="11">
        <f>Supply_Chain[[#This Row],[Total_Cost]]/Supply_Chain[[#This Row],[Stock_On_Hand]]</f>
        <v>0.5960559601379839</v>
      </c>
    </row>
    <row r="411" spans="1:33" x14ac:dyDescent="0.25">
      <c r="A411" t="s">
        <v>1326</v>
      </c>
      <c r="B411" t="s">
        <v>1327</v>
      </c>
      <c r="C411" s="1">
        <v>43975</v>
      </c>
      <c r="D411" s="1">
        <v>44338</v>
      </c>
      <c r="E411" t="s">
        <v>55</v>
      </c>
      <c r="F411" t="s">
        <v>44</v>
      </c>
      <c r="G411" t="s">
        <v>45</v>
      </c>
      <c r="H411" t="s">
        <v>57</v>
      </c>
      <c r="I411" s="3" t="s">
        <v>3098</v>
      </c>
      <c r="J411" s="3" t="s">
        <v>3518</v>
      </c>
      <c r="K411" s="3" t="s">
        <v>3523</v>
      </c>
      <c r="L411" s="3" t="s">
        <v>3893</v>
      </c>
      <c r="M411">
        <v>399.17</v>
      </c>
      <c r="N411">
        <v>32</v>
      </c>
      <c r="O411">
        <f>Supply_Chain[[#This Row],[Unit_Price]]*Supply_Chain[[#This Row],[Quantity]]</f>
        <v>12773.44</v>
      </c>
      <c r="P411" t="s">
        <v>1328</v>
      </c>
      <c r="Q411" t="s">
        <v>35</v>
      </c>
      <c r="R411" t="s">
        <v>118</v>
      </c>
      <c r="S411" t="s">
        <v>70</v>
      </c>
      <c r="T411" t="s">
        <v>38</v>
      </c>
      <c r="U411" t="s">
        <v>95</v>
      </c>
      <c r="V411">
        <v>978</v>
      </c>
      <c r="W411">
        <v>191</v>
      </c>
      <c r="X411">
        <v>23</v>
      </c>
      <c r="Y411">
        <v>115.65</v>
      </c>
      <c r="Z411">
        <v>358.35</v>
      </c>
      <c r="AA411" s="9">
        <v>474</v>
      </c>
      <c r="AB411" t="s">
        <v>52</v>
      </c>
      <c r="AC411">
        <v>0</v>
      </c>
      <c r="AD411">
        <v>77.47</v>
      </c>
      <c r="AE411">
        <v>412</v>
      </c>
      <c r="AF411">
        <v>422</v>
      </c>
      <c r="AG411" s="11">
        <f>Supply_Chain[[#This Row],[Total_Cost]]/Supply_Chain[[#This Row],[Stock_On_Hand]]</f>
        <v>0.48466257668711654</v>
      </c>
    </row>
    <row r="412" spans="1:33" x14ac:dyDescent="0.25">
      <c r="A412" t="s">
        <v>1329</v>
      </c>
      <c r="B412" t="s">
        <v>1330</v>
      </c>
      <c r="C412" s="1">
        <v>45179</v>
      </c>
      <c r="D412" s="1">
        <v>45220</v>
      </c>
      <c r="E412" t="s">
        <v>43</v>
      </c>
      <c r="F412" t="s">
        <v>75</v>
      </c>
      <c r="G412" t="s">
        <v>83</v>
      </c>
      <c r="H412" t="s">
        <v>166</v>
      </c>
      <c r="I412" s="3" t="s">
        <v>3099</v>
      </c>
      <c r="J412" s="3" t="s">
        <v>3518</v>
      </c>
      <c r="K412" s="3" t="s">
        <v>3524</v>
      </c>
      <c r="L412" s="3" t="s">
        <v>3894</v>
      </c>
      <c r="M412">
        <v>375.92</v>
      </c>
      <c r="N412">
        <v>52</v>
      </c>
      <c r="O412">
        <f>Supply_Chain[[#This Row],[Unit_Price]]*Supply_Chain[[#This Row],[Quantity]]</f>
        <v>19547.84</v>
      </c>
      <c r="P412" t="s">
        <v>1331</v>
      </c>
      <c r="Q412" t="s">
        <v>68</v>
      </c>
      <c r="R412" t="s">
        <v>290</v>
      </c>
      <c r="S412" t="s">
        <v>119</v>
      </c>
      <c r="T412" t="s">
        <v>71</v>
      </c>
      <c r="U412" t="s">
        <v>177</v>
      </c>
      <c r="V412">
        <v>4734</v>
      </c>
      <c r="W412">
        <v>435</v>
      </c>
      <c r="X412">
        <v>22</v>
      </c>
      <c r="Y412">
        <v>1593.21</v>
      </c>
      <c r="Z412">
        <v>151.78</v>
      </c>
      <c r="AA412" s="9">
        <v>1744.99</v>
      </c>
      <c r="AB412" t="s">
        <v>52</v>
      </c>
      <c r="AC412">
        <v>0</v>
      </c>
      <c r="AD412">
        <v>73.3</v>
      </c>
      <c r="AE412">
        <v>286</v>
      </c>
      <c r="AF412">
        <v>239</v>
      </c>
      <c r="AG412" s="11">
        <f>Supply_Chain[[#This Row],[Total_Cost]]/Supply_Chain[[#This Row],[Stock_On_Hand]]</f>
        <v>0.36860794254330376</v>
      </c>
    </row>
    <row r="413" spans="1:33" x14ac:dyDescent="0.25">
      <c r="A413" t="s">
        <v>1332</v>
      </c>
      <c r="B413" t="s">
        <v>1333</v>
      </c>
      <c r="C413" s="1">
        <v>45275</v>
      </c>
      <c r="D413" s="1">
        <v>45473</v>
      </c>
      <c r="E413" t="s">
        <v>43</v>
      </c>
      <c r="F413" t="s">
        <v>44</v>
      </c>
      <c r="G413" t="s">
        <v>76</v>
      </c>
      <c r="H413" t="s">
        <v>66</v>
      </c>
      <c r="I413" s="3" t="s">
        <v>3100</v>
      </c>
      <c r="J413" s="3" t="s">
        <v>3518</v>
      </c>
      <c r="K413" s="3" t="s">
        <v>3524</v>
      </c>
      <c r="L413" s="3" t="s">
        <v>3895</v>
      </c>
      <c r="M413">
        <v>93.54</v>
      </c>
      <c r="N413">
        <v>52</v>
      </c>
      <c r="O413">
        <f>Supply_Chain[[#This Row],[Unit_Price]]*Supply_Chain[[#This Row],[Quantity]]</f>
        <v>4864.08</v>
      </c>
      <c r="P413" t="s">
        <v>1334</v>
      </c>
      <c r="Q413" t="s">
        <v>86</v>
      </c>
      <c r="R413" t="s">
        <v>819</v>
      </c>
      <c r="S413" t="s">
        <v>37</v>
      </c>
      <c r="T413" t="s">
        <v>79</v>
      </c>
      <c r="U413" t="s">
        <v>459</v>
      </c>
      <c r="V413">
        <v>3566</v>
      </c>
      <c r="W413">
        <v>279</v>
      </c>
      <c r="X413">
        <v>21</v>
      </c>
      <c r="Y413">
        <v>1105.25</v>
      </c>
      <c r="Z413">
        <v>470.02</v>
      </c>
      <c r="AA413" s="9">
        <v>1575.27</v>
      </c>
      <c r="AB413" t="s">
        <v>52</v>
      </c>
      <c r="AC413">
        <v>0</v>
      </c>
      <c r="AD413">
        <v>98.11</v>
      </c>
      <c r="AE413">
        <v>359</v>
      </c>
      <c r="AF413">
        <v>326</v>
      </c>
      <c r="AG413" s="11">
        <f>Supply_Chain[[#This Row],[Total_Cost]]/Supply_Chain[[#This Row],[Stock_On_Hand]]</f>
        <v>0.44174705552439708</v>
      </c>
    </row>
    <row r="414" spans="1:33" x14ac:dyDescent="0.25">
      <c r="A414" t="s">
        <v>1335</v>
      </c>
      <c r="B414" t="s">
        <v>598</v>
      </c>
      <c r="C414" s="1">
        <v>44880</v>
      </c>
      <c r="D414" s="1">
        <v>45357</v>
      </c>
      <c r="E414" t="s">
        <v>55</v>
      </c>
      <c r="F414" t="s">
        <v>75</v>
      </c>
      <c r="G414" t="s">
        <v>56</v>
      </c>
      <c r="H414" t="s">
        <v>128</v>
      </c>
      <c r="I414" s="3" t="s">
        <v>3101</v>
      </c>
      <c r="J414" s="3" t="s">
        <v>3518</v>
      </c>
      <c r="K414" s="3" t="s">
        <v>3524</v>
      </c>
      <c r="L414" s="3" t="s">
        <v>3896</v>
      </c>
      <c r="M414">
        <v>170.23</v>
      </c>
      <c r="N414">
        <v>55</v>
      </c>
      <c r="O414">
        <f>Supply_Chain[[#This Row],[Unit_Price]]*Supply_Chain[[#This Row],[Quantity]]</f>
        <v>9362.65</v>
      </c>
      <c r="P414" t="s">
        <v>1336</v>
      </c>
      <c r="Q414" t="s">
        <v>86</v>
      </c>
      <c r="R414" t="s">
        <v>306</v>
      </c>
      <c r="S414" t="s">
        <v>37</v>
      </c>
      <c r="T414" t="s">
        <v>71</v>
      </c>
      <c r="U414" t="s">
        <v>146</v>
      </c>
      <c r="V414">
        <v>2404</v>
      </c>
      <c r="W414">
        <v>277</v>
      </c>
      <c r="X414">
        <v>25</v>
      </c>
      <c r="Y414">
        <v>1872.62</v>
      </c>
      <c r="Z414">
        <v>388.32</v>
      </c>
      <c r="AA414" s="9">
        <v>2260.94</v>
      </c>
      <c r="AB414" t="s">
        <v>52</v>
      </c>
      <c r="AC414">
        <v>0</v>
      </c>
      <c r="AD414">
        <v>74.83</v>
      </c>
      <c r="AE414">
        <v>488</v>
      </c>
      <c r="AF414">
        <v>499</v>
      </c>
      <c r="AG414" s="11">
        <f>Supply_Chain[[#This Row],[Total_Cost]]/Supply_Chain[[#This Row],[Stock_On_Hand]]</f>
        <v>0.94049084858569054</v>
      </c>
    </row>
    <row r="415" spans="1:33" x14ac:dyDescent="0.25">
      <c r="A415" t="s">
        <v>1337</v>
      </c>
      <c r="B415" t="s">
        <v>1338</v>
      </c>
      <c r="C415" s="1">
        <v>44544</v>
      </c>
      <c r="D415" s="1">
        <v>45004</v>
      </c>
      <c r="E415" t="s">
        <v>43</v>
      </c>
      <c r="F415" t="s">
        <v>64</v>
      </c>
      <c r="G415" t="s">
        <v>56</v>
      </c>
      <c r="H415" t="s">
        <v>92</v>
      </c>
      <c r="I415" s="3" t="s">
        <v>2849</v>
      </c>
      <c r="J415" s="3" t="s">
        <v>3519</v>
      </c>
      <c r="K415" s="3" t="s">
        <v>3530</v>
      </c>
      <c r="L415" s="3" t="s">
        <v>3648</v>
      </c>
      <c r="M415">
        <v>244.19</v>
      </c>
      <c r="N415">
        <v>46</v>
      </c>
      <c r="O415">
        <f>Supply_Chain[[#This Row],[Unit_Price]]*Supply_Chain[[#This Row],[Quantity]]</f>
        <v>11232.74</v>
      </c>
      <c r="P415" t="s">
        <v>1339</v>
      </c>
      <c r="Q415" t="s">
        <v>48</v>
      </c>
      <c r="R415" t="s">
        <v>36</v>
      </c>
      <c r="S415" t="s">
        <v>37</v>
      </c>
      <c r="T415" t="s">
        <v>60</v>
      </c>
      <c r="U415" t="s">
        <v>459</v>
      </c>
      <c r="V415">
        <v>3684</v>
      </c>
      <c r="W415">
        <v>142</v>
      </c>
      <c r="X415">
        <v>4</v>
      </c>
      <c r="Y415">
        <v>518.75</v>
      </c>
      <c r="Z415">
        <v>79.36</v>
      </c>
      <c r="AA415" s="9">
        <v>598.11</v>
      </c>
      <c r="AB415" t="s">
        <v>52</v>
      </c>
      <c r="AC415">
        <v>0</v>
      </c>
      <c r="AD415">
        <v>73.81</v>
      </c>
      <c r="AE415">
        <v>262</v>
      </c>
      <c r="AF415">
        <v>286</v>
      </c>
      <c r="AG415" s="11">
        <f>Supply_Chain[[#This Row],[Total_Cost]]/Supply_Chain[[#This Row],[Stock_On_Hand]]</f>
        <v>0.16235342019543975</v>
      </c>
    </row>
    <row r="416" spans="1:33" x14ac:dyDescent="0.25">
      <c r="A416" t="s">
        <v>1340</v>
      </c>
      <c r="B416" t="s">
        <v>680</v>
      </c>
      <c r="C416" s="1">
        <v>43855</v>
      </c>
      <c r="D416" s="1">
        <v>44354</v>
      </c>
      <c r="E416" t="s">
        <v>55</v>
      </c>
      <c r="F416" t="s">
        <v>31</v>
      </c>
      <c r="G416" t="s">
        <v>45</v>
      </c>
      <c r="H416" t="s">
        <v>166</v>
      </c>
      <c r="I416" s="3" t="s">
        <v>3102</v>
      </c>
      <c r="J416" s="3" t="s">
        <v>3519</v>
      </c>
      <c r="K416" s="3" t="s">
        <v>3528</v>
      </c>
      <c r="L416" s="3" t="s">
        <v>3897</v>
      </c>
      <c r="M416">
        <v>235.76</v>
      </c>
      <c r="N416">
        <v>46</v>
      </c>
      <c r="O416">
        <f>Supply_Chain[[#This Row],[Unit_Price]]*Supply_Chain[[#This Row],[Quantity]]</f>
        <v>10844.96</v>
      </c>
      <c r="P416" t="s">
        <v>977</v>
      </c>
      <c r="Q416" t="s">
        <v>86</v>
      </c>
      <c r="R416" t="s">
        <v>301</v>
      </c>
      <c r="S416" t="s">
        <v>37</v>
      </c>
      <c r="T416" t="s">
        <v>100</v>
      </c>
      <c r="U416" t="s">
        <v>331</v>
      </c>
      <c r="V416">
        <v>2177</v>
      </c>
      <c r="W416">
        <v>450</v>
      </c>
      <c r="X416">
        <v>15</v>
      </c>
      <c r="Y416">
        <v>1932.03</v>
      </c>
      <c r="Z416">
        <v>65.16</v>
      </c>
      <c r="AA416" s="9">
        <v>1997.19</v>
      </c>
      <c r="AB416" t="s">
        <v>52</v>
      </c>
      <c r="AC416">
        <v>0</v>
      </c>
      <c r="AD416">
        <v>96.79</v>
      </c>
      <c r="AE416">
        <v>392</v>
      </c>
      <c r="AF416">
        <v>394</v>
      </c>
      <c r="AG416" s="11">
        <f>Supply_Chain[[#This Row],[Total_Cost]]/Supply_Chain[[#This Row],[Stock_On_Hand]]</f>
        <v>0.91740468534680752</v>
      </c>
    </row>
    <row r="417" spans="1:33" x14ac:dyDescent="0.25">
      <c r="A417" t="s">
        <v>1341</v>
      </c>
      <c r="B417" t="s">
        <v>1342</v>
      </c>
      <c r="C417" s="1">
        <v>45531</v>
      </c>
      <c r="D417" s="1">
        <v>45260</v>
      </c>
      <c r="E417" t="s">
        <v>55</v>
      </c>
      <c r="F417" t="s">
        <v>64</v>
      </c>
      <c r="G417" t="s">
        <v>76</v>
      </c>
      <c r="H417" t="s">
        <v>128</v>
      </c>
      <c r="I417" s="3" t="s">
        <v>3103</v>
      </c>
      <c r="J417" s="3" t="s">
        <v>84</v>
      </c>
      <c r="K417" s="3" t="s">
        <v>3526</v>
      </c>
      <c r="L417" s="3" t="s">
        <v>3898</v>
      </c>
      <c r="M417">
        <v>121.84</v>
      </c>
      <c r="N417">
        <v>32</v>
      </c>
      <c r="O417">
        <f>Supply_Chain[[#This Row],[Unit_Price]]*Supply_Chain[[#This Row],[Quantity]]</f>
        <v>3898.88</v>
      </c>
      <c r="P417" t="s">
        <v>1343</v>
      </c>
      <c r="Q417" t="s">
        <v>68</v>
      </c>
      <c r="R417" t="s">
        <v>301</v>
      </c>
      <c r="S417" t="s">
        <v>119</v>
      </c>
      <c r="T417" t="s">
        <v>60</v>
      </c>
      <c r="U417" t="s">
        <v>499</v>
      </c>
      <c r="V417">
        <v>4734</v>
      </c>
      <c r="W417">
        <v>266</v>
      </c>
      <c r="X417">
        <v>16</v>
      </c>
      <c r="Y417">
        <v>1096.0899999999999</v>
      </c>
      <c r="Z417">
        <v>361.77</v>
      </c>
      <c r="AA417" s="9">
        <v>1457.86</v>
      </c>
      <c r="AB417" t="s">
        <v>52</v>
      </c>
      <c r="AC417">
        <v>0</v>
      </c>
      <c r="AD417">
        <v>89.65</v>
      </c>
      <c r="AE417">
        <v>129</v>
      </c>
      <c r="AF417">
        <v>106</v>
      </c>
      <c r="AG417" s="11">
        <f>Supply_Chain[[#This Row],[Total_Cost]]/Supply_Chain[[#This Row],[Stock_On_Hand]]</f>
        <v>0.30795521757498939</v>
      </c>
    </row>
    <row r="418" spans="1:33" x14ac:dyDescent="0.25">
      <c r="A418" t="s">
        <v>1344</v>
      </c>
      <c r="B418" t="s">
        <v>1345</v>
      </c>
      <c r="C418" s="1">
        <v>45191</v>
      </c>
      <c r="D418" s="1">
        <v>44739</v>
      </c>
      <c r="E418" t="s">
        <v>43</v>
      </c>
      <c r="F418" t="s">
        <v>44</v>
      </c>
      <c r="G418" t="s">
        <v>65</v>
      </c>
      <c r="H418" t="s">
        <v>46</v>
      </c>
      <c r="I418" s="3" t="s">
        <v>2982</v>
      </c>
      <c r="J418" s="3" t="s">
        <v>84</v>
      </c>
      <c r="K418" s="3" t="s">
        <v>3526</v>
      </c>
      <c r="L418" s="3" t="s">
        <v>3780</v>
      </c>
      <c r="M418">
        <v>467.44</v>
      </c>
      <c r="N418">
        <v>48</v>
      </c>
      <c r="O418">
        <f>Supply_Chain[[#This Row],[Unit_Price]]*Supply_Chain[[#This Row],[Quantity]]</f>
        <v>22437.119999999999</v>
      </c>
      <c r="P418" t="s">
        <v>858</v>
      </c>
      <c r="Q418" t="s">
        <v>68</v>
      </c>
      <c r="R418" t="s">
        <v>118</v>
      </c>
      <c r="S418" t="s">
        <v>50</v>
      </c>
      <c r="T418" t="s">
        <v>100</v>
      </c>
      <c r="U418" t="s">
        <v>232</v>
      </c>
      <c r="V418">
        <v>3751</v>
      </c>
      <c r="W418">
        <v>396</v>
      </c>
      <c r="X418">
        <v>17</v>
      </c>
      <c r="Y418">
        <v>1442.31</v>
      </c>
      <c r="Z418">
        <v>260.5</v>
      </c>
      <c r="AA418" s="9">
        <v>1702.81</v>
      </c>
      <c r="AB418" t="s">
        <v>52</v>
      </c>
      <c r="AC418">
        <v>0</v>
      </c>
      <c r="AD418">
        <v>70.16</v>
      </c>
      <c r="AE418">
        <v>301</v>
      </c>
      <c r="AF418">
        <v>323</v>
      </c>
      <c r="AG418" s="11">
        <f>Supply_Chain[[#This Row],[Total_Cost]]/Supply_Chain[[#This Row],[Stock_On_Hand]]</f>
        <v>0.45396161023727005</v>
      </c>
    </row>
    <row r="419" spans="1:33" x14ac:dyDescent="0.25">
      <c r="A419" t="s">
        <v>1346</v>
      </c>
      <c r="B419" t="s">
        <v>1347</v>
      </c>
      <c r="C419" s="1">
        <v>45143</v>
      </c>
      <c r="D419" s="1">
        <v>44947</v>
      </c>
      <c r="E419" t="s">
        <v>55</v>
      </c>
      <c r="F419" t="s">
        <v>44</v>
      </c>
      <c r="G419" t="s">
        <v>56</v>
      </c>
      <c r="H419" t="s">
        <v>33</v>
      </c>
      <c r="I419" s="3" t="s">
        <v>3104</v>
      </c>
      <c r="J419" s="3" t="s">
        <v>84</v>
      </c>
      <c r="K419" s="3" t="s">
        <v>3529</v>
      </c>
      <c r="L419" s="3" t="s">
        <v>3899</v>
      </c>
      <c r="M419">
        <v>225.1</v>
      </c>
      <c r="N419">
        <v>24</v>
      </c>
      <c r="O419">
        <f>Supply_Chain[[#This Row],[Unit_Price]]*Supply_Chain[[#This Row],[Quantity]]</f>
        <v>5402.4</v>
      </c>
      <c r="P419" t="s">
        <v>1348</v>
      </c>
      <c r="Q419" t="s">
        <v>110</v>
      </c>
      <c r="R419" t="s">
        <v>36</v>
      </c>
      <c r="S419" t="s">
        <v>37</v>
      </c>
      <c r="T419" t="s">
        <v>60</v>
      </c>
      <c r="U419" t="s">
        <v>770</v>
      </c>
      <c r="V419">
        <v>2822</v>
      </c>
      <c r="W419">
        <v>366</v>
      </c>
      <c r="X419">
        <v>26</v>
      </c>
      <c r="Y419">
        <v>1672.73</v>
      </c>
      <c r="Z419">
        <v>189.02</v>
      </c>
      <c r="AA419" s="9">
        <v>1861.75</v>
      </c>
      <c r="AB419" t="s">
        <v>52</v>
      </c>
      <c r="AC419">
        <v>0</v>
      </c>
      <c r="AD419">
        <v>72.099999999999994</v>
      </c>
      <c r="AE419">
        <v>363</v>
      </c>
      <c r="AF419">
        <v>376</v>
      </c>
      <c r="AG419" s="11">
        <f>Supply_Chain[[#This Row],[Total_Cost]]/Supply_Chain[[#This Row],[Stock_On_Hand]]</f>
        <v>0.65972714386959608</v>
      </c>
    </row>
    <row r="420" spans="1:33" x14ac:dyDescent="0.25">
      <c r="A420" t="s">
        <v>1349</v>
      </c>
      <c r="B420" t="s">
        <v>1350</v>
      </c>
      <c r="C420" s="1">
        <v>44425</v>
      </c>
      <c r="D420" s="1">
        <v>44145</v>
      </c>
      <c r="E420" t="s">
        <v>30</v>
      </c>
      <c r="F420" t="s">
        <v>44</v>
      </c>
      <c r="G420" t="s">
        <v>32</v>
      </c>
      <c r="H420" t="s">
        <v>46</v>
      </c>
      <c r="I420" s="3" t="s">
        <v>2927</v>
      </c>
      <c r="J420" s="3" t="s">
        <v>3518</v>
      </c>
      <c r="K420" s="3" t="s">
        <v>3522</v>
      </c>
      <c r="L420" s="3" t="s">
        <v>3726</v>
      </c>
      <c r="M420">
        <v>73.22</v>
      </c>
      <c r="N420">
        <v>82</v>
      </c>
      <c r="O420">
        <f>Supply_Chain[[#This Row],[Unit_Price]]*Supply_Chain[[#This Row],[Quantity]]</f>
        <v>6004.04</v>
      </c>
      <c r="P420" t="s">
        <v>1351</v>
      </c>
      <c r="Q420" t="s">
        <v>86</v>
      </c>
      <c r="R420" t="s">
        <v>181</v>
      </c>
      <c r="S420" t="s">
        <v>37</v>
      </c>
      <c r="T420" t="s">
        <v>71</v>
      </c>
      <c r="U420" t="s">
        <v>270</v>
      </c>
      <c r="V420">
        <v>3872</v>
      </c>
      <c r="W420">
        <v>366</v>
      </c>
      <c r="X420">
        <v>26</v>
      </c>
      <c r="Y420">
        <v>880.39</v>
      </c>
      <c r="Z420">
        <v>152.74</v>
      </c>
      <c r="AA420" s="9">
        <v>1033.1300000000001</v>
      </c>
      <c r="AB420" t="s">
        <v>52</v>
      </c>
      <c r="AC420">
        <v>0</v>
      </c>
      <c r="AD420">
        <v>96.23</v>
      </c>
      <c r="AE420">
        <v>219</v>
      </c>
      <c r="AF420">
        <v>262</v>
      </c>
      <c r="AG420" s="11">
        <f>Supply_Chain[[#This Row],[Total_Cost]]/Supply_Chain[[#This Row],[Stock_On_Hand]]</f>
        <v>0.26682076446280995</v>
      </c>
    </row>
    <row r="421" spans="1:33" x14ac:dyDescent="0.25">
      <c r="A421" t="s">
        <v>1352</v>
      </c>
      <c r="B421" t="s">
        <v>1353</v>
      </c>
      <c r="C421" s="1">
        <v>45470</v>
      </c>
      <c r="D421" s="1">
        <v>43917</v>
      </c>
      <c r="E421" t="s">
        <v>30</v>
      </c>
      <c r="F421" t="s">
        <v>75</v>
      </c>
      <c r="G421" t="s">
        <v>65</v>
      </c>
      <c r="H421" t="s">
        <v>57</v>
      </c>
      <c r="I421" s="3" t="s">
        <v>3105</v>
      </c>
      <c r="J421" s="3" t="s">
        <v>3518</v>
      </c>
      <c r="K421" s="3" t="s">
        <v>3524</v>
      </c>
      <c r="L421" s="3" t="s">
        <v>3900</v>
      </c>
      <c r="M421">
        <v>111.5</v>
      </c>
      <c r="N421">
        <v>47</v>
      </c>
      <c r="O421">
        <f>Supply_Chain[[#This Row],[Unit_Price]]*Supply_Chain[[#This Row],[Quantity]]</f>
        <v>5240.5</v>
      </c>
      <c r="P421" t="s">
        <v>1354</v>
      </c>
      <c r="Q421" t="s">
        <v>35</v>
      </c>
      <c r="R421" t="s">
        <v>231</v>
      </c>
      <c r="S421" t="s">
        <v>37</v>
      </c>
      <c r="T421" t="s">
        <v>60</v>
      </c>
      <c r="U421" t="s">
        <v>291</v>
      </c>
      <c r="V421">
        <v>541</v>
      </c>
      <c r="W421">
        <v>60</v>
      </c>
      <c r="X421">
        <v>4</v>
      </c>
      <c r="Y421">
        <v>777.49</v>
      </c>
      <c r="Z421">
        <v>472.54</v>
      </c>
      <c r="AA421" s="9">
        <v>1250.03</v>
      </c>
      <c r="AB421" t="s">
        <v>52</v>
      </c>
      <c r="AC421">
        <v>0</v>
      </c>
      <c r="AD421">
        <v>87.57</v>
      </c>
      <c r="AE421">
        <v>352</v>
      </c>
      <c r="AF421">
        <v>391</v>
      </c>
      <c r="AG421" s="11">
        <f>Supply_Chain[[#This Row],[Total_Cost]]/Supply_Chain[[#This Row],[Stock_On_Hand]]</f>
        <v>2.3105914972273567</v>
      </c>
    </row>
    <row r="422" spans="1:33" x14ac:dyDescent="0.25">
      <c r="A422" t="s">
        <v>1355</v>
      </c>
      <c r="B422" t="s">
        <v>1356</v>
      </c>
      <c r="C422" s="1">
        <v>44867</v>
      </c>
      <c r="D422" s="1">
        <v>44188</v>
      </c>
      <c r="E422" t="s">
        <v>55</v>
      </c>
      <c r="F422" t="s">
        <v>115</v>
      </c>
      <c r="G422" t="s">
        <v>91</v>
      </c>
      <c r="H422" t="s">
        <v>116</v>
      </c>
      <c r="I422" s="3" t="s">
        <v>3106</v>
      </c>
      <c r="J422" s="3" t="s">
        <v>3519</v>
      </c>
      <c r="K422" s="3" t="s">
        <v>3528</v>
      </c>
      <c r="L422" s="3" t="s">
        <v>3901</v>
      </c>
      <c r="M422">
        <v>420.07</v>
      </c>
      <c r="N422">
        <v>47</v>
      </c>
      <c r="O422">
        <f>Supply_Chain[[#This Row],[Unit_Price]]*Supply_Chain[[#This Row],[Quantity]]</f>
        <v>19743.29</v>
      </c>
      <c r="P422" t="s">
        <v>927</v>
      </c>
      <c r="Q422" t="s">
        <v>48</v>
      </c>
      <c r="R422" t="s">
        <v>87</v>
      </c>
      <c r="S422" t="s">
        <v>119</v>
      </c>
      <c r="T422" t="s">
        <v>71</v>
      </c>
      <c r="U422" t="s">
        <v>196</v>
      </c>
      <c r="V422">
        <v>431</v>
      </c>
      <c r="W422">
        <v>425</v>
      </c>
      <c r="X422">
        <v>3</v>
      </c>
      <c r="Y422">
        <v>502.41</v>
      </c>
      <c r="Z422">
        <v>218.44</v>
      </c>
      <c r="AA422" s="9">
        <v>720.85</v>
      </c>
      <c r="AB422" t="s">
        <v>52</v>
      </c>
      <c r="AC422">
        <v>0</v>
      </c>
      <c r="AD422">
        <v>81.88</v>
      </c>
      <c r="AE422">
        <v>484</v>
      </c>
      <c r="AF422">
        <v>480</v>
      </c>
      <c r="AG422" s="11">
        <f>Supply_Chain[[#This Row],[Total_Cost]]/Supply_Chain[[#This Row],[Stock_On_Hand]]</f>
        <v>1.6725058004640372</v>
      </c>
    </row>
    <row r="423" spans="1:33" x14ac:dyDescent="0.25">
      <c r="A423" t="s">
        <v>1357</v>
      </c>
      <c r="B423" t="s">
        <v>1358</v>
      </c>
      <c r="C423" s="1">
        <v>44724</v>
      </c>
      <c r="D423" s="1">
        <v>45512</v>
      </c>
      <c r="E423" t="s">
        <v>55</v>
      </c>
      <c r="F423" t="s">
        <v>115</v>
      </c>
      <c r="G423" t="s">
        <v>45</v>
      </c>
      <c r="H423" t="s">
        <v>92</v>
      </c>
      <c r="I423" s="3" t="s">
        <v>3107</v>
      </c>
      <c r="J423" s="3" t="s">
        <v>3518</v>
      </c>
      <c r="K423" s="3" t="s">
        <v>3525</v>
      </c>
      <c r="L423" s="3" t="s">
        <v>3902</v>
      </c>
      <c r="M423">
        <v>263.07</v>
      </c>
      <c r="N423">
        <v>42</v>
      </c>
      <c r="O423">
        <f>Supply_Chain[[#This Row],[Unit_Price]]*Supply_Chain[[#This Row],[Quantity]]</f>
        <v>11048.94</v>
      </c>
      <c r="P423" t="s">
        <v>1359</v>
      </c>
      <c r="Q423" t="s">
        <v>48</v>
      </c>
      <c r="R423" t="s">
        <v>301</v>
      </c>
      <c r="S423" t="s">
        <v>70</v>
      </c>
      <c r="T423" t="s">
        <v>71</v>
      </c>
      <c r="U423" t="s">
        <v>101</v>
      </c>
      <c r="V423">
        <v>1210</v>
      </c>
      <c r="W423">
        <v>80</v>
      </c>
      <c r="X423">
        <v>8</v>
      </c>
      <c r="Y423">
        <v>1176.8599999999999</v>
      </c>
      <c r="Z423">
        <v>104.9</v>
      </c>
      <c r="AA423" s="9">
        <v>1281.76</v>
      </c>
      <c r="AB423" t="s">
        <v>52</v>
      </c>
      <c r="AC423">
        <v>0</v>
      </c>
      <c r="AD423">
        <v>87.59</v>
      </c>
      <c r="AE423">
        <v>74</v>
      </c>
      <c r="AF423">
        <v>39</v>
      </c>
      <c r="AG423" s="11">
        <f>Supply_Chain[[#This Row],[Total_Cost]]/Supply_Chain[[#This Row],[Stock_On_Hand]]</f>
        <v>1.0593057851239669</v>
      </c>
    </row>
    <row r="424" spans="1:33" x14ac:dyDescent="0.25">
      <c r="A424" t="s">
        <v>1360</v>
      </c>
      <c r="B424" t="s">
        <v>1361</v>
      </c>
      <c r="C424" s="1">
        <v>45253</v>
      </c>
      <c r="D424" s="1">
        <v>44492</v>
      </c>
      <c r="E424" t="s">
        <v>55</v>
      </c>
      <c r="F424" t="s">
        <v>75</v>
      </c>
      <c r="G424" t="s">
        <v>45</v>
      </c>
      <c r="H424" t="s">
        <v>33</v>
      </c>
      <c r="I424" s="3" t="s">
        <v>2964</v>
      </c>
      <c r="J424" s="3" t="s">
        <v>3518</v>
      </c>
      <c r="K424" s="3" t="s">
        <v>3524</v>
      </c>
      <c r="L424" s="3" t="s">
        <v>3762</v>
      </c>
      <c r="M424">
        <v>419.46</v>
      </c>
      <c r="N424">
        <v>32</v>
      </c>
      <c r="O424">
        <f>Supply_Chain[[#This Row],[Unit_Price]]*Supply_Chain[[#This Row],[Quantity]]</f>
        <v>13422.72</v>
      </c>
      <c r="P424" t="s">
        <v>395</v>
      </c>
      <c r="Q424" t="s">
        <v>68</v>
      </c>
      <c r="R424" t="s">
        <v>419</v>
      </c>
      <c r="S424" t="s">
        <v>119</v>
      </c>
      <c r="T424" t="s">
        <v>38</v>
      </c>
      <c r="U424" t="s">
        <v>270</v>
      </c>
      <c r="V424">
        <v>3928</v>
      </c>
      <c r="W424">
        <v>346</v>
      </c>
      <c r="X424">
        <v>6</v>
      </c>
      <c r="Y424">
        <v>1008.07</v>
      </c>
      <c r="Z424">
        <v>485.23</v>
      </c>
      <c r="AA424" s="9">
        <v>1493.3</v>
      </c>
      <c r="AB424" t="s">
        <v>52</v>
      </c>
      <c r="AC424">
        <v>0</v>
      </c>
      <c r="AD424">
        <v>82.74</v>
      </c>
      <c r="AE424">
        <v>57</v>
      </c>
      <c r="AF424">
        <v>42</v>
      </c>
      <c r="AG424" s="11">
        <f>Supply_Chain[[#This Row],[Total_Cost]]/Supply_Chain[[#This Row],[Stock_On_Hand]]</f>
        <v>0.38016802443991854</v>
      </c>
    </row>
    <row r="425" spans="1:33" x14ac:dyDescent="0.25">
      <c r="A425" t="s">
        <v>1362</v>
      </c>
      <c r="B425" t="s">
        <v>1363</v>
      </c>
      <c r="C425" s="1">
        <v>43844</v>
      </c>
      <c r="D425" s="1">
        <v>44914</v>
      </c>
      <c r="E425" t="s">
        <v>55</v>
      </c>
      <c r="F425" t="s">
        <v>44</v>
      </c>
      <c r="G425" t="s">
        <v>32</v>
      </c>
      <c r="H425" t="s">
        <v>92</v>
      </c>
      <c r="I425" s="3" t="s">
        <v>3108</v>
      </c>
      <c r="J425" s="3" t="s">
        <v>3519</v>
      </c>
      <c r="K425" s="3" t="s">
        <v>3530</v>
      </c>
      <c r="L425" s="3" t="s">
        <v>3903</v>
      </c>
      <c r="M425">
        <v>436.9</v>
      </c>
      <c r="N425">
        <v>42</v>
      </c>
      <c r="O425">
        <f>Supply_Chain[[#This Row],[Unit_Price]]*Supply_Chain[[#This Row],[Quantity]]</f>
        <v>18349.8</v>
      </c>
      <c r="P425" t="s">
        <v>1364</v>
      </c>
      <c r="Q425" t="s">
        <v>48</v>
      </c>
      <c r="R425" t="s">
        <v>323</v>
      </c>
      <c r="S425" t="s">
        <v>70</v>
      </c>
      <c r="T425" t="s">
        <v>38</v>
      </c>
      <c r="U425" t="s">
        <v>150</v>
      </c>
      <c r="V425">
        <v>4428</v>
      </c>
      <c r="W425">
        <v>263</v>
      </c>
      <c r="X425">
        <v>6</v>
      </c>
      <c r="Y425">
        <v>1902.19</v>
      </c>
      <c r="Z425">
        <v>25.22</v>
      </c>
      <c r="AA425" s="9">
        <v>1927.41</v>
      </c>
      <c r="AB425" t="s">
        <v>40</v>
      </c>
      <c r="AC425">
        <v>12</v>
      </c>
      <c r="AD425">
        <v>75.67</v>
      </c>
      <c r="AE425">
        <v>227</v>
      </c>
      <c r="AF425">
        <v>228</v>
      </c>
      <c r="AG425" s="11">
        <f>Supply_Chain[[#This Row],[Total_Cost]]/Supply_Chain[[#This Row],[Stock_On_Hand]]</f>
        <v>0.43527777777777782</v>
      </c>
    </row>
    <row r="426" spans="1:33" x14ac:dyDescent="0.25">
      <c r="A426" t="s">
        <v>1365</v>
      </c>
      <c r="B426" t="s">
        <v>1366</v>
      </c>
      <c r="C426" s="1">
        <v>44526</v>
      </c>
      <c r="D426" s="1">
        <v>44169</v>
      </c>
      <c r="E426" t="s">
        <v>55</v>
      </c>
      <c r="F426" t="s">
        <v>75</v>
      </c>
      <c r="G426" t="s">
        <v>83</v>
      </c>
      <c r="H426" t="s">
        <v>116</v>
      </c>
      <c r="I426" s="3" t="s">
        <v>2924</v>
      </c>
      <c r="J426" s="3" t="s">
        <v>3518</v>
      </c>
      <c r="K426" s="3" t="s">
        <v>3533</v>
      </c>
      <c r="L426" s="3" t="s">
        <v>3723</v>
      </c>
      <c r="M426">
        <v>118.48</v>
      </c>
      <c r="N426">
        <v>55</v>
      </c>
      <c r="O426">
        <f>Supply_Chain[[#This Row],[Unit_Price]]*Supply_Chain[[#This Row],[Quantity]]</f>
        <v>6516.4000000000005</v>
      </c>
      <c r="P426" t="s">
        <v>629</v>
      </c>
      <c r="Q426" t="s">
        <v>86</v>
      </c>
      <c r="R426" t="s">
        <v>87</v>
      </c>
      <c r="S426" t="s">
        <v>37</v>
      </c>
      <c r="T426" t="s">
        <v>38</v>
      </c>
      <c r="U426" t="s">
        <v>168</v>
      </c>
      <c r="V426">
        <v>1412</v>
      </c>
      <c r="W426">
        <v>71</v>
      </c>
      <c r="X426">
        <v>25</v>
      </c>
      <c r="Y426">
        <v>1464.43</v>
      </c>
      <c r="Z426">
        <v>94.84</v>
      </c>
      <c r="AA426" s="9">
        <v>1559.27</v>
      </c>
      <c r="AB426" t="s">
        <v>52</v>
      </c>
      <c r="AC426">
        <v>0</v>
      </c>
      <c r="AD426">
        <v>87.44</v>
      </c>
      <c r="AE426">
        <v>177</v>
      </c>
      <c r="AF426">
        <v>147</v>
      </c>
      <c r="AG426" s="11">
        <f>Supply_Chain[[#This Row],[Total_Cost]]/Supply_Chain[[#This Row],[Stock_On_Hand]]</f>
        <v>1.104298866855524</v>
      </c>
    </row>
    <row r="427" spans="1:33" x14ac:dyDescent="0.25">
      <c r="A427" t="s">
        <v>1367</v>
      </c>
      <c r="B427" t="s">
        <v>1368</v>
      </c>
      <c r="C427" s="1">
        <v>44007</v>
      </c>
      <c r="D427" s="1">
        <v>44482</v>
      </c>
      <c r="E427" t="s">
        <v>43</v>
      </c>
      <c r="F427" t="s">
        <v>75</v>
      </c>
      <c r="G427" t="s">
        <v>32</v>
      </c>
      <c r="H427" t="s">
        <v>33</v>
      </c>
      <c r="I427" s="3" t="s">
        <v>3109</v>
      </c>
      <c r="J427" s="3" t="s">
        <v>3519</v>
      </c>
      <c r="K427" s="3" t="s">
        <v>3537</v>
      </c>
      <c r="L427" s="3" t="s">
        <v>3904</v>
      </c>
      <c r="M427">
        <v>448.8</v>
      </c>
      <c r="N427">
        <v>13</v>
      </c>
      <c r="O427">
        <f>Supply_Chain[[#This Row],[Unit_Price]]*Supply_Chain[[#This Row],[Quantity]]</f>
        <v>5834.4000000000005</v>
      </c>
      <c r="P427" t="s">
        <v>129</v>
      </c>
      <c r="Q427" t="s">
        <v>35</v>
      </c>
      <c r="R427" t="s">
        <v>130</v>
      </c>
      <c r="S427" t="s">
        <v>37</v>
      </c>
      <c r="T427" t="s">
        <v>38</v>
      </c>
      <c r="U427" t="s">
        <v>106</v>
      </c>
      <c r="V427">
        <v>3838</v>
      </c>
      <c r="W427">
        <v>246</v>
      </c>
      <c r="X427">
        <v>12</v>
      </c>
      <c r="Y427">
        <v>1301.31</v>
      </c>
      <c r="Z427">
        <v>131.15</v>
      </c>
      <c r="AA427" s="9">
        <v>1432.46</v>
      </c>
      <c r="AB427" t="s">
        <v>52</v>
      </c>
      <c r="AC427">
        <v>0</v>
      </c>
      <c r="AD427">
        <v>79.39</v>
      </c>
      <c r="AE427">
        <v>475</v>
      </c>
      <c r="AF427">
        <v>519</v>
      </c>
      <c r="AG427" s="11">
        <f>Supply_Chain[[#This Row],[Total_Cost]]/Supply_Chain[[#This Row],[Stock_On_Hand]]</f>
        <v>0.37323084940072954</v>
      </c>
    </row>
    <row r="428" spans="1:33" x14ac:dyDescent="0.25">
      <c r="A428" t="s">
        <v>1369</v>
      </c>
      <c r="B428" t="s">
        <v>1370</v>
      </c>
      <c r="C428" s="1">
        <v>45059</v>
      </c>
      <c r="D428" s="1">
        <v>44465</v>
      </c>
      <c r="E428" t="s">
        <v>43</v>
      </c>
      <c r="F428" t="s">
        <v>44</v>
      </c>
      <c r="G428" t="s">
        <v>76</v>
      </c>
      <c r="H428" t="s">
        <v>66</v>
      </c>
      <c r="I428" s="3" t="s">
        <v>3110</v>
      </c>
      <c r="J428" s="3" t="s">
        <v>3518</v>
      </c>
      <c r="K428" s="3" t="s">
        <v>3522</v>
      </c>
      <c r="L428" s="3" t="s">
        <v>3905</v>
      </c>
      <c r="M428">
        <v>425.94</v>
      </c>
      <c r="N428">
        <v>20</v>
      </c>
      <c r="O428">
        <f>Supply_Chain[[#This Row],[Unit_Price]]*Supply_Chain[[#This Row],[Quantity]]</f>
        <v>8518.7999999999993</v>
      </c>
      <c r="P428" t="s">
        <v>1371</v>
      </c>
      <c r="Q428" t="s">
        <v>68</v>
      </c>
      <c r="R428" t="s">
        <v>466</v>
      </c>
      <c r="S428" t="s">
        <v>70</v>
      </c>
      <c r="T428" t="s">
        <v>71</v>
      </c>
      <c r="U428" t="s">
        <v>182</v>
      </c>
      <c r="V428">
        <v>2649</v>
      </c>
      <c r="W428">
        <v>282</v>
      </c>
      <c r="X428">
        <v>23</v>
      </c>
      <c r="Y428">
        <v>1890.62</v>
      </c>
      <c r="Z428">
        <v>207.33</v>
      </c>
      <c r="AA428" s="9">
        <v>2097.9499999999998</v>
      </c>
      <c r="AB428" t="s">
        <v>52</v>
      </c>
      <c r="AC428">
        <v>0</v>
      </c>
      <c r="AD428">
        <v>84.3</v>
      </c>
      <c r="AE428">
        <v>290</v>
      </c>
      <c r="AF428">
        <v>293</v>
      </c>
      <c r="AG428" s="11">
        <f>Supply_Chain[[#This Row],[Total_Cost]]/Supply_Chain[[#This Row],[Stock_On_Hand]]</f>
        <v>0.79197810494526233</v>
      </c>
    </row>
    <row r="429" spans="1:33" x14ac:dyDescent="0.25">
      <c r="A429" t="s">
        <v>1372</v>
      </c>
      <c r="B429" t="s">
        <v>1373</v>
      </c>
      <c r="C429" s="1">
        <v>45301</v>
      </c>
      <c r="D429" s="1">
        <v>45469</v>
      </c>
      <c r="E429" t="s">
        <v>30</v>
      </c>
      <c r="F429" t="s">
        <v>64</v>
      </c>
      <c r="G429" t="s">
        <v>65</v>
      </c>
      <c r="H429" t="s">
        <v>46</v>
      </c>
      <c r="I429" s="3" t="s">
        <v>3111</v>
      </c>
      <c r="J429" s="3" t="s">
        <v>3518</v>
      </c>
      <c r="K429" s="3" t="s">
        <v>3522</v>
      </c>
      <c r="L429" s="3" t="s">
        <v>3906</v>
      </c>
      <c r="M429">
        <v>330.41</v>
      </c>
      <c r="N429">
        <v>35</v>
      </c>
      <c r="O429">
        <f>Supply_Chain[[#This Row],[Unit_Price]]*Supply_Chain[[#This Row],[Quantity]]</f>
        <v>11564.35</v>
      </c>
      <c r="P429" t="s">
        <v>1374</v>
      </c>
      <c r="Q429" t="s">
        <v>68</v>
      </c>
      <c r="R429" t="s">
        <v>162</v>
      </c>
      <c r="S429" t="s">
        <v>119</v>
      </c>
      <c r="T429" t="s">
        <v>71</v>
      </c>
      <c r="U429" t="s">
        <v>619</v>
      </c>
      <c r="V429">
        <v>4703</v>
      </c>
      <c r="W429">
        <v>341</v>
      </c>
      <c r="X429">
        <v>4</v>
      </c>
      <c r="Y429">
        <v>1976.52</v>
      </c>
      <c r="Z429">
        <v>257.74</v>
      </c>
      <c r="AA429" s="9">
        <v>2234.2600000000002</v>
      </c>
      <c r="AB429" t="s">
        <v>52</v>
      </c>
      <c r="AC429">
        <v>0</v>
      </c>
      <c r="AD429">
        <v>83.17</v>
      </c>
      <c r="AE429">
        <v>464</v>
      </c>
      <c r="AF429">
        <v>430</v>
      </c>
      <c r="AG429" s="11">
        <f>Supply_Chain[[#This Row],[Total_Cost]]/Supply_Chain[[#This Row],[Stock_On_Hand]]</f>
        <v>0.47507123112906657</v>
      </c>
    </row>
    <row r="430" spans="1:33" x14ac:dyDescent="0.25">
      <c r="A430" t="s">
        <v>1375</v>
      </c>
      <c r="B430" t="s">
        <v>1376</v>
      </c>
      <c r="C430" s="1">
        <v>45601</v>
      </c>
      <c r="D430" s="1">
        <v>45600</v>
      </c>
      <c r="E430" t="s">
        <v>43</v>
      </c>
      <c r="F430" t="s">
        <v>75</v>
      </c>
      <c r="G430" t="s">
        <v>45</v>
      </c>
      <c r="H430" t="s">
        <v>92</v>
      </c>
      <c r="I430" s="3" t="s">
        <v>3112</v>
      </c>
      <c r="J430" s="3" t="s">
        <v>3518</v>
      </c>
      <c r="K430" s="3" t="s">
        <v>3523</v>
      </c>
      <c r="L430" s="3" t="s">
        <v>3907</v>
      </c>
      <c r="M430">
        <v>437.15</v>
      </c>
      <c r="N430">
        <v>90</v>
      </c>
      <c r="O430">
        <f>Supply_Chain[[#This Row],[Unit_Price]]*Supply_Chain[[#This Row],[Quantity]]</f>
        <v>39343.5</v>
      </c>
      <c r="P430" t="s">
        <v>1377</v>
      </c>
      <c r="Q430" t="s">
        <v>86</v>
      </c>
      <c r="R430" t="s">
        <v>145</v>
      </c>
      <c r="S430" t="s">
        <v>119</v>
      </c>
      <c r="T430" t="s">
        <v>79</v>
      </c>
      <c r="U430" t="s">
        <v>270</v>
      </c>
      <c r="V430">
        <v>1683</v>
      </c>
      <c r="W430">
        <v>494</v>
      </c>
      <c r="X430">
        <v>18</v>
      </c>
      <c r="Y430">
        <v>1527.95</v>
      </c>
      <c r="Z430">
        <v>291.18</v>
      </c>
      <c r="AA430" s="9">
        <v>1819.13</v>
      </c>
      <c r="AB430" t="s">
        <v>52</v>
      </c>
      <c r="AC430">
        <v>0</v>
      </c>
      <c r="AD430">
        <v>79.2</v>
      </c>
      <c r="AE430">
        <v>67</v>
      </c>
      <c r="AF430">
        <v>26</v>
      </c>
      <c r="AG430" s="11">
        <f>Supply_Chain[[#This Row],[Total_Cost]]/Supply_Chain[[#This Row],[Stock_On_Hand]]</f>
        <v>1.0808853238265004</v>
      </c>
    </row>
    <row r="431" spans="1:33" x14ac:dyDescent="0.25">
      <c r="A431" t="s">
        <v>1378</v>
      </c>
      <c r="B431" t="s">
        <v>1379</v>
      </c>
      <c r="C431" s="1">
        <v>44930</v>
      </c>
      <c r="D431" s="1">
        <v>43987</v>
      </c>
      <c r="E431" t="s">
        <v>55</v>
      </c>
      <c r="F431" t="s">
        <v>75</v>
      </c>
      <c r="G431" t="s">
        <v>56</v>
      </c>
      <c r="H431" t="s">
        <v>46</v>
      </c>
      <c r="I431" s="3" t="s">
        <v>2949</v>
      </c>
      <c r="J431" s="3" t="s">
        <v>84</v>
      </c>
      <c r="K431" s="3" t="s">
        <v>3529</v>
      </c>
      <c r="L431" s="3" t="s">
        <v>3747</v>
      </c>
      <c r="M431">
        <v>292.02999999999997</v>
      </c>
      <c r="N431">
        <v>33</v>
      </c>
      <c r="O431">
        <f>Supply_Chain[[#This Row],[Unit_Price]]*Supply_Chain[[#This Row],[Quantity]]</f>
        <v>9636.99</v>
      </c>
      <c r="P431" t="s">
        <v>1380</v>
      </c>
      <c r="Q431" t="s">
        <v>110</v>
      </c>
      <c r="R431" t="s">
        <v>236</v>
      </c>
      <c r="S431" t="s">
        <v>37</v>
      </c>
      <c r="T431" t="s">
        <v>100</v>
      </c>
      <c r="U431" t="s">
        <v>203</v>
      </c>
      <c r="V431">
        <v>105</v>
      </c>
      <c r="W431">
        <v>302</v>
      </c>
      <c r="X431">
        <v>2</v>
      </c>
      <c r="Y431">
        <v>409.88</v>
      </c>
      <c r="Z431">
        <v>301.25</v>
      </c>
      <c r="AA431" s="9">
        <v>711.13</v>
      </c>
      <c r="AB431" t="s">
        <v>52</v>
      </c>
      <c r="AC431">
        <v>0</v>
      </c>
      <c r="AD431">
        <v>82.4</v>
      </c>
      <c r="AE431">
        <v>497</v>
      </c>
      <c r="AF431">
        <v>487</v>
      </c>
      <c r="AG431" s="11">
        <f>Supply_Chain[[#This Row],[Total_Cost]]/Supply_Chain[[#This Row],[Stock_On_Hand]]</f>
        <v>6.7726666666666668</v>
      </c>
    </row>
    <row r="432" spans="1:33" x14ac:dyDescent="0.25">
      <c r="A432" t="s">
        <v>1381</v>
      </c>
      <c r="B432" t="s">
        <v>1382</v>
      </c>
      <c r="C432" s="1">
        <v>45549</v>
      </c>
      <c r="D432" s="1">
        <v>43963</v>
      </c>
      <c r="E432" t="s">
        <v>55</v>
      </c>
      <c r="F432" t="s">
        <v>31</v>
      </c>
      <c r="G432" t="s">
        <v>91</v>
      </c>
      <c r="H432" t="s">
        <v>46</v>
      </c>
      <c r="I432" s="3" t="s">
        <v>3113</v>
      </c>
      <c r="J432" s="3" t="s">
        <v>84</v>
      </c>
      <c r="K432" s="3" t="s">
        <v>3529</v>
      </c>
      <c r="L432" s="3" t="s">
        <v>3908</v>
      </c>
      <c r="M432">
        <v>63.88</v>
      </c>
      <c r="N432">
        <v>75</v>
      </c>
      <c r="O432">
        <f>Supply_Chain[[#This Row],[Unit_Price]]*Supply_Chain[[#This Row],[Quantity]]</f>
        <v>4791</v>
      </c>
      <c r="P432" t="s">
        <v>1383</v>
      </c>
      <c r="Q432" t="s">
        <v>48</v>
      </c>
      <c r="R432" t="s">
        <v>360</v>
      </c>
      <c r="S432" t="s">
        <v>70</v>
      </c>
      <c r="T432" t="s">
        <v>38</v>
      </c>
      <c r="U432" t="s">
        <v>316</v>
      </c>
      <c r="V432">
        <v>4181</v>
      </c>
      <c r="W432">
        <v>498</v>
      </c>
      <c r="X432">
        <v>2</v>
      </c>
      <c r="Y432">
        <v>445.87</v>
      </c>
      <c r="Z432">
        <v>397.57</v>
      </c>
      <c r="AA432" s="9">
        <v>843.44</v>
      </c>
      <c r="AB432" t="s">
        <v>52</v>
      </c>
      <c r="AC432">
        <v>0</v>
      </c>
      <c r="AD432">
        <v>89.04</v>
      </c>
      <c r="AE432">
        <v>393</v>
      </c>
      <c r="AF432">
        <v>407</v>
      </c>
      <c r="AG432" s="11">
        <f>Supply_Chain[[#This Row],[Total_Cost]]/Supply_Chain[[#This Row],[Stock_On_Hand]]</f>
        <v>0.20173164314757236</v>
      </c>
    </row>
    <row r="433" spans="1:33" x14ac:dyDescent="0.25">
      <c r="A433" t="s">
        <v>1384</v>
      </c>
      <c r="B433" t="s">
        <v>1385</v>
      </c>
      <c r="C433" s="1">
        <v>45296</v>
      </c>
      <c r="D433" s="1">
        <v>44762</v>
      </c>
      <c r="E433" t="s">
        <v>30</v>
      </c>
      <c r="F433" t="s">
        <v>115</v>
      </c>
      <c r="G433" t="s">
        <v>56</v>
      </c>
      <c r="H433" t="s">
        <v>46</v>
      </c>
      <c r="I433" s="3" t="s">
        <v>3114</v>
      </c>
      <c r="J433" s="3" t="s">
        <v>3518</v>
      </c>
      <c r="K433" s="3" t="s">
        <v>3533</v>
      </c>
      <c r="L433" s="3" t="s">
        <v>3909</v>
      </c>
      <c r="M433">
        <v>393.57</v>
      </c>
      <c r="N433">
        <v>10</v>
      </c>
      <c r="O433">
        <f>Supply_Chain[[#This Row],[Unit_Price]]*Supply_Chain[[#This Row],[Quantity]]</f>
        <v>3935.7</v>
      </c>
      <c r="P433" t="s">
        <v>1386</v>
      </c>
      <c r="Q433" t="s">
        <v>35</v>
      </c>
      <c r="R433" t="s">
        <v>269</v>
      </c>
      <c r="S433" t="s">
        <v>119</v>
      </c>
      <c r="T433" t="s">
        <v>38</v>
      </c>
      <c r="U433" t="s">
        <v>331</v>
      </c>
      <c r="V433">
        <v>2905</v>
      </c>
      <c r="W433">
        <v>357</v>
      </c>
      <c r="X433">
        <v>22</v>
      </c>
      <c r="Y433">
        <v>1113.22</v>
      </c>
      <c r="Z433">
        <v>32.85</v>
      </c>
      <c r="AA433" s="9">
        <v>1146.07</v>
      </c>
      <c r="AB433" t="s">
        <v>52</v>
      </c>
      <c r="AC433">
        <v>0</v>
      </c>
      <c r="AD433">
        <v>99.16</v>
      </c>
      <c r="AE433">
        <v>55</v>
      </c>
      <c r="AF433">
        <v>27</v>
      </c>
      <c r="AG433" s="11">
        <f>Supply_Chain[[#This Row],[Total_Cost]]/Supply_Chain[[#This Row],[Stock_On_Hand]]</f>
        <v>0.39451635111876071</v>
      </c>
    </row>
    <row r="434" spans="1:33" x14ac:dyDescent="0.25">
      <c r="A434" t="s">
        <v>1387</v>
      </c>
      <c r="B434" t="s">
        <v>1388</v>
      </c>
      <c r="C434" s="1">
        <v>44756</v>
      </c>
      <c r="D434" s="1">
        <v>45578</v>
      </c>
      <c r="E434" t="s">
        <v>55</v>
      </c>
      <c r="F434" t="s">
        <v>75</v>
      </c>
      <c r="G434" t="s">
        <v>45</v>
      </c>
      <c r="H434" t="s">
        <v>66</v>
      </c>
      <c r="I434" s="3" t="s">
        <v>3028</v>
      </c>
      <c r="J434" s="3" t="s">
        <v>3518</v>
      </c>
      <c r="K434" s="3" t="s">
        <v>3525</v>
      </c>
      <c r="L434" s="3" t="s">
        <v>3825</v>
      </c>
      <c r="M434">
        <v>75.930000000000007</v>
      </c>
      <c r="N434">
        <v>91</v>
      </c>
      <c r="O434">
        <f>Supply_Chain[[#This Row],[Unit_Price]]*Supply_Chain[[#This Row],[Quantity]]</f>
        <v>6909.630000000001</v>
      </c>
      <c r="P434" t="s">
        <v>933</v>
      </c>
      <c r="Q434" t="s">
        <v>86</v>
      </c>
      <c r="R434" t="s">
        <v>195</v>
      </c>
      <c r="S434" t="s">
        <v>70</v>
      </c>
      <c r="T434" t="s">
        <v>71</v>
      </c>
      <c r="U434" t="s">
        <v>203</v>
      </c>
      <c r="V434">
        <v>3770</v>
      </c>
      <c r="W434">
        <v>98</v>
      </c>
      <c r="X434">
        <v>18</v>
      </c>
      <c r="Y434">
        <v>1560.83</v>
      </c>
      <c r="Z434">
        <v>74.430000000000007</v>
      </c>
      <c r="AA434" s="9">
        <v>1635.26</v>
      </c>
      <c r="AB434" t="s">
        <v>52</v>
      </c>
      <c r="AC434">
        <v>0</v>
      </c>
      <c r="AD434">
        <v>93.56</v>
      </c>
      <c r="AE434">
        <v>134</v>
      </c>
      <c r="AF434">
        <v>124</v>
      </c>
      <c r="AG434" s="11">
        <f>Supply_Chain[[#This Row],[Total_Cost]]/Supply_Chain[[#This Row],[Stock_On_Hand]]</f>
        <v>0.43375596816976125</v>
      </c>
    </row>
    <row r="435" spans="1:33" x14ac:dyDescent="0.25">
      <c r="A435" t="s">
        <v>1389</v>
      </c>
      <c r="B435" t="s">
        <v>1390</v>
      </c>
      <c r="C435" s="1">
        <v>44583</v>
      </c>
      <c r="D435" s="1">
        <v>45603</v>
      </c>
      <c r="E435" t="s">
        <v>30</v>
      </c>
      <c r="F435" t="s">
        <v>115</v>
      </c>
      <c r="G435" t="s">
        <v>83</v>
      </c>
      <c r="H435" t="s">
        <v>166</v>
      </c>
      <c r="I435" s="3" t="s">
        <v>3115</v>
      </c>
      <c r="J435" s="3" t="s">
        <v>3518</v>
      </c>
      <c r="K435" s="3" t="s">
        <v>3522</v>
      </c>
      <c r="L435" s="3" t="s">
        <v>3910</v>
      </c>
      <c r="M435">
        <v>376.99</v>
      </c>
      <c r="N435">
        <v>10</v>
      </c>
      <c r="O435">
        <f>Supply_Chain[[#This Row],[Unit_Price]]*Supply_Chain[[#This Row],[Quantity]]</f>
        <v>3769.9</v>
      </c>
      <c r="P435" t="s">
        <v>1391</v>
      </c>
      <c r="Q435" t="s">
        <v>86</v>
      </c>
      <c r="R435" t="s">
        <v>240</v>
      </c>
      <c r="S435" t="s">
        <v>119</v>
      </c>
      <c r="T435" t="s">
        <v>79</v>
      </c>
      <c r="U435" t="s">
        <v>691</v>
      </c>
      <c r="V435">
        <v>2883</v>
      </c>
      <c r="W435">
        <v>114</v>
      </c>
      <c r="X435">
        <v>17</v>
      </c>
      <c r="Y435">
        <v>1074.1300000000001</v>
      </c>
      <c r="Z435">
        <v>247.77</v>
      </c>
      <c r="AA435" s="9">
        <v>1321.9</v>
      </c>
      <c r="AB435" t="s">
        <v>52</v>
      </c>
      <c r="AC435">
        <v>0</v>
      </c>
      <c r="AD435">
        <v>81.709999999999994</v>
      </c>
      <c r="AE435">
        <v>187</v>
      </c>
      <c r="AF435">
        <v>167</v>
      </c>
      <c r="AG435" s="11">
        <f>Supply_Chain[[#This Row],[Total_Cost]]/Supply_Chain[[#This Row],[Stock_On_Hand]]</f>
        <v>0.45851543531044053</v>
      </c>
    </row>
    <row r="436" spans="1:33" x14ac:dyDescent="0.25">
      <c r="A436" t="s">
        <v>1392</v>
      </c>
      <c r="B436" t="s">
        <v>1393</v>
      </c>
      <c r="C436" s="1">
        <v>44703</v>
      </c>
      <c r="D436" s="1">
        <v>44363</v>
      </c>
      <c r="E436" t="s">
        <v>55</v>
      </c>
      <c r="F436" t="s">
        <v>44</v>
      </c>
      <c r="G436" t="s">
        <v>32</v>
      </c>
      <c r="H436" t="s">
        <v>92</v>
      </c>
      <c r="I436" s="3" t="s">
        <v>3116</v>
      </c>
      <c r="J436" s="3" t="s">
        <v>3518</v>
      </c>
      <c r="K436" s="3" t="s">
        <v>3527</v>
      </c>
      <c r="L436" s="3" t="s">
        <v>3911</v>
      </c>
      <c r="M436">
        <v>301.43</v>
      </c>
      <c r="N436">
        <v>88</v>
      </c>
      <c r="O436">
        <f>Supply_Chain[[#This Row],[Unit_Price]]*Supply_Chain[[#This Row],[Quantity]]</f>
        <v>26525.84</v>
      </c>
      <c r="P436" t="s">
        <v>1394</v>
      </c>
      <c r="Q436" t="s">
        <v>48</v>
      </c>
      <c r="R436" t="s">
        <v>264</v>
      </c>
      <c r="S436" t="s">
        <v>119</v>
      </c>
      <c r="T436" t="s">
        <v>38</v>
      </c>
      <c r="U436" t="s">
        <v>669</v>
      </c>
      <c r="V436">
        <v>3021</v>
      </c>
      <c r="W436">
        <v>219</v>
      </c>
      <c r="X436">
        <v>8</v>
      </c>
      <c r="Y436">
        <v>1102.74</v>
      </c>
      <c r="Z436">
        <v>447.34</v>
      </c>
      <c r="AA436" s="9">
        <v>1550.08</v>
      </c>
      <c r="AB436" t="s">
        <v>52</v>
      </c>
      <c r="AC436">
        <v>0</v>
      </c>
      <c r="AD436">
        <v>89.83</v>
      </c>
      <c r="AE436">
        <v>229</v>
      </c>
      <c r="AF436">
        <v>267</v>
      </c>
      <c r="AG436" s="11">
        <f>Supply_Chain[[#This Row],[Total_Cost]]/Supply_Chain[[#This Row],[Stock_On_Hand]]</f>
        <v>0.51310162197947695</v>
      </c>
    </row>
    <row r="437" spans="1:33" x14ac:dyDescent="0.25">
      <c r="A437" t="s">
        <v>1395</v>
      </c>
      <c r="B437" t="s">
        <v>1396</v>
      </c>
      <c r="C437" s="1">
        <v>45397</v>
      </c>
      <c r="D437" s="1">
        <v>44618</v>
      </c>
      <c r="E437" t="s">
        <v>55</v>
      </c>
      <c r="F437" t="s">
        <v>31</v>
      </c>
      <c r="G437" t="s">
        <v>91</v>
      </c>
      <c r="H437" t="s">
        <v>33</v>
      </c>
      <c r="I437" s="3" t="s">
        <v>2837</v>
      </c>
      <c r="J437" s="3" t="s">
        <v>84</v>
      </c>
      <c r="K437" s="3" t="s">
        <v>3526</v>
      </c>
      <c r="L437" s="3" t="s">
        <v>3636</v>
      </c>
      <c r="M437">
        <v>85.75</v>
      </c>
      <c r="N437">
        <v>50</v>
      </c>
      <c r="O437">
        <f>Supply_Chain[[#This Row],[Unit_Price]]*Supply_Chain[[#This Row],[Quantity]]</f>
        <v>4287.5</v>
      </c>
      <c r="P437" t="s">
        <v>848</v>
      </c>
      <c r="Q437" t="s">
        <v>110</v>
      </c>
      <c r="R437" t="s">
        <v>290</v>
      </c>
      <c r="S437" t="s">
        <v>70</v>
      </c>
      <c r="T437" t="s">
        <v>38</v>
      </c>
      <c r="U437" t="s">
        <v>691</v>
      </c>
      <c r="V437">
        <v>687</v>
      </c>
      <c r="W437">
        <v>97</v>
      </c>
      <c r="X437">
        <v>28</v>
      </c>
      <c r="Y437">
        <v>1111.3599999999999</v>
      </c>
      <c r="Z437">
        <v>355.8</v>
      </c>
      <c r="AA437" s="9">
        <v>1467.16</v>
      </c>
      <c r="AB437" t="s">
        <v>52</v>
      </c>
      <c r="AC437">
        <v>0</v>
      </c>
      <c r="AD437">
        <v>93.07</v>
      </c>
      <c r="AE437">
        <v>325</v>
      </c>
      <c r="AF437">
        <v>289</v>
      </c>
      <c r="AG437" s="11">
        <f>Supply_Chain[[#This Row],[Total_Cost]]/Supply_Chain[[#This Row],[Stock_On_Hand]]</f>
        <v>2.1356040756914121</v>
      </c>
    </row>
    <row r="438" spans="1:33" x14ac:dyDescent="0.25">
      <c r="A438" t="s">
        <v>1397</v>
      </c>
      <c r="B438" t="s">
        <v>1398</v>
      </c>
      <c r="C438" s="1">
        <v>44328</v>
      </c>
      <c r="D438" s="1">
        <v>45525</v>
      </c>
      <c r="E438" t="s">
        <v>55</v>
      </c>
      <c r="F438" t="s">
        <v>75</v>
      </c>
      <c r="G438" t="s">
        <v>65</v>
      </c>
      <c r="H438" t="s">
        <v>57</v>
      </c>
      <c r="I438" s="3" t="s">
        <v>3117</v>
      </c>
      <c r="J438" s="3" t="s">
        <v>3518</v>
      </c>
      <c r="K438" s="3" t="s">
        <v>3525</v>
      </c>
      <c r="L438" s="3" t="s">
        <v>3912</v>
      </c>
      <c r="M438">
        <v>437.27</v>
      </c>
      <c r="N438">
        <v>72</v>
      </c>
      <c r="O438">
        <f>Supply_Chain[[#This Row],[Unit_Price]]*Supply_Chain[[#This Row],[Quantity]]</f>
        <v>31483.439999999999</v>
      </c>
      <c r="P438" t="s">
        <v>1399</v>
      </c>
      <c r="Q438" t="s">
        <v>35</v>
      </c>
      <c r="R438" t="s">
        <v>49</v>
      </c>
      <c r="S438" t="s">
        <v>37</v>
      </c>
      <c r="T438" t="s">
        <v>79</v>
      </c>
      <c r="U438" t="s">
        <v>155</v>
      </c>
      <c r="V438">
        <v>917</v>
      </c>
      <c r="W438">
        <v>278</v>
      </c>
      <c r="X438">
        <v>2</v>
      </c>
      <c r="Y438">
        <v>859.47</v>
      </c>
      <c r="Z438">
        <v>348.95</v>
      </c>
      <c r="AA438" s="9">
        <v>1208.42</v>
      </c>
      <c r="AB438" t="s">
        <v>52</v>
      </c>
      <c r="AC438">
        <v>0</v>
      </c>
      <c r="AD438">
        <v>84.73</v>
      </c>
      <c r="AE438">
        <v>164</v>
      </c>
      <c r="AF438">
        <v>154</v>
      </c>
      <c r="AG438" s="11">
        <f>Supply_Chain[[#This Row],[Total_Cost]]/Supply_Chain[[#This Row],[Stock_On_Hand]]</f>
        <v>1.3177971646673938</v>
      </c>
    </row>
    <row r="439" spans="1:33" x14ac:dyDescent="0.25">
      <c r="A439" t="s">
        <v>1400</v>
      </c>
      <c r="B439" t="s">
        <v>1401</v>
      </c>
      <c r="C439" s="1">
        <v>44355</v>
      </c>
      <c r="D439" s="1">
        <v>44973</v>
      </c>
      <c r="E439" t="s">
        <v>43</v>
      </c>
      <c r="F439" t="s">
        <v>75</v>
      </c>
      <c r="G439" t="s">
        <v>91</v>
      </c>
      <c r="H439" t="s">
        <v>166</v>
      </c>
      <c r="I439" s="3" t="s">
        <v>2792</v>
      </c>
      <c r="J439" s="3" t="s">
        <v>3518</v>
      </c>
      <c r="K439" s="3" t="s">
        <v>3522</v>
      </c>
      <c r="L439" s="3" t="s">
        <v>3592</v>
      </c>
      <c r="M439">
        <v>210.48</v>
      </c>
      <c r="N439">
        <v>11</v>
      </c>
      <c r="O439">
        <f>Supply_Chain[[#This Row],[Unit_Price]]*Supply_Chain[[#This Row],[Quantity]]</f>
        <v>2315.2799999999997</v>
      </c>
      <c r="P439" t="s">
        <v>1402</v>
      </c>
      <c r="Q439" t="s">
        <v>110</v>
      </c>
      <c r="R439" t="s">
        <v>181</v>
      </c>
      <c r="S439" t="s">
        <v>70</v>
      </c>
      <c r="T439" t="s">
        <v>38</v>
      </c>
      <c r="U439" t="s">
        <v>125</v>
      </c>
      <c r="V439">
        <v>2089</v>
      </c>
      <c r="W439">
        <v>185</v>
      </c>
      <c r="X439">
        <v>8</v>
      </c>
      <c r="Y439">
        <v>861.96</v>
      </c>
      <c r="Z439">
        <v>20.96</v>
      </c>
      <c r="AA439" s="9">
        <v>882.92000000000007</v>
      </c>
      <c r="AB439" t="s">
        <v>52</v>
      </c>
      <c r="AC439">
        <v>0</v>
      </c>
      <c r="AD439">
        <v>98.07</v>
      </c>
      <c r="AE439">
        <v>417</v>
      </c>
      <c r="AF439">
        <v>392</v>
      </c>
      <c r="AG439" s="11">
        <f>Supply_Chain[[#This Row],[Total_Cost]]/Supply_Chain[[#This Row],[Stock_On_Hand]]</f>
        <v>0.4226519865964577</v>
      </c>
    </row>
    <row r="440" spans="1:33" x14ac:dyDescent="0.25">
      <c r="A440" t="s">
        <v>1403</v>
      </c>
      <c r="B440" t="s">
        <v>1404</v>
      </c>
      <c r="C440" s="1">
        <v>44798</v>
      </c>
      <c r="D440" s="1">
        <v>45439</v>
      </c>
      <c r="E440" t="s">
        <v>55</v>
      </c>
      <c r="F440" t="s">
        <v>44</v>
      </c>
      <c r="G440" t="s">
        <v>32</v>
      </c>
      <c r="H440" t="s">
        <v>116</v>
      </c>
      <c r="I440" s="3" t="s">
        <v>3118</v>
      </c>
      <c r="J440" s="3" t="s">
        <v>3518</v>
      </c>
      <c r="K440" s="3" t="s">
        <v>3521</v>
      </c>
      <c r="L440" s="3" t="s">
        <v>3913</v>
      </c>
      <c r="M440">
        <v>72.8</v>
      </c>
      <c r="N440">
        <v>31</v>
      </c>
      <c r="O440">
        <f>Supply_Chain[[#This Row],[Unit_Price]]*Supply_Chain[[#This Row],[Quantity]]</f>
        <v>2256.7999999999997</v>
      </c>
      <c r="P440" t="s">
        <v>1405</v>
      </c>
      <c r="Q440" t="s">
        <v>35</v>
      </c>
      <c r="R440" t="s">
        <v>105</v>
      </c>
      <c r="S440" t="s">
        <v>119</v>
      </c>
      <c r="T440" t="s">
        <v>60</v>
      </c>
      <c r="U440" t="s">
        <v>297</v>
      </c>
      <c r="V440">
        <v>405</v>
      </c>
      <c r="W440">
        <v>170</v>
      </c>
      <c r="X440">
        <v>8</v>
      </c>
      <c r="Y440">
        <v>901.66</v>
      </c>
      <c r="Z440">
        <v>278.93</v>
      </c>
      <c r="AA440" s="9">
        <v>1180.5899999999999</v>
      </c>
      <c r="AB440" t="s">
        <v>52</v>
      </c>
      <c r="AC440">
        <v>0</v>
      </c>
      <c r="AD440">
        <v>71.89</v>
      </c>
      <c r="AE440">
        <v>359</v>
      </c>
      <c r="AF440">
        <v>382</v>
      </c>
      <c r="AG440" s="11">
        <f>Supply_Chain[[#This Row],[Total_Cost]]/Supply_Chain[[#This Row],[Stock_On_Hand]]</f>
        <v>2.9150370370370369</v>
      </c>
    </row>
    <row r="441" spans="1:33" x14ac:dyDescent="0.25">
      <c r="A441" t="s">
        <v>1406</v>
      </c>
      <c r="B441" t="s">
        <v>1407</v>
      </c>
      <c r="C441" s="1">
        <v>45135</v>
      </c>
      <c r="D441" s="1">
        <v>45414</v>
      </c>
      <c r="E441" t="s">
        <v>30</v>
      </c>
      <c r="F441" t="s">
        <v>115</v>
      </c>
      <c r="G441" t="s">
        <v>65</v>
      </c>
      <c r="H441" t="s">
        <v>116</v>
      </c>
      <c r="I441" s="3" t="s">
        <v>3119</v>
      </c>
      <c r="J441" s="3" t="s">
        <v>3518</v>
      </c>
      <c r="K441" s="3" t="s">
        <v>3521</v>
      </c>
      <c r="L441" s="3" t="s">
        <v>3914</v>
      </c>
      <c r="M441">
        <v>205.97</v>
      </c>
      <c r="N441">
        <v>89</v>
      </c>
      <c r="O441">
        <f>Supply_Chain[[#This Row],[Unit_Price]]*Supply_Chain[[#This Row],[Quantity]]</f>
        <v>18331.329999999998</v>
      </c>
      <c r="P441" t="s">
        <v>1408</v>
      </c>
      <c r="Q441" t="s">
        <v>68</v>
      </c>
      <c r="R441" t="s">
        <v>323</v>
      </c>
      <c r="S441" t="s">
        <v>37</v>
      </c>
      <c r="T441" t="s">
        <v>79</v>
      </c>
      <c r="U441" t="s">
        <v>141</v>
      </c>
      <c r="V441">
        <v>134</v>
      </c>
      <c r="W441">
        <v>403</v>
      </c>
      <c r="X441">
        <v>21</v>
      </c>
      <c r="Y441">
        <v>1272.9100000000001</v>
      </c>
      <c r="Z441">
        <v>497.42</v>
      </c>
      <c r="AA441" s="9">
        <v>1770.33</v>
      </c>
      <c r="AB441" t="s">
        <v>40</v>
      </c>
      <c r="AC441">
        <v>2</v>
      </c>
      <c r="AD441">
        <v>75.849999999999994</v>
      </c>
      <c r="AE441">
        <v>113</v>
      </c>
      <c r="AF441">
        <v>122</v>
      </c>
      <c r="AG441" s="11">
        <f>Supply_Chain[[#This Row],[Total_Cost]]/Supply_Chain[[#This Row],[Stock_On_Hand]]</f>
        <v>13.211417910447761</v>
      </c>
    </row>
    <row r="442" spans="1:33" x14ac:dyDescent="0.25">
      <c r="A442" t="s">
        <v>1409</v>
      </c>
      <c r="B442" t="s">
        <v>1410</v>
      </c>
      <c r="C442" s="1">
        <v>44242</v>
      </c>
      <c r="D442" s="1">
        <v>44016</v>
      </c>
      <c r="E442" t="s">
        <v>55</v>
      </c>
      <c r="F442" t="s">
        <v>44</v>
      </c>
      <c r="G442" t="s">
        <v>247</v>
      </c>
      <c r="H442" t="s">
        <v>66</v>
      </c>
      <c r="I442" s="3" t="s">
        <v>3120</v>
      </c>
      <c r="J442" s="3" t="s">
        <v>3518</v>
      </c>
      <c r="K442" s="3" t="s">
        <v>3521</v>
      </c>
      <c r="L442" s="3" t="s">
        <v>3915</v>
      </c>
      <c r="M442">
        <v>342.16</v>
      </c>
      <c r="N442">
        <v>39</v>
      </c>
      <c r="O442">
        <f>Supply_Chain[[#This Row],[Unit_Price]]*Supply_Chain[[#This Row],[Quantity]]</f>
        <v>13344.240000000002</v>
      </c>
      <c r="P442" t="s">
        <v>334</v>
      </c>
      <c r="Q442" t="s">
        <v>48</v>
      </c>
      <c r="R442" t="s">
        <v>78</v>
      </c>
      <c r="S442" t="s">
        <v>50</v>
      </c>
      <c r="T442" t="s">
        <v>38</v>
      </c>
      <c r="U442" t="s">
        <v>809</v>
      </c>
      <c r="V442">
        <v>4138</v>
      </c>
      <c r="W442">
        <v>433</v>
      </c>
      <c r="X442">
        <v>4</v>
      </c>
      <c r="Y442">
        <v>1402.6</v>
      </c>
      <c r="Z442">
        <v>482.82</v>
      </c>
      <c r="AA442" s="9">
        <v>1885.42</v>
      </c>
      <c r="AB442" t="s">
        <v>52</v>
      </c>
      <c r="AC442">
        <v>0</v>
      </c>
      <c r="AD442">
        <v>71.75</v>
      </c>
      <c r="AE442">
        <v>319</v>
      </c>
      <c r="AF442">
        <v>278</v>
      </c>
      <c r="AG442" s="11">
        <f>Supply_Chain[[#This Row],[Total_Cost]]/Supply_Chain[[#This Row],[Stock_On_Hand]]</f>
        <v>0.45563557274045435</v>
      </c>
    </row>
    <row r="443" spans="1:33" x14ac:dyDescent="0.25">
      <c r="A443" t="s">
        <v>1411</v>
      </c>
      <c r="B443" t="s">
        <v>1412</v>
      </c>
      <c r="C443" s="1">
        <v>44977</v>
      </c>
      <c r="D443" s="1">
        <v>45663</v>
      </c>
      <c r="E443" t="s">
        <v>43</v>
      </c>
      <c r="F443" t="s">
        <v>31</v>
      </c>
      <c r="G443" t="s">
        <v>45</v>
      </c>
      <c r="H443" t="s">
        <v>92</v>
      </c>
      <c r="I443" s="3" t="s">
        <v>3121</v>
      </c>
      <c r="J443" s="3" t="s">
        <v>3518</v>
      </c>
      <c r="K443" s="3" t="s">
        <v>3524</v>
      </c>
      <c r="L443" s="3" t="s">
        <v>3916</v>
      </c>
      <c r="M443">
        <v>403.2</v>
      </c>
      <c r="N443">
        <v>97</v>
      </c>
      <c r="O443">
        <f>Supply_Chain[[#This Row],[Unit_Price]]*Supply_Chain[[#This Row],[Quantity]]</f>
        <v>39110.400000000001</v>
      </c>
      <c r="P443" t="s">
        <v>1413</v>
      </c>
      <c r="Q443" t="s">
        <v>48</v>
      </c>
      <c r="R443" t="s">
        <v>195</v>
      </c>
      <c r="S443" t="s">
        <v>50</v>
      </c>
      <c r="T443" t="s">
        <v>60</v>
      </c>
      <c r="U443" t="s">
        <v>545</v>
      </c>
      <c r="V443">
        <v>924</v>
      </c>
      <c r="W443">
        <v>491</v>
      </c>
      <c r="X443">
        <v>7</v>
      </c>
      <c r="Y443">
        <v>515.21</v>
      </c>
      <c r="Z443">
        <v>238.27</v>
      </c>
      <c r="AA443" s="9">
        <v>753.48</v>
      </c>
      <c r="AB443" t="s">
        <v>40</v>
      </c>
      <c r="AC443">
        <v>5</v>
      </c>
      <c r="AD443">
        <v>77.45</v>
      </c>
      <c r="AE443">
        <v>173</v>
      </c>
      <c r="AF443">
        <v>164</v>
      </c>
      <c r="AG443" s="11">
        <f>Supply_Chain[[#This Row],[Total_Cost]]/Supply_Chain[[#This Row],[Stock_On_Hand]]</f>
        <v>0.81545454545454543</v>
      </c>
    </row>
    <row r="444" spans="1:33" x14ac:dyDescent="0.25">
      <c r="A444" t="s">
        <v>1414</v>
      </c>
      <c r="B444" t="s">
        <v>1415</v>
      </c>
      <c r="C444" s="1">
        <v>45067</v>
      </c>
      <c r="D444" s="1">
        <v>44348</v>
      </c>
      <c r="E444" t="s">
        <v>43</v>
      </c>
      <c r="F444" t="s">
        <v>75</v>
      </c>
      <c r="G444" t="s">
        <v>56</v>
      </c>
      <c r="H444" t="s">
        <v>33</v>
      </c>
      <c r="I444" s="3" t="s">
        <v>3122</v>
      </c>
      <c r="J444" s="3" t="s">
        <v>3518</v>
      </c>
      <c r="K444" s="3" t="s">
        <v>3525</v>
      </c>
      <c r="L444" s="3" t="s">
        <v>3917</v>
      </c>
      <c r="M444">
        <v>489.64</v>
      </c>
      <c r="N444">
        <v>35</v>
      </c>
      <c r="O444">
        <f>Supply_Chain[[#This Row],[Unit_Price]]*Supply_Chain[[#This Row],[Quantity]]</f>
        <v>17137.399999999998</v>
      </c>
      <c r="P444" t="s">
        <v>745</v>
      </c>
      <c r="Q444" t="s">
        <v>48</v>
      </c>
      <c r="R444" t="s">
        <v>69</v>
      </c>
      <c r="S444" t="s">
        <v>70</v>
      </c>
      <c r="T444" t="s">
        <v>38</v>
      </c>
      <c r="U444" t="s">
        <v>489</v>
      </c>
      <c r="V444">
        <v>2616</v>
      </c>
      <c r="W444">
        <v>373</v>
      </c>
      <c r="X444">
        <v>19</v>
      </c>
      <c r="Y444">
        <v>1313.88</v>
      </c>
      <c r="Z444">
        <v>472.56</v>
      </c>
      <c r="AA444" s="9">
        <v>1786.44</v>
      </c>
      <c r="AB444" t="s">
        <v>52</v>
      </c>
      <c r="AC444">
        <v>0</v>
      </c>
      <c r="AD444">
        <v>83.99</v>
      </c>
      <c r="AE444">
        <v>191</v>
      </c>
      <c r="AF444">
        <v>148</v>
      </c>
      <c r="AG444" s="11">
        <f>Supply_Chain[[#This Row],[Total_Cost]]/Supply_Chain[[#This Row],[Stock_On_Hand]]</f>
        <v>0.68288990825688078</v>
      </c>
    </row>
    <row r="445" spans="1:33" x14ac:dyDescent="0.25">
      <c r="A445" t="s">
        <v>1416</v>
      </c>
      <c r="B445" t="s">
        <v>799</v>
      </c>
      <c r="C445" s="1">
        <v>44642</v>
      </c>
      <c r="D445" s="1">
        <v>45513</v>
      </c>
      <c r="E445" t="s">
        <v>55</v>
      </c>
      <c r="F445" t="s">
        <v>31</v>
      </c>
      <c r="G445" t="s">
        <v>91</v>
      </c>
      <c r="H445" t="s">
        <v>92</v>
      </c>
      <c r="I445" s="3" t="s">
        <v>3123</v>
      </c>
      <c r="J445" s="3" t="s">
        <v>3518</v>
      </c>
      <c r="K445" s="3" t="s">
        <v>3522</v>
      </c>
      <c r="L445" s="3" t="s">
        <v>3918</v>
      </c>
      <c r="M445">
        <v>142</v>
      </c>
      <c r="N445">
        <v>23</v>
      </c>
      <c r="O445">
        <f>Supply_Chain[[#This Row],[Unit_Price]]*Supply_Chain[[#This Row],[Quantity]]</f>
        <v>3266</v>
      </c>
      <c r="P445" t="s">
        <v>1417</v>
      </c>
      <c r="Q445" t="s">
        <v>86</v>
      </c>
      <c r="R445" t="s">
        <v>181</v>
      </c>
      <c r="S445" t="s">
        <v>70</v>
      </c>
      <c r="T445" t="s">
        <v>38</v>
      </c>
      <c r="U445" t="s">
        <v>499</v>
      </c>
      <c r="V445">
        <v>4407</v>
      </c>
      <c r="W445">
        <v>436</v>
      </c>
      <c r="X445">
        <v>23</v>
      </c>
      <c r="Y445">
        <v>565.16999999999996</v>
      </c>
      <c r="Z445">
        <v>281.35000000000002</v>
      </c>
      <c r="AA445" s="9">
        <v>846.52</v>
      </c>
      <c r="AB445" t="s">
        <v>52</v>
      </c>
      <c r="AC445">
        <v>0</v>
      </c>
      <c r="AD445">
        <v>72.17</v>
      </c>
      <c r="AE445">
        <v>220</v>
      </c>
      <c r="AF445">
        <v>227</v>
      </c>
      <c r="AG445" s="11">
        <f>Supply_Chain[[#This Row],[Total_Cost]]/Supply_Chain[[#This Row],[Stock_On_Hand]]</f>
        <v>0.19208531881098254</v>
      </c>
    </row>
    <row r="446" spans="1:33" x14ac:dyDescent="0.25">
      <c r="A446" t="s">
        <v>1418</v>
      </c>
      <c r="B446" t="s">
        <v>1419</v>
      </c>
      <c r="C446" s="1">
        <v>44168</v>
      </c>
      <c r="D446" s="1">
        <v>43995</v>
      </c>
      <c r="E446" t="s">
        <v>43</v>
      </c>
      <c r="F446" t="s">
        <v>31</v>
      </c>
      <c r="G446" t="s">
        <v>56</v>
      </c>
      <c r="H446" t="s">
        <v>128</v>
      </c>
      <c r="I446" s="3" t="s">
        <v>2861</v>
      </c>
      <c r="J446" s="3" t="s">
        <v>3518</v>
      </c>
      <c r="K446" s="3" t="s">
        <v>3523</v>
      </c>
      <c r="L446" s="3" t="s">
        <v>3660</v>
      </c>
      <c r="M446">
        <v>447.34</v>
      </c>
      <c r="N446">
        <v>75</v>
      </c>
      <c r="O446">
        <f>Supply_Chain[[#This Row],[Unit_Price]]*Supply_Chain[[#This Row],[Quantity]]</f>
        <v>33550.5</v>
      </c>
      <c r="P446" t="s">
        <v>1420</v>
      </c>
      <c r="Q446" t="s">
        <v>86</v>
      </c>
      <c r="R446" t="s">
        <v>130</v>
      </c>
      <c r="S446" t="s">
        <v>50</v>
      </c>
      <c r="T446" t="s">
        <v>60</v>
      </c>
      <c r="U446" t="s">
        <v>196</v>
      </c>
      <c r="V446">
        <v>117</v>
      </c>
      <c r="W446">
        <v>269</v>
      </c>
      <c r="X446">
        <v>10</v>
      </c>
      <c r="Y446">
        <v>550.32000000000005</v>
      </c>
      <c r="Z446">
        <v>483.03</v>
      </c>
      <c r="AA446" s="9">
        <v>1033.3499999999999</v>
      </c>
      <c r="AB446" t="s">
        <v>52</v>
      </c>
      <c r="AC446">
        <v>0</v>
      </c>
      <c r="AD446">
        <v>71.680000000000007</v>
      </c>
      <c r="AE446">
        <v>194</v>
      </c>
      <c r="AF446">
        <v>211</v>
      </c>
      <c r="AG446" s="11">
        <f>Supply_Chain[[#This Row],[Total_Cost]]/Supply_Chain[[#This Row],[Stock_On_Hand]]</f>
        <v>8.8320512820512818</v>
      </c>
    </row>
    <row r="447" spans="1:33" x14ac:dyDescent="0.25">
      <c r="A447" t="s">
        <v>1421</v>
      </c>
      <c r="B447" t="s">
        <v>1422</v>
      </c>
      <c r="C447" s="1">
        <v>44388</v>
      </c>
      <c r="D447" s="1">
        <v>44139</v>
      </c>
      <c r="E447" t="s">
        <v>55</v>
      </c>
      <c r="F447" t="s">
        <v>75</v>
      </c>
      <c r="G447" t="s">
        <v>83</v>
      </c>
      <c r="H447" t="s">
        <v>128</v>
      </c>
      <c r="I447" s="3" t="s">
        <v>3124</v>
      </c>
      <c r="J447" s="3" t="s">
        <v>84</v>
      </c>
      <c r="K447" s="3" t="s">
        <v>3526</v>
      </c>
      <c r="L447" s="3" t="s">
        <v>3919</v>
      </c>
      <c r="M447">
        <v>90.87</v>
      </c>
      <c r="N447">
        <v>76</v>
      </c>
      <c r="O447">
        <f>Supply_Chain[[#This Row],[Unit_Price]]*Supply_Chain[[#This Row],[Quantity]]</f>
        <v>6906.1200000000008</v>
      </c>
      <c r="P447" t="s">
        <v>693</v>
      </c>
      <c r="Q447" t="s">
        <v>48</v>
      </c>
      <c r="R447" t="s">
        <v>140</v>
      </c>
      <c r="S447" t="s">
        <v>119</v>
      </c>
      <c r="T447" t="s">
        <v>100</v>
      </c>
      <c r="U447" t="s">
        <v>196</v>
      </c>
      <c r="V447">
        <v>4217</v>
      </c>
      <c r="W447">
        <v>203</v>
      </c>
      <c r="X447">
        <v>22</v>
      </c>
      <c r="Y447">
        <v>1764.59</v>
      </c>
      <c r="Z447">
        <v>219.37</v>
      </c>
      <c r="AA447" s="9">
        <v>1983.96</v>
      </c>
      <c r="AB447" t="s">
        <v>52</v>
      </c>
      <c r="AC447">
        <v>0</v>
      </c>
      <c r="AD447">
        <v>80.78</v>
      </c>
      <c r="AE447">
        <v>212</v>
      </c>
      <c r="AF447">
        <v>196</v>
      </c>
      <c r="AG447" s="11">
        <f>Supply_Chain[[#This Row],[Total_Cost]]/Supply_Chain[[#This Row],[Stock_On_Hand]]</f>
        <v>0.47046715674650225</v>
      </c>
    </row>
    <row r="448" spans="1:33" x14ac:dyDescent="0.25">
      <c r="A448" t="s">
        <v>1423</v>
      </c>
      <c r="B448" t="s">
        <v>1424</v>
      </c>
      <c r="C448" s="1">
        <v>44422</v>
      </c>
      <c r="D448" s="1">
        <v>43950</v>
      </c>
      <c r="E448" t="s">
        <v>43</v>
      </c>
      <c r="F448" t="s">
        <v>75</v>
      </c>
      <c r="G448" t="s">
        <v>91</v>
      </c>
      <c r="H448" t="s">
        <v>116</v>
      </c>
      <c r="I448" s="3" t="s">
        <v>2815</v>
      </c>
      <c r="J448" s="3" t="s">
        <v>84</v>
      </c>
      <c r="K448" s="3" t="s">
        <v>3534</v>
      </c>
      <c r="L448" s="3" t="s">
        <v>3614</v>
      </c>
      <c r="M448">
        <v>356.1</v>
      </c>
      <c r="N448">
        <v>86</v>
      </c>
      <c r="O448">
        <f>Supply_Chain[[#This Row],[Unit_Price]]*Supply_Chain[[#This Row],[Quantity]]</f>
        <v>30624.600000000002</v>
      </c>
      <c r="P448" t="s">
        <v>1425</v>
      </c>
      <c r="Q448" t="s">
        <v>110</v>
      </c>
      <c r="R448" t="s">
        <v>181</v>
      </c>
      <c r="S448" t="s">
        <v>119</v>
      </c>
      <c r="T448" t="s">
        <v>100</v>
      </c>
      <c r="U448" t="s">
        <v>611</v>
      </c>
      <c r="V448">
        <v>1863</v>
      </c>
      <c r="W448">
        <v>334</v>
      </c>
      <c r="X448">
        <v>4</v>
      </c>
      <c r="Y448">
        <v>391.86</v>
      </c>
      <c r="Z448">
        <v>293.14999999999998</v>
      </c>
      <c r="AA448" s="9">
        <v>685.01</v>
      </c>
      <c r="AB448" t="s">
        <v>52</v>
      </c>
      <c r="AC448">
        <v>0</v>
      </c>
      <c r="AD448">
        <v>96.05</v>
      </c>
      <c r="AE448">
        <v>325</v>
      </c>
      <c r="AF448">
        <v>351</v>
      </c>
      <c r="AG448" s="11">
        <f>Supply_Chain[[#This Row],[Total_Cost]]/Supply_Chain[[#This Row],[Stock_On_Hand]]</f>
        <v>0.36769189479334408</v>
      </c>
    </row>
    <row r="449" spans="1:33" x14ac:dyDescent="0.25">
      <c r="A449" t="s">
        <v>1426</v>
      </c>
      <c r="B449" t="s">
        <v>1427</v>
      </c>
      <c r="C449" s="1">
        <v>44382</v>
      </c>
      <c r="D449" s="1">
        <v>44064</v>
      </c>
      <c r="E449" t="s">
        <v>55</v>
      </c>
      <c r="F449" t="s">
        <v>44</v>
      </c>
      <c r="G449" t="s">
        <v>76</v>
      </c>
      <c r="H449" t="s">
        <v>57</v>
      </c>
      <c r="I449" s="3" t="s">
        <v>3125</v>
      </c>
      <c r="J449" s="3" t="s">
        <v>3518</v>
      </c>
      <c r="K449" s="3" t="s">
        <v>3525</v>
      </c>
      <c r="L449" s="3" t="s">
        <v>3920</v>
      </c>
      <c r="M449">
        <v>88.98</v>
      </c>
      <c r="N449">
        <v>4</v>
      </c>
      <c r="O449">
        <f>Supply_Chain[[#This Row],[Unit_Price]]*Supply_Chain[[#This Row],[Quantity]]</f>
        <v>355.92</v>
      </c>
      <c r="P449" t="s">
        <v>1428</v>
      </c>
      <c r="Q449" t="s">
        <v>35</v>
      </c>
      <c r="R449" t="s">
        <v>105</v>
      </c>
      <c r="S449" t="s">
        <v>50</v>
      </c>
      <c r="T449" t="s">
        <v>60</v>
      </c>
      <c r="U449" t="s">
        <v>51</v>
      </c>
      <c r="V449">
        <v>2205</v>
      </c>
      <c r="W449">
        <v>417</v>
      </c>
      <c r="X449">
        <v>2</v>
      </c>
      <c r="Y449">
        <v>1767.47</v>
      </c>
      <c r="Z449">
        <v>442.56</v>
      </c>
      <c r="AA449" s="9">
        <v>2210.0300000000002</v>
      </c>
      <c r="AB449" t="s">
        <v>52</v>
      </c>
      <c r="AC449">
        <v>0</v>
      </c>
      <c r="AD449">
        <v>73.16</v>
      </c>
      <c r="AE449">
        <v>154</v>
      </c>
      <c r="AF449">
        <v>174</v>
      </c>
      <c r="AG449" s="11">
        <f>Supply_Chain[[#This Row],[Total_Cost]]/Supply_Chain[[#This Row],[Stock_On_Hand]]</f>
        <v>1.0022811791383222</v>
      </c>
    </row>
    <row r="450" spans="1:33" x14ac:dyDescent="0.25">
      <c r="A450" t="s">
        <v>1429</v>
      </c>
      <c r="B450" t="s">
        <v>1430</v>
      </c>
      <c r="C450" s="1">
        <v>44034</v>
      </c>
      <c r="D450" s="1">
        <v>45373</v>
      </c>
      <c r="E450" t="s">
        <v>43</v>
      </c>
      <c r="F450" t="s">
        <v>44</v>
      </c>
      <c r="G450" t="s">
        <v>65</v>
      </c>
      <c r="H450" t="s">
        <v>128</v>
      </c>
      <c r="I450" s="3" t="s">
        <v>3126</v>
      </c>
      <c r="J450" s="3" t="s">
        <v>3518</v>
      </c>
      <c r="K450" s="3" t="s">
        <v>3522</v>
      </c>
      <c r="L450" s="3" t="s">
        <v>3921</v>
      </c>
      <c r="M450">
        <v>382.27</v>
      </c>
      <c r="N450">
        <v>13</v>
      </c>
      <c r="O450">
        <f>Supply_Chain[[#This Row],[Unit_Price]]*Supply_Chain[[#This Row],[Quantity]]</f>
        <v>4969.51</v>
      </c>
      <c r="P450" t="s">
        <v>1431</v>
      </c>
      <c r="Q450" t="s">
        <v>110</v>
      </c>
      <c r="R450" t="s">
        <v>480</v>
      </c>
      <c r="S450" t="s">
        <v>119</v>
      </c>
      <c r="T450" t="s">
        <v>38</v>
      </c>
      <c r="U450" t="s">
        <v>163</v>
      </c>
      <c r="V450">
        <v>2698</v>
      </c>
      <c r="W450">
        <v>179</v>
      </c>
      <c r="X450">
        <v>25</v>
      </c>
      <c r="Y450">
        <v>1123.8699999999999</v>
      </c>
      <c r="Z450">
        <v>236.73</v>
      </c>
      <c r="AA450" s="9">
        <v>1360.6</v>
      </c>
      <c r="AB450" t="s">
        <v>52</v>
      </c>
      <c r="AC450">
        <v>0</v>
      </c>
      <c r="AD450">
        <v>87.6</v>
      </c>
      <c r="AE450">
        <v>306</v>
      </c>
      <c r="AF450">
        <v>344</v>
      </c>
      <c r="AG450" s="11">
        <f>Supply_Chain[[#This Row],[Total_Cost]]/Supply_Chain[[#This Row],[Stock_On_Hand]]</f>
        <v>0.50429948109710898</v>
      </c>
    </row>
    <row r="451" spans="1:33" x14ac:dyDescent="0.25">
      <c r="A451" t="s">
        <v>1432</v>
      </c>
      <c r="B451" t="s">
        <v>1284</v>
      </c>
      <c r="C451" s="1">
        <v>45096</v>
      </c>
      <c r="D451" s="1">
        <v>44348</v>
      </c>
      <c r="E451" t="s">
        <v>55</v>
      </c>
      <c r="F451" t="s">
        <v>31</v>
      </c>
      <c r="G451" t="s">
        <v>32</v>
      </c>
      <c r="H451" t="s">
        <v>116</v>
      </c>
      <c r="I451" s="4" t="s">
        <v>3124</v>
      </c>
      <c r="J451" s="4" t="s">
        <v>84</v>
      </c>
      <c r="K451" s="4" t="s">
        <v>3526</v>
      </c>
      <c r="L451" s="4" t="s">
        <v>3919</v>
      </c>
      <c r="M451">
        <v>379.41</v>
      </c>
      <c r="N451">
        <v>25</v>
      </c>
      <c r="O451">
        <f>Supply_Chain[[#This Row],[Unit_Price]]*Supply_Chain[[#This Row],[Quantity]]</f>
        <v>9485.25</v>
      </c>
      <c r="P451" t="s">
        <v>1433</v>
      </c>
      <c r="Q451" t="s">
        <v>86</v>
      </c>
      <c r="R451" t="s">
        <v>181</v>
      </c>
      <c r="S451" t="s">
        <v>37</v>
      </c>
      <c r="T451" t="s">
        <v>60</v>
      </c>
      <c r="U451" t="s">
        <v>615</v>
      </c>
      <c r="V451">
        <v>3470</v>
      </c>
      <c r="W451">
        <v>255</v>
      </c>
      <c r="X451">
        <v>13</v>
      </c>
      <c r="Y451">
        <v>475.97</v>
      </c>
      <c r="Z451">
        <v>50.48</v>
      </c>
      <c r="AA451" s="9">
        <v>526.45000000000005</v>
      </c>
      <c r="AB451" t="s">
        <v>52</v>
      </c>
      <c r="AC451">
        <v>0</v>
      </c>
      <c r="AD451">
        <v>88.84</v>
      </c>
      <c r="AE451">
        <v>123</v>
      </c>
      <c r="AF451">
        <v>172</v>
      </c>
      <c r="AG451" s="11">
        <f>Supply_Chain[[#This Row],[Total_Cost]]/Supply_Chain[[#This Row],[Stock_On_Hand]]</f>
        <v>0.15171469740634008</v>
      </c>
    </row>
    <row r="452" spans="1:33" x14ac:dyDescent="0.25">
      <c r="A452" t="s">
        <v>1434</v>
      </c>
      <c r="B452" t="s">
        <v>1435</v>
      </c>
      <c r="C452" s="1">
        <v>44661</v>
      </c>
      <c r="D452" s="1">
        <v>44882</v>
      </c>
      <c r="E452" t="s">
        <v>55</v>
      </c>
      <c r="F452" t="s">
        <v>44</v>
      </c>
      <c r="G452" t="s">
        <v>32</v>
      </c>
      <c r="H452" t="s">
        <v>116</v>
      </c>
      <c r="I452" s="4" t="s">
        <v>2815</v>
      </c>
      <c r="J452" s="4" t="s">
        <v>84</v>
      </c>
      <c r="K452" s="4" t="s">
        <v>3534</v>
      </c>
      <c r="L452" s="4" t="s">
        <v>3614</v>
      </c>
      <c r="M452">
        <v>165.68</v>
      </c>
      <c r="N452">
        <v>40</v>
      </c>
      <c r="O452">
        <f>Supply_Chain[[#This Row],[Unit_Price]]*Supply_Chain[[#This Row],[Quantity]]</f>
        <v>6627.2000000000007</v>
      </c>
      <c r="P452" t="s">
        <v>1436</v>
      </c>
      <c r="Q452" t="s">
        <v>110</v>
      </c>
      <c r="R452" t="s">
        <v>124</v>
      </c>
      <c r="S452" t="s">
        <v>50</v>
      </c>
      <c r="T452" t="s">
        <v>100</v>
      </c>
      <c r="U452" t="s">
        <v>177</v>
      </c>
      <c r="V452">
        <v>1200</v>
      </c>
      <c r="W452">
        <v>300</v>
      </c>
      <c r="X452">
        <v>10</v>
      </c>
      <c r="Y452">
        <v>147.66999999999999</v>
      </c>
      <c r="Z452">
        <v>184.84</v>
      </c>
      <c r="AA452" s="9">
        <v>332.51</v>
      </c>
      <c r="AB452" t="s">
        <v>52</v>
      </c>
      <c r="AC452">
        <v>0</v>
      </c>
      <c r="AD452">
        <v>79.95</v>
      </c>
      <c r="AE452">
        <v>136</v>
      </c>
      <c r="AF452">
        <v>123</v>
      </c>
      <c r="AG452" s="11">
        <f>Supply_Chain[[#This Row],[Total_Cost]]/Supply_Chain[[#This Row],[Stock_On_Hand]]</f>
        <v>0.27709166666666668</v>
      </c>
    </row>
    <row r="453" spans="1:33" x14ac:dyDescent="0.25">
      <c r="A453" t="s">
        <v>1437</v>
      </c>
      <c r="B453" t="s">
        <v>1438</v>
      </c>
      <c r="C453" s="1">
        <v>43977</v>
      </c>
      <c r="D453" s="1">
        <v>44340</v>
      </c>
      <c r="E453" t="s">
        <v>55</v>
      </c>
      <c r="F453" t="s">
        <v>31</v>
      </c>
      <c r="G453" t="s">
        <v>83</v>
      </c>
      <c r="H453" t="s">
        <v>116</v>
      </c>
      <c r="I453" s="4" t="s">
        <v>3125</v>
      </c>
      <c r="J453" s="4" t="s">
        <v>3518</v>
      </c>
      <c r="K453" s="4" t="s">
        <v>3525</v>
      </c>
      <c r="L453" s="4" t="s">
        <v>3920</v>
      </c>
      <c r="M453">
        <v>274.97000000000003</v>
      </c>
      <c r="N453">
        <v>54</v>
      </c>
      <c r="O453">
        <f>Supply_Chain[[#This Row],[Unit_Price]]*Supply_Chain[[#This Row],[Quantity]]</f>
        <v>14848.380000000001</v>
      </c>
      <c r="P453" t="s">
        <v>1439</v>
      </c>
      <c r="Q453" t="s">
        <v>48</v>
      </c>
      <c r="R453" t="s">
        <v>135</v>
      </c>
      <c r="S453" t="s">
        <v>37</v>
      </c>
      <c r="T453" t="s">
        <v>79</v>
      </c>
      <c r="U453" t="s">
        <v>146</v>
      </c>
      <c r="V453">
        <v>2363</v>
      </c>
      <c r="W453">
        <v>223</v>
      </c>
      <c r="X453">
        <v>6</v>
      </c>
      <c r="Y453">
        <v>1583.42</v>
      </c>
      <c r="Z453">
        <v>75.45</v>
      </c>
      <c r="AA453" s="9">
        <v>1658.87</v>
      </c>
      <c r="AB453" t="s">
        <v>52</v>
      </c>
      <c r="AC453">
        <v>0</v>
      </c>
      <c r="AD453">
        <v>90.75</v>
      </c>
      <c r="AE453">
        <v>90</v>
      </c>
      <c r="AF453">
        <v>105</v>
      </c>
      <c r="AG453" s="11">
        <f>Supply_Chain[[#This Row],[Total_Cost]]/Supply_Chain[[#This Row],[Stock_On_Hand]]</f>
        <v>0.70201862039779939</v>
      </c>
    </row>
    <row r="454" spans="1:33" x14ac:dyDescent="0.25">
      <c r="A454" t="s">
        <v>1440</v>
      </c>
      <c r="B454" t="s">
        <v>1441</v>
      </c>
      <c r="C454" s="1">
        <v>45650</v>
      </c>
      <c r="D454" s="1">
        <v>44626</v>
      </c>
      <c r="E454" t="s">
        <v>43</v>
      </c>
      <c r="F454" t="s">
        <v>31</v>
      </c>
      <c r="G454" t="s">
        <v>45</v>
      </c>
      <c r="H454" t="s">
        <v>166</v>
      </c>
      <c r="I454" s="4" t="s">
        <v>3126</v>
      </c>
      <c r="J454" s="4" t="s">
        <v>3518</v>
      </c>
      <c r="K454" s="4" t="s">
        <v>3522</v>
      </c>
      <c r="L454" s="4" t="s">
        <v>3921</v>
      </c>
      <c r="M454">
        <v>364.98</v>
      </c>
      <c r="N454">
        <v>71</v>
      </c>
      <c r="O454">
        <f>Supply_Chain[[#This Row],[Unit_Price]]*Supply_Chain[[#This Row],[Quantity]]</f>
        <v>25913.58</v>
      </c>
      <c r="P454" t="s">
        <v>1206</v>
      </c>
      <c r="Q454" t="s">
        <v>48</v>
      </c>
      <c r="R454" t="s">
        <v>323</v>
      </c>
      <c r="S454" t="s">
        <v>119</v>
      </c>
      <c r="T454" t="s">
        <v>71</v>
      </c>
      <c r="U454" t="s">
        <v>215</v>
      </c>
      <c r="V454">
        <v>4791</v>
      </c>
      <c r="W454">
        <v>222</v>
      </c>
      <c r="X454">
        <v>14</v>
      </c>
      <c r="Y454">
        <v>1539.59</v>
      </c>
      <c r="Z454">
        <v>247.08</v>
      </c>
      <c r="AA454" s="9">
        <v>1786.67</v>
      </c>
      <c r="AB454" t="s">
        <v>52</v>
      </c>
      <c r="AC454">
        <v>0</v>
      </c>
      <c r="AD454">
        <v>73.290000000000006</v>
      </c>
      <c r="AE454">
        <v>465</v>
      </c>
      <c r="AF454">
        <v>482</v>
      </c>
      <c r="AG454" s="11">
        <f>Supply_Chain[[#This Row],[Total_Cost]]/Supply_Chain[[#This Row],[Stock_On_Hand]]</f>
        <v>0.37292214568983512</v>
      </c>
    </row>
    <row r="455" spans="1:33" x14ac:dyDescent="0.25">
      <c r="A455" t="s">
        <v>1442</v>
      </c>
      <c r="B455" t="s">
        <v>1443</v>
      </c>
      <c r="C455" s="1">
        <v>45421</v>
      </c>
      <c r="D455" s="1">
        <v>44219</v>
      </c>
      <c r="E455" t="s">
        <v>55</v>
      </c>
      <c r="F455" t="s">
        <v>31</v>
      </c>
      <c r="G455" t="s">
        <v>247</v>
      </c>
      <c r="H455" t="s">
        <v>57</v>
      </c>
      <c r="I455" s="3" t="s">
        <v>3127</v>
      </c>
      <c r="J455" s="3" t="s">
        <v>3519</v>
      </c>
      <c r="K455" s="3" t="s">
        <v>3537</v>
      </c>
      <c r="L455" s="3" t="s">
        <v>3922</v>
      </c>
      <c r="M455">
        <v>468.9</v>
      </c>
      <c r="N455">
        <v>33</v>
      </c>
      <c r="O455">
        <f>Supply_Chain[[#This Row],[Unit_Price]]*Supply_Chain[[#This Row],[Quantity]]</f>
        <v>15473.699999999999</v>
      </c>
      <c r="P455" t="s">
        <v>656</v>
      </c>
      <c r="Q455" t="s">
        <v>68</v>
      </c>
      <c r="R455" t="s">
        <v>36</v>
      </c>
      <c r="S455" t="s">
        <v>37</v>
      </c>
      <c r="T455" t="s">
        <v>79</v>
      </c>
      <c r="U455" t="s">
        <v>163</v>
      </c>
      <c r="V455">
        <v>3365</v>
      </c>
      <c r="W455">
        <v>187</v>
      </c>
      <c r="X455">
        <v>11</v>
      </c>
      <c r="Y455">
        <v>200</v>
      </c>
      <c r="Z455">
        <v>364.64</v>
      </c>
      <c r="AA455" s="9">
        <v>564.64</v>
      </c>
      <c r="AB455" t="s">
        <v>52</v>
      </c>
      <c r="AC455">
        <v>0</v>
      </c>
      <c r="AD455">
        <v>89.54</v>
      </c>
      <c r="AE455">
        <v>318</v>
      </c>
      <c r="AF455">
        <v>311</v>
      </c>
      <c r="AG455" s="11">
        <f>Supply_Chain[[#This Row],[Total_Cost]]/Supply_Chain[[#This Row],[Stock_On_Hand]]</f>
        <v>0.16779791976225855</v>
      </c>
    </row>
    <row r="456" spans="1:33" x14ac:dyDescent="0.25">
      <c r="A456" t="s">
        <v>1444</v>
      </c>
      <c r="B456" t="s">
        <v>1445</v>
      </c>
      <c r="C456" s="1">
        <v>44452</v>
      </c>
      <c r="D456" s="1">
        <v>44800</v>
      </c>
      <c r="E456" t="s">
        <v>55</v>
      </c>
      <c r="F456" t="s">
        <v>31</v>
      </c>
      <c r="G456" t="s">
        <v>76</v>
      </c>
      <c r="H456" t="s">
        <v>33</v>
      </c>
      <c r="I456" s="3" t="s">
        <v>3011</v>
      </c>
      <c r="J456" s="3" t="s">
        <v>3518</v>
      </c>
      <c r="K456" s="3" t="s">
        <v>3523</v>
      </c>
      <c r="L456" s="3" t="s">
        <v>3808</v>
      </c>
      <c r="M456">
        <v>22.99</v>
      </c>
      <c r="N456">
        <v>39</v>
      </c>
      <c r="O456">
        <f>Supply_Chain[[#This Row],[Unit_Price]]*Supply_Chain[[#This Row],[Quantity]]</f>
        <v>896.6099999999999</v>
      </c>
      <c r="P456" t="s">
        <v>1446</v>
      </c>
      <c r="Q456" t="s">
        <v>35</v>
      </c>
      <c r="R456" t="s">
        <v>377</v>
      </c>
      <c r="S456" t="s">
        <v>50</v>
      </c>
      <c r="T456" t="s">
        <v>71</v>
      </c>
      <c r="U456" t="s">
        <v>125</v>
      </c>
      <c r="V456">
        <v>1154</v>
      </c>
      <c r="W456">
        <v>210</v>
      </c>
      <c r="X456">
        <v>17</v>
      </c>
      <c r="Y456">
        <v>163.24</v>
      </c>
      <c r="Z456">
        <v>63.71</v>
      </c>
      <c r="AA456" s="9">
        <v>226.95</v>
      </c>
      <c r="AB456" t="s">
        <v>52</v>
      </c>
      <c r="AC456">
        <v>0</v>
      </c>
      <c r="AD456">
        <v>85.86</v>
      </c>
      <c r="AE456">
        <v>198</v>
      </c>
      <c r="AF456">
        <v>183</v>
      </c>
      <c r="AG456" s="11">
        <f>Supply_Chain[[#This Row],[Total_Cost]]/Supply_Chain[[#This Row],[Stock_On_Hand]]</f>
        <v>0.19666377816291161</v>
      </c>
    </row>
    <row r="457" spans="1:33" x14ac:dyDescent="0.25">
      <c r="A457" t="s">
        <v>1447</v>
      </c>
      <c r="B457" t="s">
        <v>1448</v>
      </c>
      <c r="C457" s="1">
        <v>43849</v>
      </c>
      <c r="D457" s="1">
        <v>43852</v>
      </c>
      <c r="E457" t="s">
        <v>55</v>
      </c>
      <c r="F457" t="s">
        <v>75</v>
      </c>
      <c r="G457" t="s">
        <v>45</v>
      </c>
      <c r="H457" t="s">
        <v>116</v>
      </c>
      <c r="I457" s="3" t="s">
        <v>3128</v>
      </c>
      <c r="J457" s="3" t="s">
        <v>3518</v>
      </c>
      <c r="K457" s="3" t="s">
        <v>3523</v>
      </c>
      <c r="L457" s="3" t="s">
        <v>3923</v>
      </c>
      <c r="M457">
        <v>356.3</v>
      </c>
      <c r="N457">
        <v>22</v>
      </c>
      <c r="O457">
        <f>Supply_Chain[[#This Row],[Unit_Price]]*Supply_Chain[[#This Row],[Quantity]]</f>
        <v>7838.6</v>
      </c>
      <c r="P457" t="s">
        <v>1449</v>
      </c>
      <c r="Q457" t="s">
        <v>68</v>
      </c>
      <c r="R457" t="s">
        <v>480</v>
      </c>
      <c r="S457" t="s">
        <v>50</v>
      </c>
      <c r="T457" t="s">
        <v>71</v>
      </c>
      <c r="U457" t="s">
        <v>207</v>
      </c>
      <c r="V457">
        <v>1829</v>
      </c>
      <c r="W457">
        <v>211</v>
      </c>
      <c r="X457">
        <v>26</v>
      </c>
      <c r="Y457">
        <v>1418.21</v>
      </c>
      <c r="Z457">
        <v>447.3</v>
      </c>
      <c r="AA457" s="9">
        <v>1865.51</v>
      </c>
      <c r="AB457" t="s">
        <v>52</v>
      </c>
      <c r="AC457">
        <v>0</v>
      </c>
      <c r="AD457">
        <v>89.62</v>
      </c>
      <c r="AE457">
        <v>444</v>
      </c>
      <c r="AF457">
        <v>472</v>
      </c>
      <c r="AG457" s="11">
        <f>Supply_Chain[[#This Row],[Total_Cost]]/Supply_Chain[[#This Row],[Stock_On_Hand]]</f>
        <v>1.0199617277200657</v>
      </c>
    </row>
    <row r="458" spans="1:33" x14ac:dyDescent="0.25">
      <c r="A458" t="s">
        <v>1450</v>
      </c>
      <c r="B458" t="s">
        <v>1451</v>
      </c>
      <c r="C458" s="1">
        <v>45406</v>
      </c>
      <c r="D458" s="1">
        <v>45071</v>
      </c>
      <c r="E458" t="s">
        <v>55</v>
      </c>
      <c r="F458" t="s">
        <v>64</v>
      </c>
      <c r="G458" t="s">
        <v>45</v>
      </c>
      <c r="H458" t="s">
        <v>166</v>
      </c>
      <c r="I458" s="3" t="s">
        <v>2802</v>
      </c>
      <c r="J458" s="3" t="s">
        <v>3518</v>
      </c>
      <c r="K458" s="3" t="s">
        <v>3521</v>
      </c>
      <c r="L458" s="3" t="s">
        <v>3601</v>
      </c>
      <c r="M458">
        <v>385.67</v>
      </c>
      <c r="N458">
        <v>53</v>
      </c>
      <c r="O458">
        <f>Supply_Chain[[#This Row],[Unit_Price]]*Supply_Chain[[#This Row],[Quantity]]</f>
        <v>20440.510000000002</v>
      </c>
      <c r="P458" t="s">
        <v>751</v>
      </c>
      <c r="Q458" t="s">
        <v>48</v>
      </c>
      <c r="R458" t="s">
        <v>154</v>
      </c>
      <c r="S458" t="s">
        <v>119</v>
      </c>
      <c r="T458" t="s">
        <v>79</v>
      </c>
      <c r="U458" t="s">
        <v>146</v>
      </c>
      <c r="V458">
        <v>3164</v>
      </c>
      <c r="W458">
        <v>455</v>
      </c>
      <c r="X458">
        <v>7</v>
      </c>
      <c r="Y458">
        <v>1033.48</v>
      </c>
      <c r="Z458">
        <v>33.21</v>
      </c>
      <c r="AA458" s="9">
        <v>1066.69</v>
      </c>
      <c r="AB458" t="s">
        <v>52</v>
      </c>
      <c r="AC458">
        <v>0</v>
      </c>
      <c r="AD458">
        <v>93.13</v>
      </c>
      <c r="AE458">
        <v>240</v>
      </c>
      <c r="AF458">
        <v>242</v>
      </c>
      <c r="AG458" s="11">
        <f>Supply_Chain[[#This Row],[Total_Cost]]/Supply_Chain[[#This Row],[Stock_On_Hand]]</f>
        <v>0.33713337547408345</v>
      </c>
    </row>
    <row r="459" spans="1:33" x14ac:dyDescent="0.25">
      <c r="A459" t="s">
        <v>1452</v>
      </c>
      <c r="B459" t="s">
        <v>1453</v>
      </c>
      <c r="C459" s="1">
        <v>43894</v>
      </c>
      <c r="D459" s="1">
        <v>43905</v>
      </c>
      <c r="E459" t="s">
        <v>55</v>
      </c>
      <c r="F459" t="s">
        <v>75</v>
      </c>
      <c r="G459" t="s">
        <v>65</v>
      </c>
      <c r="H459" t="s">
        <v>46</v>
      </c>
      <c r="I459" s="3" t="s">
        <v>3129</v>
      </c>
      <c r="J459" s="3" t="s">
        <v>3518</v>
      </c>
      <c r="K459" s="3" t="s">
        <v>3524</v>
      </c>
      <c r="L459" s="3" t="s">
        <v>3924</v>
      </c>
      <c r="M459">
        <v>352.88</v>
      </c>
      <c r="N459">
        <v>92</v>
      </c>
      <c r="O459">
        <f>Supply_Chain[[#This Row],[Unit_Price]]*Supply_Chain[[#This Row],[Quantity]]</f>
        <v>32464.959999999999</v>
      </c>
      <c r="P459" t="s">
        <v>1454</v>
      </c>
      <c r="Q459" t="s">
        <v>68</v>
      </c>
      <c r="R459" t="s">
        <v>162</v>
      </c>
      <c r="S459" t="s">
        <v>50</v>
      </c>
      <c r="T459" t="s">
        <v>71</v>
      </c>
      <c r="U459" t="s">
        <v>459</v>
      </c>
      <c r="V459">
        <v>3445</v>
      </c>
      <c r="W459">
        <v>245</v>
      </c>
      <c r="X459">
        <v>22</v>
      </c>
      <c r="Y459">
        <v>1524.73</v>
      </c>
      <c r="Z459">
        <v>27.47</v>
      </c>
      <c r="AA459" s="9">
        <v>1552.2</v>
      </c>
      <c r="AB459" t="s">
        <v>52</v>
      </c>
      <c r="AC459">
        <v>0</v>
      </c>
      <c r="AD459">
        <v>86.44</v>
      </c>
      <c r="AE459">
        <v>233</v>
      </c>
      <c r="AF459">
        <v>262</v>
      </c>
      <c r="AG459" s="11">
        <f>Supply_Chain[[#This Row],[Total_Cost]]/Supply_Chain[[#This Row],[Stock_On_Hand]]</f>
        <v>0.45056603773584908</v>
      </c>
    </row>
    <row r="460" spans="1:33" x14ac:dyDescent="0.25">
      <c r="A460" t="s">
        <v>1455</v>
      </c>
      <c r="B460" t="s">
        <v>1456</v>
      </c>
      <c r="C460" s="1">
        <v>45595</v>
      </c>
      <c r="D460" s="1">
        <v>44588</v>
      </c>
      <c r="E460" t="s">
        <v>55</v>
      </c>
      <c r="F460" t="s">
        <v>75</v>
      </c>
      <c r="G460" t="s">
        <v>45</v>
      </c>
      <c r="H460" t="s">
        <v>166</v>
      </c>
      <c r="I460" s="3" t="s">
        <v>3130</v>
      </c>
      <c r="J460" s="3" t="s">
        <v>3519</v>
      </c>
      <c r="K460" s="3" t="s">
        <v>3530</v>
      </c>
      <c r="L460" s="3" t="s">
        <v>3925</v>
      </c>
      <c r="M460">
        <v>28.87</v>
      </c>
      <c r="N460">
        <v>45</v>
      </c>
      <c r="O460">
        <f>Supply_Chain[[#This Row],[Unit_Price]]*Supply_Chain[[#This Row],[Quantity]]</f>
        <v>1299.1500000000001</v>
      </c>
      <c r="P460" t="s">
        <v>1457</v>
      </c>
      <c r="Q460" t="s">
        <v>48</v>
      </c>
      <c r="R460" t="s">
        <v>480</v>
      </c>
      <c r="S460" t="s">
        <v>70</v>
      </c>
      <c r="T460" t="s">
        <v>38</v>
      </c>
      <c r="U460" t="s">
        <v>611</v>
      </c>
      <c r="V460">
        <v>1804</v>
      </c>
      <c r="W460">
        <v>420</v>
      </c>
      <c r="X460">
        <v>12</v>
      </c>
      <c r="Y460">
        <v>131.74</v>
      </c>
      <c r="Z460">
        <v>499.23</v>
      </c>
      <c r="AA460" s="9">
        <v>630.97</v>
      </c>
      <c r="AB460" t="s">
        <v>52</v>
      </c>
      <c r="AC460">
        <v>0</v>
      </c>
      <c r="AD460">
        <v>85.88</v>
      </c>
      <c r="AE460">
        <v>185</v>
      </c>
      <c r="AF460">
        <v>166</v>
      </c>
      <c r="AG460" s="11">
        <f>Supply_Chain[[#This Row],[Total_Cost]]/Supply_Chain[[#This Row],[Stock_On_Hand]]</f>
        <v>0.34976164079822619</v>
      </c>
    </row>
    <row r="461" spans="1:33" x14ac:dyDescent="0.25">
      <c r="A461" t="s">
        <v>1458</v>
      </c>
      <c r="B461" t="s">
        <v>1459</v>
      </c>
      <c r="C461" s="1">
        <v>44485</v>
      </c>
      <c r="D461" s="1">
        <v>45296</v>
      </c>
      <c r="E461" t="s">
        <v>43</v>
      </c>
      <c r="F461" t="s">
        <v>31</v>
      </c>
      <c r="G461" t="s">
        <v>91</v>
      </c>
      <c r="H461" t="s">
        <v>46</v>
      </c>
      <c r="I461" s="3" t="s">
        <v>3034</v>
      </c>
      <c r="J461" s="3" t="s">
        <v>3519</v>
      </c>
      <c r="K461" s="3" t="s">
        <v>3530</v>
      </c>
      <c r="L461" s="3" t="s">
        <v>3831</v>
      </c>
      <c r="M461">
        <v>365.85</v>
      </c>
      <c r="N461">
        <v>16</v>
      </c>
      <c r="O461">
        <f>Supply_Chain[[#This Row],[Unit_Price]]*Supply_Chain[[#This Row],[Quantity]]</f>
        <v>5853.6</v>
      </c>
      <c r="P461" t="s">
        <v>870</v>
      </c>
      <c r="Q461" t="s">
        <v>68</v>
      </c>
      <c r="R461" t="s">
        <v>388</v>
      </c>
      <c r="S461" t="s">
        <v>70</v>
      </c>
      <c r="T461" t="s">
        <v>38</v>
      </c>
      <c r="U461" t="s">
        <v>168</v>
      </c>
      <c r="V461">
        <v>2743</v>
      </c>
      <c r="W461">
        <v>257</v>
      </c>
      <c r="X461">
        <v>2</v>
      </c>
      <c r="Y461">
        <v>1019.36</v>
      </c>
      <c r="Z461">
        <v>302.61</v>
      </c>
      <c r="AA461" s="9">
        <v>1321.97</v>
      </c>
      <c r="AB461" t="s">
        <v>52</v>
      </c>
      <c r="AC461">
        <v>0</v>
      </c>
      <c r="AD461">
        <v>83</v>
      </c>
      <c r="AE461">
        <v>475</v>
      </c>
      <c r="AF461">
        <v>494</v>
      </c>
      <c r="AG461" s="11">
        <f>Supply_Chain[[#This Row],[Total_Cost]]/Supply_Chain[[#This Row],[Stock_On_Hand]]</f>
        <v>0.48194312796208533</v>
      </c>
    </row>
    <row r="462" spans="1:33" x14ac:dyDescent="0.25">
      <c r="A462" t="s">
        <v>1460</v>
      </c>
      <c r="B462" t="s">
        <v>1461</v>
      </c>
      <c r="C462" s="1">
        <v>44047</v>
      </c>
      <c r="D462" s="1">
        <v>44422</v>
      </c>
      <c r="E462" t="s">
        <v>43</v>
      </c>
      <c r="F462" t="s">
        <v>31</v>
      </c>
      <c r="G462" t="s">
        <v>247</v>
      </c>
      <c r="H462" t="s">
        <v>33</v>
      </c>
      <c r="I462" s="3" t="s">
        <v>3131</v>
      </c>
      <c r="J462" s="3" t="s">
        <v>84</v>
      </c>
      <c r="K462" s="3" t="s">
        <v>3531</v>
      </c>
      <c r="L462" s="3" t="s">
        <v>3926</v>
      </c>
      <c r="M462">
        <v>164.81</v>
      </c>
      <c r="N462">
        <v>87</v>
      </c>
      <c r="O462">
        <f>Supply_Chain[[#This Row],[Unit_Price]]*Supply_Chain[[#This Row],[Quantity]]</f>
        <v>14338.47</v>
      </c>
      <c r="P462" t="s">
        <v>775</v>
      </c>
      <c r="Q462" t="s">
        <v>68</v>
      </c>
      <c r="R462" t="s">
        <v>264</v>
      </c>
      <c r="S462" t="s">
        <v>119</v>
      </c>
      <c r="T462" t="s">
        <v>100</v>
      </c>
      <c r="U462" t="s">
        <v>615</v>
      </c>
      <c r="V462">
        <v>1779</v>
      </c>
      <c r="W462">
        <v>247</v>
      </c>
      <c r="X462">
        <v>27</v>
      </c>
      <c r="Y462">
        <v>758.97</v>
      </c>
      <c r="Z462">
        <v>92.51</v>
      </c>
      <c r="AA462" s="9">
        <v>851.48</v>
      </c>
      <c r="AB462" t="s">
        <v>52</v>
      </c>
      <c r="AC462">
        <v>0</v>
      </c>
      <c r="AD462">
        <v>77.430000000000007</v>
      </c>
      <c r="AE462">
        <v>170</v>
      </c>
      <c r="AF462">
        <v>205</v>
      </c>
      <c r="AG462" s="11">
        <f>Supply_Chain[[#This Row],[Total_Cost]]/Supply_Chain[[#This Row],[Stock_On_Hand]]</f>
        <v>0.47862844294547502</v>
      </c>
    </row>
    <row r="463" spans="1:33" x14ac:dyDescent="0.25">
      <c r="A463" t="s">
        <v>1462</v>
      </c>
      <c r="B463" t="s">
        <v>1463</v>
      </c>
      <c r="C463" s="1">
        <v>45112</v>
      </c>
      <c r="D463" s="1">
        <v>43999</v>
      </c>
      <c r="E463" t="s">
        <v>30</v>
      </c>
      <c r="F463" t="s">
        <v>64</v>
      </c>
      <c r="G463" t="s">
        <v>65</v>
      </c>
      <c r="H463" t="s">
        <v>128</v>
      </c>
      <c r="I463" s="3" t="s">
        <v>3132</v>
      </c>
      <c r="J463" s="3" t="s">
        <v>84</v>
      </c>
      <c r="K463" s="3" t="s">
        <v>3526</v>
      </c>
      <c r="L463" s="3" t="s">
        <v>3927</v>
      </c>
      <c r="M463">
        <v>126.16</v>
      </c>
      <c r="N463">
        <v>16</v>
      </c>
      <c r="O463">
        <f>Supply_Chain[[#This Row],[Unit_Price]]*Supply_Chain[[#This Row],[Quantity]]</f>
        <v>2018.56</v>
      </c>
      <c r="P463" t="s">
        <v>1405</v>
      </c>
      <c r="Q463" t="s">
        <v>110</v>
      </c>
      <c r="R463" t="s">
        <v>162</v>
      </c>
      <c r="S463" t="s">
        <v>70</v>
      </c>
      <c r="T463" t="s">
        <v>100</v>
      </c>
      <c r="U463" t="s">
        <v>191</v>
      </c>
      <c r="V463">
        <v>188</v>
      </c>
      <c r="W463">
        <v>143</v>
      </c>
      <c r="X463">
        <v>29</v>
      </c>
      <c r="Y463">
        <v>266.73</v>
      </c>
      <c r="Z463">
        <v>109.13</v>
      </c>
      <c r="AA463" s="9">
        <v>375.86</v>
      </c>
      <c r="AB463" t="s">
        <v>52</v>
      </c>
      <c r="AC463">
        <v>0</v>
      </c>
      <c r="AD463">
        <v>95.62</v>
      </c>
      <c r="AE463">
        <v>133</v>
      </c>
      <c r="AF463">
        <v>131</v>
      </c>
      <c r="AG463" s="11">
        <f>Supply_Chain[[#This Row],[Total_Cost]]/Supply_Chain[[#This Row],[Stock_On_Hand]]</f>
        <v>1.9992553191489362</v>
      </c>
    </row>
    <row r="464" spans="1:33" x14ac:dyDescent="0.25">
      <c r="A464" t="s">
        <v>1464</v>
      </c>
      <c r="B464" t="s">
        <v>1465</v>
      </c>
      <c r="C464" s="1">
        <v>45436</v>
      </c>
      <c r="D464" s="1">
        <v>44155</v>
      </c>
      <c r="E464" t="s">
        <v>55</v>
      </c>
      <c r="F464" t="s">
        <v>75</v>
      </c>
      <c r="G464" t="s">
        <v>56</v>
      </c>
      <c r="H464" t="s">
        <v>92</v>
      </c>
      <c r="I464" s="3" t="s">
        <v>3133</v>
      </c>
      <c r="J464" s="3" t="s">
        <v>3518</v>
      </c>
      <c r="K464" s="3" t="s">
        <v>3525</v>
      </c>
      <c r="L464" s="3" t="s">
        <v>3928</v>
      </c>
      <c r="M464">
        <v>315.12</v>
      </c>
      <c r="N464">
        <v>83</v>
      </c>
      <c r="O464">
        <f>Supply_Chain[[#This Row],[Unit_Price]]*Supply_Chain[[#This Row],[Quantity]]</f>
        <v>26154.959999999999</v>
      </c>
      <c r="P464" t="s">
        <v>521</v>
      </c>
      <c r="Q464" t="s">
        <v>86</v>
      </c>
      <c r="R464" t="s">
        <v>59</v>
      </c>
      <c r="S464" t="s">
        <v>50</v>
      </c>
      <c r="T464" t="s">
        <v>60</v>
      </c>
      <c r="U464" t="s">
        <v>106</v>
      </c>
      <c r="V464">
        <v>4320</v>
      </c>
      <c r="W464">
        <v>470</v>
      </c>
      <c r="X464">
        <v>28</v>
      </c>
      <c r="Y464">
        <v>642.91999999999996</v>
      </c>
      <c r="Z464">
        <v>393.76</v>
      </c>
      <c r="AA464" s="9">
        <v>1036.68</v>
      </c>
      <c r="AB464" t="s">
        <v>52</v>
      </c>
      <c r="AC464">
        <v>0</v>
      </c>
      <c r="AD464">
        <v>82.4</v>
      </c>
      <c r="AE464">
        <v>318</v>
      </c>
      <c r="AF464">
        <v>324</v>
      </c>
      <c r="AG464" s="11">
        <f>Supply_Chain[[#This Row],[Total_Cost]]/Supply_Chain[[#This Row],[Stock_On_Hand]]</f>
        <v>0.23997222222222223</v>
      </c>
    </row>
    <row r="465" spans="1:33" x14ac:dyDescent="0.25">
      <c r="A465" t="s">
        <v>1466</v>
      </c>
      <c r="B465" t="s">
        <v>1467</v>
      </c>
      <c r="C465" s="1">
        <v>44043</v>
      </c>
      <c r="D465" s="1">
        <v>45098</v>
      </c>
      <c r="E465" t="s">
        <v>55</v>
      </c>
      <c r="F465" t="s">
        <v>31</v>
      </c>
      <c r="G465" t="s">
        <v>76</v>
      </c>
      <c r="H465" t="s">
        <v>66</v>
      </c>
      <c r="I465" s="3" t="s">
        <v>3134</v>
      </c>
      <c r="J465" s="3" t="s">
        <v>3518</v>
      </c>
      <c r="K465" s="3" t="s">
        <v>3532</v>
      </c>
      <c r="L465" s="3" t="s">
        <v>3929</v>
      </c>
      <c r="M465">
        <v>286.8</v>
      </c>
      <c r="N465">
        <v>8</v>
      </c>
      <c r="O465">
        <f>Supply_Chain[[#This Row],[Unit_Price]]*Supply_Chain[[#This Row],[Quantity]]</f>
        <v>2294.4</v>
      </c>
      <c r="P465" t="s">
        <v>1468</v>
      </c>
      <c r="Q465" t="s">
        <v>86</v>
      </c>
      <c r="R465" t="s">
        <v>214</v>
      </c>
      <c r="S465" t="s">
        <v>119</v>
      </c>
      <c r="T465" t="s">
        <v>60</v>
      </c>
      <c r="U465" t="s">
        <v>302</v>
      </c>
      <c r="V465">
        <v>3510</v>
      </c>
      <c r="W465">
        <v>68</v>
      </c>
      <c r="X465">
        <v>2</v>
      </c>
      <c r="Y465">
        <v>1195.74</v>
      </c>
      <c r="Z465">
        <v>226.59</v>
      </c>
      <c r="AA465" s="9">
        <v>1422.33</v>
      </c>
      <c r="AB465" t="s">
        <v>52</v>
      </c>
      <c r="AC465">
        <v>0</v>
      </c>
      <c r="AD465">
        <v>91.35</v>
      </c>
      <c r="AE465">
        <v>477</v>
      </c>
      <c r="AF465">
        <v>466</v>
      </c>
      <c r="AG465" s="11">
        <f>Supply_Chain[[#This Row],[Total_Cost]]/Supply_Chain[[#This Row],[Stock_On_Hand]]</f>
        <v>0.40522222222222221</v>
      </c>
    </row>
    <row r="466" spans="1:33" x14ac:dyDescent="0.25">
      <c r="A466" t="s">
        <v>1469</v>
      </c>
      <c r="B466" t="s">
        <v>1470</v>
      </c>
      <c r="C466" s="1">
        <v>44649</v>
      </c>
      <c r="D466" s="1">
        <v>45575</v>
      </c>
      <c r="E466" t="s">
        <v>30</v>
      </c>
      <c r="F466" t="s">
        <v>75</v>
      </c>
      <c r="G466" t="s">
        <v>91</v>
      </c>
      <c r="H466" t="s">
        <v>166</v>
      </c>
      <c r="I466" s="3" t="s">
        <v>3135</v>
      </c>
      <c r="J466" s="3" t="s">
        <v>3518</v>
      </c>
      <c r="K466" s="3" t="s">
        <v>3521</v>
      </c>
      <c r="L466" s="3" t="s">
        <v>3930</v>
      </c>
      <c r="M466">
        <v>179.15</v>
      </c>
      <c r="N466">
        <v>99</v>
      </c>
      <c r="O466">
        <f>Supply_Chain[[#This Row],[Unit_Price]]*Supply_Chain[[#This Row],[Quantity]]</f>
        <v>17735.850000000002</v>
      </c>
      <c r="P466" t="s">
        <v>465</v>
      </c>
      <c r="Q466" t="s">
        <v>86</v>
      </c>
      <c r="R466" t="s">
        <v>269</v>
      </c>
      <c r="S466" t="s">
        <v>70</v>
      </c>
      <c r="T466" t="s">
        <v>38</v>
      </c>
      <c r="U466" t="s">
        <v>106</v>
      </c>
      <c r="V466">
        <v>4548</v>
      </c>
      <c r="W466">
        <v>404</v>
      </c>
      <c r="X466">
        <v>5</v>
      </c>
      <c r="Y466">
        <v>1875.03</v>
      </c>
      <c r="Z466">
        <v>476.77</v>
      </c>
      <c r="AA466" s="9">
        <v>2351.8000000000002</v>
      </c>
      <c r="AB466" t="s">
        <v>52</v>
      </c>
      <c r="AC466">
        <v>0</v>
      </c>
      <c r="AD466">
        <v>85.82</v>
      </c>
      <c r="AE466">
        <v>408</v>
      </c>
      <c r="AF466">
        <v>407</v>
      </c>
      <c r="AG466" s="11">
        <f>Supply_Chain[[#This Row],[Total_Cost]]/Supply_Chain[[#This Row],[Stock_On_Hand]]</f>
        <v>0.51710642040457344</v>
      </c>
    </row>
    <row r="467" spans="1:33" x14ac:dyDescent="0.25">
      <c r="A467" t="s">
        <v>1471</v>
      </c>
      <c r="B467" t="s">
        <v>1472</v>
      </c>
      <c r="C467" s="1">
        <v>45337</v>
      </c>
      <c r="D467" s="1">
        <v>45063</v>
      </c>
      <c r="E467" t="s">
        <v>43</v>
      </c>
      <c r="F467" t="s">
        <v>75</v>
      </c>
      <c r="G467" t="s">
        <v>32</v>
      </c>
      <c r="H467" t="s">
        <v>46</v>
      </c>
      <c r="I467" s="3" t="s">
        <v>3136</v>
      </c>
      <c r="J467" s="3" t="s">
        <v>3518</v>
      </c>
      <c r="K467" s="3" t="s">
        <v>3535</v>
      </c>
      <c r="L467" s="3" t="s">
        <v>3931</v>
      </c>
      <c r="M467">
        <v>331.51</v>
      </c>
      <c r="N467">
        <v>57</v>
      </c>
      <c r="O467">
        <f>Supply_Chain[[#This Row],[Unit_Price]]*Supply_Chain[[#This Row],[Quantity]]</f>
        <v>18896.07</v>
      </c>
      <c r="P467" t="s">
        <v>1473</v>
      </c>
      <c r="Q467" t="s">
        <v>48</v>
      </c>
      <c r="R467" t="s">
        <v>653</v>
      </c>
      <c r="S467" t="s">
        <v>37</v>
      </c>
      <c r="T467" t="s">
        <v>79</v>
      </c>
      <c r="U467" t="s">
        <v>615</v>
      </c>
      <c r="V467">
        <v>949</v>
      </c>
      <c r="W467">
        <v>436</v>
      </c>
      <c r="X467">
        <v>14</v>
      </c>
      <c r="Y467">
        <v>1670.01</v>
      </c>
      <c r="Z467">
        <v>192.58</v>
      </c>
      <c r="AA467" s="9">
        <v>1862.59</v>
      </c>
      <c r="AB467" t="s">
        <v>52</v>
      </c>
      <c r="AC467">
        <v>0</v>
      </c>
      <c r="AD467">
        <v>81.709999999999994</v>
      </c>
      <c r="AE467">
        <v>220</v>
      </c>
      <c r="AF467">
        <v>229</v>
      </c>
      <c r="AG467" s="11">
        <f>Supply_Chain[[#This Row],[Total_Cost]]/Supply_Chain[[#This Row],[Stock_On_Hand]]</f>
        <v>1.9626870389884088</v>
      </c>
    </row>
    <row r="468" spans="1:33" x14ac:dyDescent="0.25">
      <c r="A468" t="s">
        <v>1474</v>
      </c>
      <c r="B468" t="s">
        <v>1475</v>
      </c>
      <c r="C468" s="1">
        <v>44301</v>
      </c>
      <c r="D468" s="1">
        <v>45156</v>
      </c>
      <c r="E468" t="s">
        <v>55</v>
      </c>
      <c r="F468" t="s">
        <v>64</v>
      </c>
      <c r="G468" t="s">
        <v>45</v>
      </c>
      <c r="H468" t="s">
        <v>46</v>
      </c>
      <c r="I468" s="3" t="s">
        <v>3137</v>
      </c>
      <c r="J468" s="3" t="s">
        <v>3519</v>
      </c>
      <c r="K468" s="3" t="s">
        <v>3528</v>
      </c>
      <c r="L468" s="3" t="s">
        <v>3932</v>
      </c>
      <c r="M468">
        <v>282.26</v>
      </c>
      <c r="N468">
        <v>40</v>
      </c>
      <c r="O468">
        <f>Supply_Chain[[#This Row],[Unit_Price]]*Supply_Chain[[#This Row],[Quantity]]</f>
        <v>11290.4</v>
      </c>
      <c r="P468" t="s">
        <v>1476</v>
      </c>
      <c r="Q468" t="s">
        <v>110</v>
      </c>
      <c r="R468" t="s">
        <v>162</v>
      </c>
      <c r="S468" t="s">
        <v>70</v>
      </c>
      <c r="T468" t="s">
        <v>79</v>
      </c>
      <c r="U468" t="s">
        <v>155</v>
      </c>
      <c r="V468">
        <v>2737</v>
      </c>
      <c r="W468">
        <v>387</v>
      </c>
      <c r="X468">
        <v>1</v>
      </c>
      <c r="Y468">
        <v>1610.79</v>
      </c>
      <c r="Z468">
        <v>422.92</v>
      </c>
      <c r="AA468" s="9">
        <v>2033.71</v>
      </c>
      <c r="AB468" t="s">
        <v>52</v>
      </c>
      <c r="AC468">
        <v>0</v>
      </c>
      <c r="AD468">
        <v>70.37</v>
      </c>
      <c r="AE468">
        <v>189</v>
      </c>
      <c r="AF468">
        <v>219</v>
      </c>
      <c r="AG468" s="11">
        <f>Supply_Chain[[#This Row],[Total_Cost]]/Supply_Chain[[#This Row],[Stock_On_Hand]]</f>
        <v>0.74304347826086958</v>
      </c>
    </row>
    <row r="469" spans="1:33" x14ac:dyDescent="0.25">
      <c r="A469" t="s">
        <v>1477</v>
      </c>
      <c r="B469" t="s">
        <v>1478</v>
      </c>
      <c r="C469" s="1">
        <v>45182</v>
      </c>
      <c r="D469" s="1">
        <v>44682</v>
      </c>
      <c r="E469" t="s">
        <v>55</v>
      </c>
      <c r="F469" t="s">
        <v>115</v>
      </c>
      <c r="G469" t="s">
        <v>32</v>
      </c>
      <c r="H469" t="s">
        <v>166</v>
      </c>
      <c r="I469" s="3" t="s">
        <v>3138</v>
      </c>
      <c r="J469" s="3" t="s">
        <v>3519</v>
      </c>
      <c r="K469" s="3" t="s">
        <v>3528</v>
      </c>
      <c r="L469" s="3" t="s">
        <v>3933</v>
      </c>
      <c r="M469">
        <v>199.45</v>
      </c>
      <c r="N469">
        <v>25</v>
      </c>
      <c r="O469">
        <f>Supply_Chain[[#This Row],[Unit_Price]]*Supply_Chain[[#This Row],[Quantity]]</f>
        <v>4986.25</v>
      </c>
      <c r="P469" t="s">
        <v>213</v>
      </c>
      <c r="Q469" t="s">
        <v>48</v>
      </c>
      <c r="R469" t="s">
        <v>476</v>
      </c>
      <c r="S469" t="s">
        <v>70</v>
      </c>
      <c r="T469" t="s">
        <v>60</v>
      </c>
      <c r="U469" t="s">
        <v>219</v>
      </c>
      <c r="V469">
        <v>1816</v>
      </c>
      <c r="W469">
        <v>169</v>
      </c>
      <c r="X469">
        <v>27</v>
      </c>
      <c r="Y469">
        <v>1208.9100000000001</v>
      </c>
      <c r="Z469">
        <v>389.94</v>
      </c>
      <c r="AA469" s="9">
        <v>1598.85</v>
      </c>
      <c r="AB469" t="s">
        <v>52</v>
      </c>
      <c r="AC469">
        <v>0</v>
      </c>
      <c r="AD469">
        <v>72.680000000000007</v>
      </c>
      <c r="AE469">
        <v>243</v>
      </c>
      <c r="AF469">
        <v>196</v>
      </c>
      <c r="AG469" s="11">
        <f>Supply_Chain[[#This Row],[Total_Cost]]/Supply_Chain[[#This Row],[Stock_On_Hand]]</f>
        <v>0.88042400881057259</v>
      </c>
    </row>
    <row r="470" spans="1:33" x14ac:dyDescent="0.25">
      <c r="A470" t="s">
        <v>1479</v>
      </c>
      <c r="B470" t="s">
        <v>1480</v>
      </c>
      <c r="C470" s="1">
        <v>43913</v>
      </c>
      <c r="D470" s="1">
        <v>44877</v>
      </c>
      <c r="E470" t="s">
        <v>55</v>
      </c>
      <c r="F470" t="s">
        <v>64</v>
      </c>
      <c r="G470" t="s">
        <v>32</v>
      </c>
      <c r="H470" t="s">
        <v>92</v>
      </c>
      <c r="I470" s="3" t="s">
        <v>3139</v>
      </c>
      <c r="J470" s="3" t="s">
        <v>84</v>
      </c>
      <c r="K470" s="3" t="s">
        <v>3526</v>
      </c>
      <c r="L470" s="3" t="s">
        <v>3934</v>
      </c>
      <c r="M470">
        <v>90.32</v>
      </c>
      <c r="N470">
        <v>49</v>
      </c>
      <c r="O470">
        <f>Supply_Chain[[#This Row],[Unit_Price]]*Supply_Chain[[#This Row],[Quantity]]</f>
        <v>4425.6799999999994</v>
      </c>
      <c r="P470" t="s">
        <v>665</v>
      </c>
      <c r="Q470" t="s">
        <v>35</v>
      </c>
      <c r="R470" t="s">
        <v>236</v>
      </c>
      <c r="S470" t="s">
        <v>70</v>
      </c>
      <c r="T470" t="s">
        <v>38</v>
      </c>
      <c r="U470" t="s">
        <v>223</v>
      </c>
      <c r="V470">
        <v>2203</v>
      </c>
      <c r="W470">
        <v>365</v>
      </c>
      <c r="X470">
        <v>7</v>
      </c>
      <c r="Y470">
        <v>1815.82</v>
      </c>
      <c r="Z470">
        <v>474.61</v>
      </c>
      <c r="AA470" s="9">
        <v>2290.4299999999998</v>
      </c>
      <c r="AB470" t="s">
        <v>52</v>
      </c>
      <c r="AC470">
        <v>0</v>
      </c>
      <c r="AD470">
        <v>92.87</v>
      </c>
      <c r="AE470">
        <v>422</v>
      </c>
      <c r="AF470">
        <v>469</v>
      </c>
      <c r="AG470" s="11">
        <f>Supply_Chain[[#This Row],[Total_Cost]]/Supply_Chain[[#This Row],[Stock_On_Hand]]</f>
        <v>1.0396867907399001</v>
      </c>
    </row>
    <row r="471" spans="1:33" x14ac:dyDescent="0.25">
      <c r="A471" t="s">
        <v>1481</v>
      </c>
      <c r="B471" t="s">
        <v>1482</v>
      </c>
      <c r="C471" s="1">
        <v>45424</v>
      </c>
      <c r="D471" s="1">
        <v>44752</v>
      </c>
      <c r="E471" t="s">
        <v>55</v>
      </c>
      <c r="F471" t="s">
        <v>31</v>
      </c>
      <c r="G471" t="s">
        <v>83</v>
      </c>
      <c r="H471" t="s">
        <v>46</v>
      </c>
      <c r="I471" s="3" t="s">
        <v>3140</v>
      </c>
      <c r="J471" s="3" t="s">
        <v>84</v>
      </c>
      <c r="K471" s="3" t="s">
        <v>3529</v>
      </c>
      <c r="L471" s="3" t="s">
        <v>3935</v>
      </c>
      <c r="M471">
        <v>42.44</v>
      </c>
      <c r="N471">
        <v>88</v>
      </c>
      <c r="O471">
        <f>Supply_Chain[[#This Row],[Unit_Price]]*Supply_Chain[[#This Row],[Quantity]]</f>
        <v>3734.72</v>
      </c>
      <c r="P471" t="s">
        <v>1162</v>
      </c>
      <c r="Q471" t="s">
        <v>110</v>
      </c>
      <c r="R471" t="s">
        <v>118</v>
      </c>
      <c r="S471" t="s">
        <v>50</v>
      </c>
      <c r="T471" t="s">
        <v>60</v>
      </c>
      <c r="U471" t="s">
        <v>291</v>
      </c>
      <c r="V471">
        <v>1724</v>
      </c>
      <c r="W471">
        <v>380</v>
      </c>
      <c r="X471">
        <v>11</v>
      </c>
      <c r="Y471">
        <v>170.86</v>
      </c>
      <c r="Z471">
        <v>297.38</v>
      </c>
      <c r="AA471" s="9">
        <v>468.24</v>
      </c>
      <c r="AB471" t="s">
        <v>52</v>
      </c>
      <c r="AC471">
        <v>0</v>
      </c>
      <c r="AD471">
        <v>98.46</v>
      </c>
      <c r="AE471">
        <v>155</v>
      </c>
      <c r="AF471">
        <v>125</v>
      </c>
      <c r="AG471" s="11">
        <f>Supply_Chain[[#This Row],[Total_Cost]]/Supply_Chain[[#This Row],[Stock_On_Hand]]</f>
        <v>0.27160092807424596</v>
      </c>
    </row>
    <row r="472" spans="1:33" x14ac:dyDescent="0.25">
      <c r="A472" t="s">
        <v>1483</v>
      </c>
      <c r="B472" t="s">
        <v>1484</v>
      </c>
      <c r="C472" s="1">
        <v>44926</v>
      </c>
      <c r="D472" s="1">
        <v>45576</v>
      </c>
      <c r="E472" t="s">
        <v>55</v>
      </c>
      <c r="F472" t="s">
        <v>31</v>
      </c>
      <c r="G472" t="s">
        <v>65</v>
      </c>
      <c r="H472" t="s">
        <v>66</v>
      </c>
      <c r="I472" s="3" t="s">
        <v>3141</v>
      </c>
      <c r="J472" s="3" t="s">
        <v>3518</v>
      </c>
      <c r="K472" s="3" t="s">
        <v>3533</v>
      </c>
      <c r="L472" s="3" t="s">
        <v>3936</v>
      </c>
      <c r="M472">
        <v>119</v>
      </c>
      <c r="N472">
        <v>62</v>
      </c>
      <c r="O472">
        <f>Supply_Chain[[#This Row],[Unit_Price]]*Supply_Chain[[#This Row],[Quantity]]</f>
        <v>7378</v>
      </c>
      <c r="P472" t="s">
        <v>58</v>
      </c>
      <c r="Q472" t="s">
        <v>35</v>
      </c>
      <c r="R472" t="s">
        <v>344</v>
      </c>
      <c r="S472" t="s">
        <v>50</v>
      </c>
      <c r="T472" t="s">
        <v>100</v>
      </c>
      <c r="U472" t="s">
        <v>136</v>
      </c>
      <c r="V472">
        <v>133</v>
      </c>
      <c r="W472">
        <v>58</v>
      </c>
      <c r="X472">
        <v>13</v>
      </c>
      <c r="Y472">
        <v>1466.69</v>
      </c>
      <c r="Z472">
        <v>214.32</v>
      </c>
      <c r="AA472" s="9">
        <v>1681.01</v>
      </c>
      <c r="AB472" t="s">
        <v>52</v>
      </c>
      <c r="AC472">
        <v>0</v>
      </c>
      <c r="AD472">
        <v>92.52</v>
      </c>
      <c r="AE472">
        <v>97</v>
      </c>
      <c r="AF472">
        <v>61</v>
      </c>
      <c r="AG472" s="11">
        <f>Supply_Chain[[#This Row],[Total_Cost]]/Supply_Chain[[#This Row],[Stock_On_Hand]]</f>
        <v>12.639172932330826</v>
      </c>
    </row>
    <row r="473" spans="1:33" x14ac:dyDescent="0.25">
      <c r="A473" t="s">
        <v>1485</v>
      </c>
      <c r="B473" t="s">
        <v>1486</v>
      </c>
      <c r="C473" s="1">
        <v>43904</v>
      </c>
      <c r="D473" s="1">
        <v>45290</v>
      </c>
      <c r="E473" t="s">
        <v>55</v>
      </c>
      <c r="F473" t="s">
        <v>64</v>
      </c>
      <c r="G473" t="s">
        <v>247</v>
      </c>
      <c r="H473" t="s">
        <v>166</v>
      </c>
      <c r="I473" s="3" t="s">
        <v>3142</v>
      </c>
      <c r="J473" s="3" t="s">
        <v>3518</v>
      </c>
      <c r="K473" s="3" t="s">
        <v>3522</v>
      </c>
      <c r="L473" s="3" t="s">
        <v>3937</v>
      </c>
      <c r="M473">
        <v>16.850000000000001</v>
      </c>
      <c r="N473">
        <v>73</v>
      </c>
      <c r="O473">
        <f>Supply_Chain[[#This Row],[Unit_Price]]*Supply_Chain[[#This Row],[Quantity]]</f>
        <v>1230.0500000000002</v>
      </c>
      <c r="P473" t="s">
        <v>1487</v>
      </c>
      <c r="Q473" t="s">
        <v>86</v>
      </c>
      <c r="R473" t="s">
        <v>59</v>
      </c>
      <c r="S473" t="s">
        <v>119</v>
      </c>
      <c r="T473" t="s">
        <v>60</v>
      </c>
      <c r="U473" t="s">
        <v>611</v>
      </c>
      <c r="V473">
        <v>2259</v>
      </c>
      <c r="W473">
        <v>336</v>
      </c>
      <c r="X473">
        <v>24</v>
      </c>
      <c r="Y473">
        <v>1138.67</v>
      </c>
      <c r="Z473">
        <v>345.16</v>
      </c>
      <c r="AA473" s="9">
        <v>1483.83</v>
      </c>
      <c r="AB473" t="s">
        <v>52</v>
      </c>
      <c r="AC473">
        <v>0</v>
      </c>
      <c r="AD473">
        <v>89.55</v>
      </c>
      <c r="AE473">
        <v>489</v>
      </c>
      <c r="AF473">
        <v>526</v>
      </c>
      <c r="AG473" s="11">
        <f>Supply_Chain[[#This Row],[Total_Cost]]/Supply_Chain[[#This Row],[Stock_On_Hand]]</f>
        <v>0.65685258964143423</v>
      </c>
    </row>
    <row r="474" spans="1:33" x14ac:dyDescent="0.25">
      <c r="A474" t="s">
        <v>1488</v>
      </c>
      <c r="B474" t="s">
        <v>1489</v>
      </c>
      <c r="C474" s="1">
        <v>45618</v>
      </c>
      <c r="D474" s="1">
        <v>44781</v>
      </c>
      <c r="E474" t="s">
        <v>55</v>
      </c>
      <c r="F474" t="s">
        <v>75</v>
      </c>
      <c r="G474" t="s">
        <v>56</v>
      </c>
      <c r="H474" t="s">
        <v>57</v>
      </c>
      <c r="I474" s="3" t="s">
        <v>2868</v>
      </c>
      <c r="J474" s="3" t="s">
        <v>3518</v>
      </c>
      <c r="K474" s="3" t="s">
        <v>3521</v>
      </c>
      <c r="L474" s="3" t="s">
        <v>3667</v>
      </c>
      <c r="M474">
        <v>189.09</v>
      </c>
      <c r="N474">
        <v>27</v>
      </c>
      <c r="O474">
        <f>Supply_Chain[[#This Row],[Unit_Price]]*Supply_Chain[[#This Row],[Quantity]]</f>
        <v>5105.43</v>
      </c>
      <c r="P474" t="s">
        <v>1490</v>
      </c>
      <c r="Q474" t="s">
        <v>48</v>
      </c>
      <c r="R474" t="s">
        <v>105</v>
      </c>
      <c r="S474" t="s">
        <v>37</v>
      </c>
      <c r="T474" t="s">
        <v>38</v>
      </c>
      <c r="U474" t="s">
        <v>370</v>
      </c>
      <c r="V474">
        <v>1333</v>
      </c>
      <c r="W474">
        <v>267</v>
      </c>
      <c r="X474">
        <v>9</v>
      </c>
      <c r="Y474">
        <v>193.72</v>
      </c>
      <c r="Z474">
        <v>444.36</v>
      </c>
      <c r="AA474" s="9">
        <v>638.08000000000004</v>
      </c>
      <c r="AB474" t="s">
        <v>52</v>
      </c>
      <c r="AC474">
        <v>0</v>
      </c>
      <c r="AD474">
        <v>76.08</v>
      </c>
      <c r="AE474">
        <v>316</v>
      </c>
      <c r="AF474">
        <v>273</v>
      </c>
      <c r="AG474" s="11">
        <f>Supply_Chain[[#This Row],[Total_Cost]]/Supply_Chain[[#This Row],[Stock_On_Hand]]</f>
        <v>0.4786796699174794</v>
      </c>
    </row>
    <row r="475" spans="1:33" x14ac:dyDescent="0.25">
      <c r="A475" t="s">
        <v>1491</v>
      </c>
      <c r="B475" t="s">
        <v>1492</v>
      </c>
      <c r="C475" s="1">
        <v>45632</v>
      </c>
      <c r="D475" s="1">
        <v>45067</v>
      </c>
      <c r="E475" t="s">
        <v>30</v>
      </c>
      <c r="F475" t="s">
        <v>44</v>
      </c>
      <c r="G475" t="s">
        <v>65</v>
      </c>
      <c r="H475" t="s">
        <v>46</v>
      </c>
      <c r="I475" s="3" t="s">
        <v>3143</v>
      </c>
      <c r="J475" s="3" t="s">
        <v>3519</v>
      </c>
      <c r="K475" s="3" t="s">
        <v>3530</v>
      </c>
      <c r="L475" s="3" t="s">
        <v>3938</v>
      </c>
      <c r="M475">
        <v>84.29</v>
      </c>
      <c r="N475">
        <v>28</v>
      </c>
      <c r="O475">
        <f>Supply_Chain[[#This Row],[Unit_Price]]*Supply_Chain[[#This Row],[Quantity]]</f>
        <v>2360.1200000000003</v>
      </c>
      <c r="P475" t="s">
        <v>134</v>
      </c>
      <c r="Q475" t="s">
        <v>68</v>
      </c>
      <c r="R475" t="s">
        <v>176</v>
      </c>
      <c r="S475" t="s">
        <v>70</v>
      </c>
      <c r="T475" t="s">
        <v>79</v>
      </c>
      <c r="U475" t="s">
        <v>131</v>
      </c>
      <c r="V475">
        <v>3734</v>
      </c>
      <c r="W475">
        <v>460</v>
      </c>
      <c r="X475">
        <v>2</v>
      </c>
      <c r="Y475">
        <v>1368.88</v>
      </c>
      <c r="Z475">
        <v>137.86000000000001</v>
      </c>
      <c r="AA475" s="9">
        <v>1506.74</v>
      </c>
      <c r="AB475" t="s">
        <v>40</v>
      </c>
      <c r="AC475">
        <v>5</v>
      </c>
      <c r="AD475">
        <v>84.16</v>
      </c>
      <c r="AE475">
        <v>493</v>
      </c>
      <c r="AF475">
        <v>542</v>
      </c>
      <c r="AG475" s="11">
        <f>Supply_Chain[[#This Row],[Total_Cost]]/Supply_Chain[[#This Row],[Stock_On_Hand]]</f>
        <v>0.4035190144617033</v>
      </c>
    </row>
    <row r="476" spans="1:33" x14ac:dyDescent="0.25">
      <c r="A476" t="s">
        <v>1493</v>
      </c>
      <c r="B476" t="s">
        <v>561</v>
      </c>
      <c r="C476" s="1">
        <v>43977</v>
      </c>
      <c r="D476" s="1">
        <v>45254</v>
      </c>
      <c r="E476" t="s">
        <v>43</v>
      </c>
      <c r="F476" t="s">
        <v>44</v>
      </c>
      <c r="G476" t="s">
        <v>45</v>
      </c>
      <c r="H476" t="s">
        <v>116</v>
      </c>
      <c r="I476" s="3" t="s">
        <v>3144</v>
      </c>
      <c r="J476" s="3" t="s">
        <v>3519</v>
      </c>
      <c r="K476" s="3" t="s">
        <v>3530</v>
      </c>
      <c r="L476" s="3" t="s">
        <v>3939</v>
      </c>
      <c r="M476">
        <v>188.82</v>
      </c>
      <c r="N476">
        <v>25</v>
      </c>
      <c r="O476">
        <f>Supply_Chain[[#This Row],[Unit_Price]]*Supply_Chain[[#This Row],[Quantity]]</f>
        <v>4720.5</v>
      </c>
      <c r="P476" t="s">
        <v>1494</v>
      </c>
      <c r="Q476" t="s">
        <v>48</v>
      </c>
      <c r="R476" t="s">
        <v>269</v>
      </c>
      <c r="S476" t="s">
        <v>70</v>
      </c>
      <c r="T476" t="s">
        <v>100</v>
      </c>
      <c r="U476" t="s">
        <v>141</v>
      </c>
      <c r="V476">
        <v>314</v>
      </c>
      <c r="W476">
        <v>271</v>
      </c>
      <c r="X476">
        <v>26</v>
      </c>
      <c r="Y476">
        <v>1527.75</v>
      </c>
      <c r="Z476">
        <v>197.17</v>
      </c>
      <c r="AA476" s="9">
        <v>1724.92</v>
      </c>
      <c r="AB476" t="s">
        <v>52</v>
      </c>
      <c r="AC476">
        <v>0</v>
      </c>
      <c r="AD476">
        <v>93.04</v>
      </c>
      <c r="AE476">
        <v>228</v>
      </c>
      <c r="AF476">
        <v>197</v>
      </c>
      <c r="AG476" s="11">
        <f>Supply_Chain[[#This Row],[Total_Cost]]/Supply_Chain[[#This Row],[Stock_On_Hand]]</f>
        <v>5.493375796178344</v>
      </c>
    </row>
    <row r="477" spans="1:33" x14ac:dyDescent="0.25">
      <c r="A477" t="s">
        <v>1495</v>
      </c>
      <c r="B477" t="s">
        <v>1496</v>
      </c>
      <c r="C477" s="1">
        <v>45291</v>
      </c>
      <c r="D477" s="1">
        <v>43961</v>
      </c>
      <c r="E477" t="s">
        <v>43</v>
      </c>
      <c r="F477" t="s">
        <v>115</v>
      </c>
      <c r="G477" t="s">
        <v>32</v>
      </c>
      <c r="H477" t="s">
        <v>116</v>
      </c>
      <c r="I477" s="3" t="s">
        <v>3145</v>
      </c>
      <c r="J477" s="3" t="s">
        <v>3519</v>
      </c>
      <c r="K477" s="3" t="s">
        <v>3528</v>
      </c>
      <c r="L477" s="3" t="s">
        <v>3940</v>
      </c>
      <c r="M477">
        <v>150.4</v>
      </c>
      <c r="N477">
        <v>86</v>
      </c>
      <c r="O477">
        <f>Supply_Chain[[#This Row],[Unit_Price]]*Supply_Chain[[#This Row],[Quantity]]</f>
        <v>12934.4</v>
      </c>
      <c r="P477" t="s">
        <v>1497</v>
      </c>
      <c r="Q477" t="s">
        <v>35</v>
      </c>
      <c r="R477" t="s">
        <v>327</v>
      </c>
      <c r="S477" t="s">
        <v>70</v>
      </c>
      <c r="T477" t="s">
        <v>60</v>
      </c>
      <c r="U477" t="s">
        <v>177</v>
      </c>
      <c r="V477">
        <v>4766</v>
      </c>
      <c r="W477">
        <v>153</v>
      </c>
      <c r="X477">
        <v>25</v>
      </c>
      <c r="Y477">
        <v>1327.16</v>
      </c>
      <c r="Z477">
        <v>267.2</v>
      </c>
      <c r="AA477" s="9">
        <v>1594.36</v>
      </c>
      <c r="AB477" t="s">
        <v>52</v>
      </c>
      <c r="AC477">
        <v>0</v>
      </c>
      <c r="AD477">
        <v>96.04</v>
      </c>
      <c r="AE477">
        <v>179</v>
      </c>
      <c r="AF477">
        <v>188</v>
      </c>
      <c r="AG477" s="11">
        <f>Supply_Chain[[#This Row],[Total_Cost]]/Supply_Chain[[#This Row],[Stock_On_Hand]]</f>
        <v>0.33452790600083926</v>
      </c>
    </row>
    <row r="478" spans="1:33" x14ac:dyDescent="0.25">
      <c r="A478" t="s">
        <v>1498</v>
      </c>
      <c r="B478" t="s">
        <v>1499</v>
      </c>
      <c r="C478" s="1">
        <v>44676</v>
      </c>
      <c r="D478" s="1">
        <v>44398</v>
      </c>
      <c r="E478" t="s">
        <v>55</v>
      </c>
      <c r="F478" t="s">
        <v>31</v>
      </c>
      <c r="G478" t="s">
        <v>32</v>
      </c>
      <c r="H478" t="s">
        <v>92</v>
      </c>
      <c r="I478" s="3" t="s">
        <v>2759</v>
      </c>
      <c r="J478" s="3" t="s">
        <v>84</v>
      </c>
      <c r="K478" s="3" t="s">
        <v>3529</v>
      </c>
      <c r="L478" s="3" t="s">
        <v>3559</v>
      </c>
      <c r="M478">
        <v>315.18</v>
      </c>
      <c r="N478">
        <v>13</v>
      </c>
      <c r="O478">
        <f>Supply_Chain[[#This Row],[Unit_Price]]*Supply_Chain[[#This Row],[Quantity]]</f>
        <v>4097.34</v>
      </c>
      <c r="P478" t="s">
        <v>326</v>
      </c>
      <c r="Q478" t="s">
        <v>86</v>
      </c>
      <c r="R478" t="s">
        <v>277</v>
      </c>
      <c r="S478" t="s">
        <v>50</v>
      </c>
      <c r="T478" t="s">
        <v>100</v>
      </c>
      <c r="U478" t="s">
        <v>168</v>
      </c>
      <c r="V478">
        <v>1623</v>
      </c>
      <c r="W478">
        <v>221</v>
      </c>
      <c r="X478">
        <v>16</v>
      </c>
      <c r="Y478">
        <v>1797.74</v>
      </c>
      <c r="Z478">
        <v>90.27</v>
      </c>
      <c r="AA478" s="9">
        <v>1888.01</v>
      </c>
      <c r="AB478" t="s">
        <v>52</v>
      </c>
      <c r="AC478">
        <v>0</v>
      </c>
      <c r="AD478">
        <v>90.12</v>
      </c>
      <c r="AE478">
        <v>116</v>
      </c>
      <c r="AF478">
        <v>110</v>
      </c>
      <c r="AG478" s="11">
        <f>Supply_Chain[[#This Row],[Total_Cost]]/Supply_Chain[[#This Row],[Stock_On_Hand]]</f>
        <v>1.1632840418977202</v>
      </c>
    </row>
    <row r="479" spans="1:33" x14ac:dyDescent="0.25">
      <c r="A479" t="s">
        <v>1500</v>
      </c>
      <c r="B479" t="s">
        <v>1236</v>
      </c>
      <c r="C479" s="1">
        <v>45648</v>
      </c>
      <c r="D479" s="1">
        <v>44055</v>
      </c>
      <c r="E479" t="s">
        <v>30</v>
      </c>
      <c r="F479" t="s">
        <v>44</v>
      </c>
      <c r="G479" t="s">
        <v>56</v>
      </c>
      <c r="H479" t="s">
        <v>33</v>
      </c>
      <c r="I479" s="3" t="s">
        <v>3146</v>
      </c>
      <c r="J479" s="3" t="s">
        <v>84</v>
      </c>
      <c r="K479" s="3" t="s">
        <v>3534</v>
      </c>
      <c r="L479" s="3" t="s">
        <v>3941</v>
      </c>
      <c r="M479">
        <v>319.33</v>
      </c>
      <c r="N479">
        <v>14</v>
      </c>
      <c r="O479">
        <f>Supply_Chain[[#This Row],[Unit_Price]]*Supply_Chain[[#This Row],[Quantity]]</f>
        <v>4470.62</v>
      </c>
      <c r="P479" t="s">
        <v>1501</v>
      </c>
      <c r="Q479" t="s">
        <v>68</v>
      </c>
      <c r="R479" t="s">
        <v>277</v>
      </c>
      <c r="S479" t="s">
        <v>119</v>
      </c>
      <c r="T479" t="s">
        <v>60</v>
      </c>
      <c r="U479" t="s">
        <v>131</v>
      </c>
      <c r="V479">
        <v>2196</v>
      </c>
      <c r="W479">
        <v>108</v>
      </c>
      <c r="X479">
        <v>27</v>
      </c>
      <c r="Y479">
        <v>1277.3800000000001</v>
      </c>
      <c r="Z479">
        <v>480.67</v>
      </c>
      <c r="AA479" s="9">
        <v>1758.05</v>
      </c>
      <c r="AB479" t="s">
        <v>52</v>
      </c>
      <c r="AC479">
        <v>0</v>
      </c>
      <c r="AD479">
        <v>87.37</v>
      </c>
      <c r="AE479">
        <v>229</v>
      </c>
      <c r="AF479">
        <v>242</v>
      </c>
      <c r="AG479" s="11">
        <f>Supply_Chain[[#This Row],[Total_Cost]]/Supply_Chain[[#This Row],[Stock_On_Hand]]</f>
        <v>0.80056921675774129</v>
      </c>
    </row>
    <row r="480" spans="1:33" x14ac:dyDescent="0.25">
      <c r="A480" t="s">
        <v>1502</v>
      </c>
      <c r="B480" t="s">
        <v>1503</v>
      </c>
      <c r="C480" s="1">
        <v>44025</v>
      </c>
      <c r="D480" s="1">
        <v>44202</v>
      </c>
      <c r="E480" t="s">
        <v>55</v>
      </c>
      <c r="F480" t="s">
        <v>31</v>
      </c>
      <c r="G480" t="s">
        <v>91</v>
      </c>
      <c r="H480" t="s">
        <v>57</v>
      </c>
      <c r="I480" s="3" t="s">
        <v>2968</v>
      </c>
      <c r="J480" s="3" t="s">
        <v>84</v>
      </c>
      <c r="K480" s="3" t="s">
        <v>3526</v>
      </c>
      <c r="L480" s="3" t="s">
        <v>3766</v>
      </c>
      <c r="M480">
        <v>123.71</v>
      </c>
      <c r="N480">
        <v>20</v>
      </c>
      <c r="O480">
        <f>Supply_Chain[[#This Row],[Unit_Price]]*Supply_Chain[[#This Row],[Quantity]]</f>
        <v>2474.1999999999998</v>
      </c>
      <c r="P480" t="s">
        <v>1504</v>
      </c>
      <c r="Q480" t="s">
        <v>110</v>
      </c>
      <c r="R480" t="s">
        <v>36</v>
      </c>
      <c r="S480" t="s">
        <v>37</v>
      </c>
      <c r="T480" t="s">
        <v>71</v>
      </c>
      <c r="U480" t="s">
        <v>499</v>
      </c>
      <c r="V480">
        <v>4151</v>
      </c>
      <c r="W480">
        <v>94</v>
      </c>
      <c r="X480">
        <v>23</v>
      </c>
      <c r="Y480">
        <v>336.65</v>
      </c>
      <c r="Z480">
        <v>399.02</v>
      </c>
      <c r="AA480" s="9">
        <v>735.67</v>
      </c>
      <c r="AB480" t="s">
        <v>52</v>
      </c>
      <c r="AC480">
        <v>0</v>
      </c>
      <c r="AD480">
        <v>93.03</v>
      </c>
      <c r="AE480">
        <v>371</v>
      </c>
      <c r="AF480">
        <v>390</v>
      </c>
      <c r="AG480" s="11">
        <f>Supply_Chain[[#This Row],[Total_Cost]]/Supply_Chain[[#This Row],[Stock_On_Hand]]</f>
        <v>0.17722717417489761</v>
      </c>
    </row>
    <row r="481" spans="1:33" x14ac:dyDescent="0.25">
      <c r="A481" t="s">
        <v>1505</v>
      </c>
      <c r="B481" t="s">
        <v>1506</v>
      </c>
      <c r="C481" s="1">
        <v>44790</v>
      </c>
      <c r="D481" s="1">
        <v>45537</v>
      </c>
      <c r="E481" t="s">
        <v>55</v>
      </c>
      <c r="F481" t="s">
        <v>44</v>
      </c>
      <c r="G481" t="s">
        <v>76</v>
      </c>
      <c r="H481" t="s">
        <v>128</v>
      </c>
      <c r="I481" s="3" t="s">
        <v>3147</v>
      </c>
      <c r="J481" s="3" t="s">
        <v>3518</v>
      </c>
      <c r="K481" s="3" t="s">
        <v>3522</v>
      </c>
      <c r="L481" s="3" t="s">
        <v>3942</v>
      </c>
      <c r="M481">
        <v>428.82</v>
      </c>
      <c r="N481">
        <v>77</v>
      </c>
      <c r="O481">
        <f>Supply_Chain[[#This Row],[Unit_Price]]*Supply_Chain[[#This Row],[Quantity]]</f>
        <v>33019.14</v>
      </c>
      <c r="P481" t="s">
        <v>1254</v>
      </c>
      <c r="Q481" t="s">
        <v>110</v>
      </c>
      <c r="R481" t="s">
        <v>306</v>
      </c>
      <c r="S481" t="s">
        <v>50</v>
      </c>
      <c r="T481" t="s">
        <v>38</v>
      </c>
      <c r="U481" t="s">
        <v>131</v>
      </c>
      <c r="V481">
        <v>4746</v>
      </c>
      <c r="W481">
        <v>219</v>
      </c>
      <c r="X481">
        <v>1</v>
      </c>
      <c r="Y481">
        <v>1851.85</v>
      </c>
      <c r="Z481">
        <v>447.23</v>
      </c>
      <c r="AA481" s="9">
        <v>2299.08</v>
      </c>
      <c r="AB481" t="s">
        <v>52</v>
      </c>
      <c r="AC481">
        <v>0</v>
      </c>
      <c r="AD481">
        <v>88.52</v>
      </c>
      <c r="AE481">
        <v>308</v>
      </c>
      <c r="AF481">
        <v>299</v>
      </c>
      <c r="AG481" s="11">
        <f>Supply_Chain[[#This Row],[Total_Cost]]/Supply_Chain[[#This Row],[Stock_On_Hand]]</f>
        <v>0.48442477876106194</v>
      </c>
    </row>
    <row r="482" spans="1:33" x14ac:dyDescent="0.25">
      <c r="A482" t="s">
        <v>1507</v>
      </c>
      <c r="B482" t="s">
        <v>1508</v>
      </c>
      <c r="C482" s="1">
        <v>44168</v>
      </c>
      <c r="D482" s="1">
        <v>44505</v>
      </c>
      <c r="E482" t="s">
        <v>55</v>
      </c>
      <c r="F482" t="s">
        <v>64</v>
      </c>
      <c r="G482" t="s">
        <v>65</v>
      </c>
      <c r="H482" t="s">
        <v>116</v>
      </c>
      <c r="I482" s="3" t="s">
        <v>3148</v>
      </c>
      <c r="J482" s="3" t="s">
        <v>3518</v>
      </c>
      <c r="K482" s="3" t="s">
        <v>3527</v>
      </c>
      <c r="L482" s="3" t="s">
        <v>3623</v>
      </c>
      <c r="M482">
        <v>435.82</v>
      </c>
      <c r="N482">
        <v>41</v>
      </c>
      <c r="O482">
        <f>Supply_Chain[[#This Row],[Unit_Price]]*Supply_Chain[[#This Row],[Quantity]]</f>
        <v>17868.62</v>
      </c>
      <c r="P482" t="s">
        <v>465</v>
      </c>
      <c r="Q482" t="s">
        <v>110</v>
      </c>
      <c r="R482" t="s">
        <v>240</v>
      </c>
      <c r="S482" t="s">
        <v>70</v>
      </c>
      <c r="T482" t="s">
        <v>71</v>
      </c>
      <c r="U482" t="s">
        <v>257</v>
      </c>
      <c r="V482">
        <v>4306</v>
      </c>
      <c r="W482">
        <v>100</v>
      </c>
      <c r="X482">
        <v>15</v>
      </c>
      <c r="Y482">
        <v>705.18</v>
      </c>
      <c r="Z482">
        <v>489.78</v>
      </c>
      <c r="AA482" s="9">
        <v>1194.96</v>
      </c>
      <c r="AB482" t="s">
        <v>52</v>
      </c>
      <c r="AC482">
        <v>0</v>
      </c>
      <c r="AD482">
        <v>73.2</v>
      </c>
      <c r="AE482">
        <v>413</v>
      </c>
      <c r="AF482">
        <v>440</v>
      </c>
      <c r="AG482" s="11">
        <f>Supply_Chain[[#This Row],[Total_Cost]]/Supply_Chain[[#This Row],[Stock_On_Hand]]</f>
        <v>0.27751045053413842</v>
      </c>
    </row>
    <row r="483" spans="1:33" x14ac:dyDescent="0.25">
      <c r="A483" t="s">
        <v>1509</v>
      </c>
      <c r="B483" t="s">
        <v>1510</v>
      </c>
      <c r="C483" s="1">
        <v>43985</v>
      </c>
      <c r="D483" s="1">
        <v>44094</v>
      </c>
      <c r="E483" t="s">
        <v>43</v>
      </c>
      <c r="F483" t="s">
        <v>31</v>
      </c>
      <c r="G483" t="s">
        <v>56</v>
      </c>
      <c r="H483" t="s">
        <v>33</v>
      </c>
      <c r="I483" s="3" t="s">
        <v>2933</v>
      </c>
      <c r="J483" s="3" t="s">
        <v>3518</v>
      </c>
      <c r="K483" s="3" t="s">
        <v>3521</v>
      </c>
      <c r="L483" s="3" t="s">
        <v>3732</v>
      </c>
      <c r="M483">
        <v>255.19</v>
      </c>
      <c r="N483">
        <v>41</v>
      </c>
      <c r="O483">
        <f>Supply_Chain[[#This Row],[Unit_Price]]*Supply_Chain[[#This Row],[Quantity]]</f>
        <v>10462.789999999999</v>
      </c>
      <c r="P483" t="s">
        <v>486</v>
      </c>
      <c r="Q483" t="s">
        <v>110</v>
      </c>
      <c r="R483" t="s">
        <v>181</v>
      </c>
      <c r="S483" t="s">
        <v>70</v>
      </c>
      <c r="T483" t="s">
        <v>38</v>
      </c>
      <c r="U483" t="s">
        <v>302</v>
      </c>
      <c r="V483">
        <v>392</v>
      </c>
      <c r="W483">
        <v>124</v>
      </c>
      <c r="X483">
        <v>14</v>
      </c>
      <c r="Y483">
        <v>1740.88</v>
      </c>
      <c r="Z483">
        <v>497.84</v>
      </c>
      <c r="AA483" s="9">
        <v>2238.7199999999998</v>
      </c>
      <c r="AB483" t="s">
        <v>52</v>
      </c>
      <c r="AC483">
        <v>0</v>
      </c>
      <c r="AD483">
        <v>90.94</v>
      </c>
      <c r="AE483">
        <v>62</v>
      </c>
      <c r="AF483">
        <v>45</v>
      </c>
      <c r="AG483" s="11">
        <f>Supply_Chain[[#This Row],[Total_Cost]]/Supply_Chain[[#This Row],[Stock_On_Hand]]</f>
        <v>5.7110204081632645</v>
      </c>
    </row>
    <row r="484" spans="1:33" x14ac:dyDescent="0.25">
      <c r="A484" t="s">
        <v>1511</v>
      </c>
      <c r="B484" t="s">
        <v>1512</v>
      </c>
      <c r="C484" s="1">
        <v>44430</v>
      </c>
      <c r="D484" s="1">
        <v>44969</v>
      </c>
      <c r="E484" t="s">
        <v>43</v>
      </c>
      <c r="F484" t="s">
        <v>115</v>
      </c>
      <c r="G484" t="s">
        <v>32</v>
      </c>
      <c r="H484" t="s">
        <v>66</v>
      </c>
      <c r="I484" s="3" t="s">
        <v>3129</v>
      </c>
      <c r="J484" s="3" t="s">
        <v>3518</v>
      </c>
      <c r="K484" s="3" t="s">
        <v>3524</v>
      </c>
      <c r="L484" s="3" t="s">
        <v>3924</v>
      </c>
      <c r="M484">
        <v>420.93</v>
      </c>
      <c r="N484">
        <v>90</v>
      </c>
      <c r="O484">
        <f>Supply_Chain[[#This Row],[Unit_Price]]*Supply_Chain[[#This Row],[Quantity]]</f>
        <v>37883.699999999997</v>
      </c>
      <c r="P484" t="s">
        <v>222</v>
      </c>
      <c r="Q484" t="s">
        <v>48</v>
      </c>
      <c r="R484" t="s">
        <v>476</v>
      </c>
      <c r="S484" t="s">
        <v>50</v>
      </c>
      <c r="T484" t="s">
        <v>100</v>
      </c>
      <c r="U484" t="s">
        <v>389</v>
      </c>
      <c r="V484">
        <v>4365</v>
      </c>
      <c r="W484">
        <v>54</v>
      </c>
      <c r="X484">
        <v>27</v>
      </c>
      <c r="Y484">
        <v>1462.86</v>
      </c>
      <c r="Z484">
        <v>61.59</v>
      </c>
      <c r="AA484" s="9">
        <v>1524.45</v>
      </c>
      <c r="AB484" t="s">
        <v>52</v>
      </c>
      <c r="AC484">
        <v>0</v>
      </c>
      <c r="AD484">
        <v>91.68</v>
      </c>
      <c r="AE484">
        <v>155</v>
      </c>
      <c r="AF484">
        <v>142</v>
      </c>
      <c r="AG484" s="11">
        <f>Supply_Chain[[#This Row],[Total_Cost]]/Supply_Chain[[#This Row],[Stock_On_Hand]]</f>
        <v>0.34924398625429554</v>
      </c>
    </row>
    <row r="485" spans="1:33" x14ac:dyDescent="0.25">
      <c r="A485" t="s">
        <v>1513</v>
      </c>
      <c r="B485" t="s">
        <v>1514</v>
      </c>
      <c r="C485" s="1">
        <v>44219</v>
      </c>
      <c r="D485" s="1">
        <v>44226</v>
      </c>
      <c r="E485" t="s">
        <v>55</v>
      </c>
      <c r="F485" t="s">
        <v>115</v>
      </c>
      <c r="G485" t="s">
        <v>65</v>
      </c>
      <c r="H485" t="s">
        <v>166</v>
      </c>
      <c r="I485" s="3" t="s">
        <v>3149</v>
      </c>
      <c r="J485" s="3" t="s">
        <v>3519</v>
      </c>
      <c r="K485" s="3" t="s">
        <v>3530</v>
      </c>
      <c r="L485" s="3" t="s">
        <v>3943</v>
      </c>
      <c r="M485">
        <v>481.59</v>
      </c>
      <c r="N485">
        <v>49</v>
      </c>
      <c r="O485">
        <f>Supply_Chain[[#This Row],[Unit_Price]]*Supply_Chain[[#This Row],[Quantity]]</f>
        <v>23597.91</v>
      </c>
      <c r="P485" t="s">
        <v>1515</v>
      </c>
      <c r="Q485" t="s">
        <v>86</v>
      </c>
      <c r="R485" t="s">
        <v>36</v>
      </c>
      <c r="S485" t="s">
        <v>70</v>
      </c>
      <c r="T485" t="s">
        <v>71</v>
      </c>
      <c r="U485" t="s">
        <v>316</v>
      </c>
      <c r="V485">
        <v>2088</v>
      </c>
      <c r="W485">
        <v>410</v>
      </c>
      <c r="X485">
        <v>24</v>
      </c>
      <c r="Y485">
        <v>790.15</v>
      </c>
      <c r="Z485">
        <v>435.46</v>
      </c>
      <c r="AA485" s="9">
        <v>1225.6099999999999</v>
      </c>
      <c r="AB485" t="s">
        <v>40</v>
      </c>
      <c r="AC485">
        <v>6</v>
      </c>
      <c r="AD485">
        <v>79.84</v>
      </c>
      <c r="AE485">
        <v>160</v>
      </c>
      <c r="AF485">
        <v>192</v>
      </c>
      <c r="AG485" s="11">
        <f>Supply_Chain[[#This Row],[Total_Cost]]/Supply_Chain[[#This Row],[Stock_On_Hand]]</f>
        <v>0.58697796934865898</v>
      </c>
    </row>
    <row r="486" spans="1:33" x14ac:dyDescent="0.25">
      <c r="A486" t="s">
        <v>1516</v>
      </c>
      <c r="B486" t="s">
        <v>1517</v>
      </c>
      <c r="C486" s="1">
        <v>44859</v>
      </c>
      <c r="D486" s="1">
        <v>44975</v>
      </c>
      <c r="E486" t="s">
        <v>55</v>
      </c>
      <c r="F486" t="s">
        <v>44</v>
      </c>
      <c r="G486" t="s">
        <v>83</v>
      </c>
      <c r="H486" t="s">
        <v>92</v>
      </c>
      <c r="I486" s="3" t="s">
        <v>3150</v>
      </c>
      <c r="J486" s="3" t="s">
        <v>84</v>
      </c>
      <c r="K486" s="3" t="s">
        <v>3529</v>
      </c>
      <c r="L486" s="3" t="s">
        <v>3944</v>
      </c>
      <c r="M486">
        <v>474</v>
      </c>
      <c r="N486">
        <v>84</v>
      </c>
      <c r="O486">
        <f>Supply_Chain[[#This Row],[Unit_Price]]*Supply_Chain[[#This Row],[Quantity]]</f>
        <v>39816</v>
      </c>
      <c r="P486" t="s">
        <v>1262</v>
      </c>
      <c r="Q486" t="s">
        <v>86</v>
      </c>
      <c r="R486" t="s">
        <v>78</v>
      </c>
      <c r="S486" t="s">
        <v>119</v>
      </c>
      <c r="T486" t="s">
        <v>79</v>
      </c>
      <c r="U486" t="s">
        <v>615</v>
      </c>
      <c r="V486">
        <v>1064</v>
      </c>
      <c r="W486">
        <v>348</v>
      </c>
      <c r="X486">
        <v>2</v>
      </c>
      <c r="Y486">
        <v>1156.3900000000001</v>
      </c>
      <c r="Z486">
        <v>409.1</v>
      </c>
      <c r="AA486" s="9">
        <v>1565.49</v>
      </c>
      <c r="AB486" t="s">
        <v>52</v>
      </c>
      <c r="AC486">
        <v>0</v>
      </c>
      <c r="AD486">
        <v>81.87</v>
      </c>
      <c r="AE486">
        <v>330</v>
      </c>
      <c r="AF486">
        <v>345</v>
      </c>
      <c r="AG486" s="11">
        <f>Supply_Chain[[#This Row],[Total_Cost]]/Supply_Chain[[#This Row],[Stock_On_Hand]]</f>
        <v>1.4713251879699247</v>
      </c>
    </row>
    <row r="487" spans="1:33" x14ac:dyDescent="0.25">
      <c r="A487" t="s">
        <v>1518</v>
      </c>
      <c r="B487" t="s">
        <v>553</v>
      </c>
      <c r="C487" s="1">
        <v>43929</v>
      </c>
      <c r="D487" s="1">
        <v>45483</v>
      </c>
      <c r="E487" t="s">
        <v>55</v>
      </c>
      <c r="F487" t="s">
        <v>31</v>
      </c>
      <c r="G487" t="s">
        <v>91</v>
      </c>
      <c r="H487" t="s">
        <v>128</v>
      </c>
      <c r="I487" s="3" t="s">
        <v>2968</v>
      </c>
      <c r="J487" s="3" t="s">
        <v>84</v>
      </c>
      <c r="K487" s="3" t="s">
        <v>3526</v>
      </c>
      <c r="L487" s="3" t="s">
        <v>3766</v>
      </c>
      <c r="M487">
        <v>393.5</v>
      </c>
      <c r="N487">
        <v>73</v>
      </c>
      <c r="O487">
        <f>Supply_Chain[[#This Row],[Unit_Price]]*Supply_Chain[[#This Row],[Quantity]]</f>
        <v>28725.5</v>
      </c>
      <c r="P487" t="s">
        <v>548</v>
      </c>
      <c r="Q487" t="s">
        <v>86</v>
      </c>
      <c r="R487" t="s">
        <v>388</v>
      </c>
      <c r="S487" t="s">
        <v>70</v>
      </c>
      <c r="T487" t="s">
        <v>71</v>
      </c>
      <c r="U487" t="s">
        <v>168</v>
      </c>
      <c r="V487">
        <v>3238</v>
      </c>
      <c r="W487">
        <v>379</v>
      </c>
      <c r="X487">
        <v>14</v>
      </c>
      <c r="Y487">
        <v>414.27</v>
      </c>
      <c r="Z487">
        <v>292.99</v>
      </c>
      <c r="AA487" s="9">
        <v>707.26</v>
      </c>
      <c r="AB487" t="s">
        <v>52</v>
      </c>
      <c r="AC487">
        <v>0</v>
      </c>
      <c r="AD487">
        <v>91.38</v>
      </c>
      <c r="AE487">
        <v>338</v>
      </c>
      <c r="AF487">
        <v>367</v>
      </c>
      <c r="AG487" s="11">
        <f>Supply_Chain[[#This Row],[Total_Cost]]/Supply_Chain[[#This Row],[Stock_On_Hand]]</f>
        <v>0.21842495367510809</v>
      </c>
    </row>
    <row r="488" spans="1:33" x14ac:dyDescent="0.25">
      <c r="A488" t="s">
        <v>1519</v>
      </c>
      <c r="B488" t="s">
        <v>1520</v>
      </c>
      <c r="C488" s="1">
        <v>45090</v>
      </c>
      <c r="D488" s="1">
        <v>44456</v>
      </c>
      <c r="E488" t="s">
        <v>55</v>
      </c>
      <c r="F488" t="s">
        <v>31</v>
      </c>
      <c r="G488" t="s">
        <v>76</v>
      </c>
      <c r="H488" t="s">
        <v>128</v>
      </c>
      <c r="I488" s="3" t="s">
        <v>3151</v>
      </c>
      <c r="J488" s="3" t="s">
        <v>3519</v>
      </c>
      <c r="K488" s="3" t="s">
        <v>3530</v>
      </c>
      <c r="L488" s="3" t="s">
        <v>3945</v>
      </c>
      <c r="M488">
        <v>97.86</v>
      </c>
      <c r="N488">
        <v>1</v>
      </c>
      <c r="O488">
        <f>Supply_Chain[[#This Row],[Unit_Price]]*Supply_Chain[[#This Row],[Quantity]]</f>
        <v>97.86</v>
      </c>
      <c r="P488" t="s">
        <v>1521</v>
      </c>
      <c r="Q488" t="s">
        <v>68</v>
      </c>
      <c r="R488" t="s">
        <v>214</v>
      </c>
      <c r="S488" t="s">
        <v>119</v>
      </c>
      <c r="T488" t="s">
        <v>79</v>
      </c>
      <c r="U488" t="s">
        <v>182</v>
      </c>
      <c r="V488">
        <v>3557</v>
      </c>
      <c r="W488">
        <v>132</v>
      </c>
      <c r="X488">
        <v>18</v>
      </c>
      <c r="Y488">
        <v>839.16</v>
      </c>
      <c r="Z488">
        <v>469.93</v>
      </c>
      <c r="AA488" s="9">
        <v>1309.0899999999999</v>
      </c>
      <c r="AB488" t="s">
        <v>52</v>
      </c>
      <c r="AC488">
        <v>0</v>
      </c>
      <c r="AD488">
        <v>99.73</v>
      </c>
      <c r="AE488">
        <v>193</v>
      </c>
      <c r="AF488">
        <v>152</v>
      </c>
      <c r="AG488" s="11">
        <f>Supply_Chain[[#This Row],[Total_Cost]]/Supply_Chain[[#This Row],[Stock_On_Hand]]</f>
        <v>0.36803204947989876</v>
      </c>
    </row>
    <row r="489" spans="1:33" x14ac:dyDescent="0.25">
      <c r="A489" t="s">
        <v>1522</v>
      </c>
      <c r="B489" t="s">
        <v>1523</v>
      </c>
      <c r="C489" s="1">
        <v>45439</v>
      </c>
      <c r="D489" s="1">
        <v>44561</v>
      </c>
      <c r="E489" t="s">
        <v>55</v>
      </c>
      <c r="F489" t="s">
        <v>64</v>
      </c>
      <c r="G489" t="s">
        <v>32</v>
      </c>
      <c r="H489" t="s">
        <v>116</v>
      </c>
      <c r="I489" s="3" t="s">
        <v>2823</v>
      </c>
      <c r="J489" s="3" t="s">
        <v>3518</v>
      </c>
      <c r="K489" s="3" t="s">
        <v>3522</v>
      </c>
      <c r="L489" s="3" t="s">
        <v>3622</v>
      </c>
      <c r="M489">
        <v>106.86</v>
      </c>
      <c r="N489">
        <v>77</v>
      </c>
      <c r="O489">
        <f>Supply_Chain[[#This Row],[Unit_Price]]*Supply_Chain[[#This Row],[Quantity]]</f>
        <v>8228.2199999999993</v>
      </c>
      <c r="P489" t="s">
        <v>1524</v>
      </c>
      <c r="Q489" t="s">
        <v>110</v>
      </c>
      <c r="R489" t="s">
        <v>360</v>
      </c>
      <c r="S489" t="s">
        <v>70</v>
      </c>
      <c r="T489" t="s">
        <v>38</v>
      </c>
      <c r="U489" t="s">
        <v>131</v>
      </c>
      <c r="V489">
        <v>4899</v>
      </c>
      <c r="W489">
        <v>247</v>
      </c>
      <c r="X489">
        <v>21</v>
      </c>
      <c r="Y489">
        <v>1680.98</v>
      </c>
      <c r="Z489">
        <v>324.3</v>
      </c>
      <c r="AA489" s="9">
        <v>2005.28</v>
      </c>
      <c r="AB489" t="s">
        <v>52</v>
      </c>
      <c r="AC489">
        <v>0</v>
      </c>
      <c r="AD489">
        <v>78.489999999999995</v>
      </c>
      <c r="AE489">
        <v>68</v>
      </c>
      <c r="AF489">
        <v>108</v>
      </c>
      <c r="AG489" s="11">
        <f>Supply_Chain[[#This Row],[Total_Cost]]/Supply_Chain[[#This Row],[Stock_On_Hand]]</f>
        <v>0.40932435190855276</v>
      </c>
    </row>
    <row r="490" spans="1:33" x14ac:dyDescent="0.25">
      <c r="A490" t="s">
        <v>1525</v>
      </c>
      <c r="B490" t="s">
        <v>817</v>
      </c>
      <c r="C490" s="1">
        <v>44078</v>
      </c>
      <c r="D490" s="1">
        <v>45661</v>
      </c>
      <c r="E490" t="s">
        <v>55</v>
      </c>
      <c r="F490" t="s">
        <v>64</v>
      </c>
      <c r="G490" t="s">
        <v>83</v>
      </c>
      <c r="H490" t="s">
        <v>66</v>
      </c>
      <c r="I490" s="3" t="s">
        <v>3152</v>
      </c>
      <c r="J490" s="3" t="s">
        <v>84</v>
      </c>
      <c r="K490" s="3" t="s">
        <v>3529</v>
      </c>
      <c r="L490" s="3" t="s">
        <v>3946</v>
      </c>
      <c r="M490">
        <v>265.22000000000003</v>
      </c>
      <c r="N490">
        <v>16</v>
      </c>
      <c r="O490">
        <f>Supply_Chain[[#This Row],[Unit_Price]]*Supply_Chain[[#This Row],[Quantity]]</f>
        <v>4243.5200000000004</v>
      </c>
      <c r="P490" t="s">
        <v>1526</v>
      </c>
      <c r="Q490" t="s">
        <v>48</v>
      </c>
      <c r="R490" t="s">
        <v>111</v>
      </c>
      <c r="S490" t="s">
        <v>70</v>
      </c>
      <c r="T490" t="s">
        <v>100</v>
      </c>
      <c r="U490" t="s">
        <v>611</v>
      </c>
      <c r="V490">
        <v>4215</v>
      </c>
      <c r="W490">
        <v>499</v>
      </c>
      <c r="X490">
        <v>23</v>
      </c>
      <c r="Y490">
        <v>952.63</v>
      </c>
      <c r="Z490">
        <v>268.48</v>
      </c>
      <c r="AA490" s="9">
        <v>1221.1099999999999</v>
      </c>
      <c r="AB490" t="s">
        <v>52</v>
      </c>
      <c r="AC490">
        <v>0</v>
      </c>
      <c r="AD490">
        <v>80.040000000000006</v>
      </c>
      <c r="AE490">
        <v>128</v>
      </c>
      <c r="AF490">
        <v>139</v>
      </c>
      <c r="AG490" s="11">
        <f>Supply_Chain[[#This Row],[Total_Cost]]/Supply_Chain[[#This Row],[Stock_On_Hand]]</f>
        <v>0.28970581257413996</v>
      </c>
    </row>
    <row r="491" spans="1:33" x14ac:dyDescent="0.25">
      <c r="A491" t="s">
        <v>1527</v>
      </c>
      <c r="B491" t="s">
        <v>1528</v>
      </c>
      <c r="C491" s="1">
        <v>44279</v>
      </c>
      <c r="D491" s="1">
        <v>44170</v>
      </c>
      <c r="E491" t="s">
        <v>55</v>
      </c>
      <c r="F491" t="s">
        <v>31</v>
      </c>
      <c r="G491" t="s">
        <v>91</v>
      </c>
      <c r="H491" t="s">
        <v>116</v>
      </c>
      <c r="I491" s="3" t="s">
        <v>3153</v>
      </c>
      <c r="J491" s="3" t="s">
        <v>3518</v>
      </c>
      <c r="K491" s="3" t="s">
        <v>3521</v>
      </c>
      <c r="L491" s="3" t="s">
        <v>3947</v>
      </c>
      <c r="M491">
        <v>407.79</v>
      </c>
      <c r="N491">
        <v>52</v>
      </c>
      <c r="O491">
        <f>Supply_Chain[[#This Row],[Unit_Price]]*Supply_Chain[[#This Row],[Quantity]]</f>
        <v>21205.08</v>
      </c>
      <c r="P491" t="s">
        <v>1132</v>
      </c>
      <c r="Q491" t="s">
        <v>48</v>
      </c>
      <c r="R491" t="s">
        <v>162</v>
      </c>
      <c r="S491" t="s">
        <v>70</v>
      </c>
      <c r="T491" t="s">
        <v>38</v>
      </c>
      <c r="U491" t="s">
        <v>120</v>
      </c>
      <c r="V491">
        <v>1003</v>
      </c>
      <c r="W491">
        <v>303</v>
      </c>
      <c r="X491">
        <v>8</v>
      </c>
      <c r="Y491">
        <v>1468.85</v>
      </c>
      <c r="Z491">
        <v>280.55</v>
      </c>
      <c r="AA491" s="9">
        <v>1749.4</v>
      </c>
      <c r="AB491" t="s">
        <v>52</v>
      </c>
      <c r="AC491">
        <v>0</v>
      </c>
      <c r="AD491">
        <v>83.05</v>
      </c>
      <c r="AE491">
        <v>126</v>
      </c>
      <c r="AF491">
        <v>147</v>
      </c>
      <c r="AG491" s="11">
        <f>Supply_Chain[[#This Row],[Total_Cost]]/Supply_Chain[[#This Row],[Stock_On_Hand]]</f>
        <v>1.7441674975074777</v>
      </c>
    </row>
    <row r="492" spans="1:33" x14ac:dyDescent="0.25">
      <c r="A492" t="s">
        <v>1529</v>
      </c>
      <c r="B492" t="s">
        <v>1530</v>
      </c>
      <c r="C492" s="1">
        <v>45574</v>
      </c>
      <c r="D492" s="1">
        <v>45522</v>
      </c>
      <c r="E492" t="s">
        <v>30</v>
      </c>
      <c r="F492" t="s">
        <v>31</v>
      </c>
      <c r="G492" t="s">
        <v>247</v>
      </c>
      <c r="H492" t="s">
        <v>116</v>
      </c>
      <c r="I492" s="3" t="s">
        <v>3153</v>
      </c>
      <c r="J492" s="3" t="s">
        <v>3518</v>
      </c>
      <c r="K492" s="3" t="s">
        <v>3521</v>
      </c>
      <c r="L492" s="3" t="s">
        <v>3947</v>
      </c>
      <c r="M492">
        <v>407.83</v>
      </c>
      <c r="N492">
        <v>38</v>
      </c>
      <c r="O492">
        <f>Supply_Chain[[#This Row],[Unit_Price]]*Supply_Chain[[#This Row],[Quantity]]</f>
        <v>15497.539999999999</v>
      </c>
      <c r="P492" t="s">
        <v>1183</v>
      </c>
      <c r="Q492" t="s">
        <v>86</v>
      </c>
      <c r="R492" t="s">
        <v>240</v>
      </c>
      <c r="S492" t="s">
        <v>50</v>
      </c>
      <c r="T492" t="s">
        <v>71</v>
      </c>
      <c r="U492" t="s">
        <v>187</v>
      </c>
      <c r="V492">
        <v>340</v>
      </c>
      <c r="W492">
        <v>229</v>
      </c>
      <c r="X492">
        <v>17</v>
      </c>
      <c r="Y492">
        <v>994.65</v>
      </c>
      <c r="Z492">
        <v>410.69</v>
      </c>
      <c r="AA492" s="9">
        <v>1405.34</v>
      </c>
      <c r="AB492" t="s">
        <v>52</v>
      </c>
      <c r="AC492">
        <v>0</v>
      </c>
      <c r="AD492">
        <v>72.02</v>
      </c>
      <c r="AE492">
        <v>217</v>
      </c>
      <c r="AF492">
        <v>252</v>
      </c>
      <c r="AG492" s="11">
        <f>Supply_Chain[[#This Row],[Total_Cost]]/Supply_Chain[[#This Row],[Stock_On_Hand]]</f>
        <v>4.1333529411764705</v>
      </c>
    </row>
    <row r="493" spans="1:33" x14ac:dyDescent="0.25">
      <c r="A493" t="s">
        <v>1531</v>
      </c>
      <c r="B493" t="s">
        <v>1532</v>
      </c>
      <c r="C493" s="1">
        <v>45301</v>
      </c>
      <c r="D493" s="1">
        <v>45570</v>
      </c>
      <c r="E493" t="s">
        <v>43</v>
      </c>
      <c r="F493" t="s">
        <v>75</v>
      </c>
      <c r="G493" t="s">
        <v>65</v>
      </c>
      <c r="H493" t="s">
        <v>92</v>
      </c>
      <c r="I493" s="3" t="s">
        <v>3154</v>
      </c>
      <c r="J493" s="3" t="s">
        <v>3519</v>
      </c>
      <c r="K493" s="3" t="s">
        <v>3528</v>
      </c>
      <c r="L493" s="3" t="s">
        <v>3948</v>
      </c>
      <c r="M493">
        <v>138.97</v>
      </c>
      <c r="N493">
        <v>63</v>
      </c>
      <c r="O493">
        <f>Supply_Chain[[#This Row],[Unit_Price]]*Supply_Chain[[#This Row],[Quantity]]</f>
        <v>8755.11</v>
      </c>
      <c r="P493" t="s">
        <v>1533</v>
      </c>
      <c r="Q493" t="s">
        <v>110</v>
      </c>
      <c r="R493" t="s">
        <v>172</v>
      </c>
      <c r="S493" t="s">
        <v>70</v>
      </c>
      <c r="T493" t="s">
        <v>100</v>
      </c>
      <c r="U493" t="s">
        <v>227</v>
      </c>
      <c r="V493">
        <v>791</v>
      </c>
      <c r="W493">
        <v>297</v>
      </c>
      <c r="X493">
        <v>25</v>
      </c>
      <c r="Y493">
        <v>1845.32</v>
      </c>
      <c r="Z493">
        <v>159.11000000000001</v>
      </c>
      <c r="AA493" s="9">
        <v>2004.43</v>
      </c>
      <c r="AB493" t="s">
        <v>40</v>
      </c>
      <c r="AC493">
        <v>1</v>
      </c>
      <c r="AD493">
        <v>82.27</v>
      </c>
      <c r="AE493">
        <v>416</v>
      </c>
      <c r="AF493">
        <v>416</v>
      </c>
      <c r="AG493" s="11">
        <f>Supply_Chain[[#This Row],[Total_Cost]]/Supply_Chain[[#This Row],[Stock_On_Hand]]</f>
        <v>2.5340455120101137</v>
      </c>
    </row>
    <row r="494" spans="1:33" x14ac:dyDescent="0.25">
      <c r="A494" t="s">
        <v>1534</v>
      </c>
      <c r="B494" t="s">
        <v>1535</v>
      </c>
      <c r="C494" s="1">
        <v>44280</v>
      </c>
      <c r="D494" s="1">
        <v>44600</v>
      </c>
      <c r="E494" t="s">
        <v>55</v>
      </c>
      <c r="F494" t="s">
        <v>115</v>
      </c>
      <c r="G494" t="s">
        <v>32</v>
      </c>
      <c r="H494" t="s">
        <v>128</v>
      </c>
      <c r="I494" s="3" t="s">
        <v>3155</v>
      </c>
      <c r="J494" s="3" t="s">
        <v>3518</v>
      </c>
      <c r="K494" s="3" t="s">
        <v>3522</v>
      </c>
      <c r="L494" s="3" t="s">
        <v>3949</v>
      </c>
      <c r="M494">
        <v>366.62</v>
      </c>
      <c r="N494">
        <v>54</v>
      </c>
      <c r="O494">
        <f>Supply_Chain[[#This Row],[Unit_Price]]*Supply_Chain[[#This Row],[Quantity]]</f>
        <v>19797.48</v>
      </c>
      <c r="P494" t="s">
        <v>1536</v>
      </c>
      <c r="Q494" t="s">
        <v>35</v>
      </c>
      <c r="R494" t="s">
        <v>290</v>
      </c>
      <c r="S494" t="s">
        <v>37</v>
      </c>
      <c r="T494" t="s">
        <v>100</v>
      </c>
      <c r="U494" t="s">
        <v>203</v>
      </c>
      <c r="V494">
        <v>4442</v>
      </c>
      <c r="W494">
        <v>281</v>
      </c>
      <c r="X494">
        <v>15</v>
      </c>
      <c r="Y494">
        <v>127.91</v>
      </c>
      <c r="Z494">
        <v>440.97</v>
      </c>
      <c r="AA494" s="9">
        <v>568.88</v>
      </c>
      <c r="AB494" t="s">
        <v>52</v>
      </c>
      <c r="AC494">
        <v>0</v>
      </c>
      <c r="AD494">
        <v>94.97</v>
      </c>
      <c r="AE494">
        <v>296</v>
      </c>
      <c r="AF494">
        <v>302</v>
      </c>
      <c r="AG494" s="11">
        <f>Supply_Chain[[#This Row],[Total_Cost]]/Supply_Chain[[#This Row],[Stock_On_Hand]]</f>
        <v>0.12806843764070239</v>
      </c>
    </row>
    <row r="495" spans="1:33" x14ac:dyDescent="0.25">
      <c r="A495" t="s">
        <v>1537</v>
      </c>
      <c r="B495" t="s">
        <v>1538</v>
      </c>
      <c r="C495" s="1">
        <v>44493</v>
      </c>
      <c r="D495" s="1">
        <v>44517</v>
      </c>
      <c r="E495" t="s">
        <v>43</v>
      </c>
      <c r="F495" t="s">
        <v>64</v>
      </c>
      <c r="G495" t="s">
        <v>45</v>
      </c>
      <c r="H495" t="s">
        <v>166</v>
      </c>
      <c r="I495" s="3" t="s">
        <v>3136</v>
      </c>
      <c r="J495" s="3" t="s">
        <v>3518</v>
      </c>
      <c r="K495" s="3" t="s">
        <v>3535</v>
      </c>
      <c r="L495" s="3" t="s">
        <v>3931</v>
      </c>
      <c r="M495">
        <v>263.49</v>
      </c>
      <c r="N495">
        <v>25</v>
      </c>
      <c r="O495">
        <f>Supply_Chain[[#This Row],[Unit_Price]]*Supply_Chain[[#This Row],[Quantity]]</f>
        <v>6587.25</v>
      </c>
      <c r="P495" t="s">
        <v>1539</v>
      </c>
      <c r="Q495" t="s">
        <v>110</v>
      </c>
      <c r="R495" t="s">
        <v>130</v>
      </c>
      <c r="S495" t="s">
        <v>50</v>
      </c>
      <c r="T495" t="s">
        <v>79</v>
      </c>
      <c r="U495" t="s">
        <v>120</v>
      </c>
      <c r="V495">
        <v>117</v>
      </c>
      <c r="W495">
        <v>154</v>
      </c>
      <c r="X495">
        <v>11</v>
      </c>
      <c r="Y495">
        <v>1371.52</v>
      </c>
      <c r="Z495">
        <v>495.05</v>
      </c>
      <c r="AA495" s="9">
        <v>1866.57</v>
      </c>
      <c r="AB495" t="s">
        <v>52</v>
      </c>
      <c r="AC495">
        <v>0</v>
      </c>
      <c r="AD495">
        <v>76.05</v>
      </c>
      <c r="AE495">
        <v>398</v>
      </c>
      <c r="AF495">
        <v>417</v>
      </c>
      <c r="AG495" s="11">
        <f>Supply_Chain[[#This Row],[Total_Cost]]/Supply_Chain[[#This Row],[Stock_On_Hand]]</f>
        <v>15.953589743589744</v>
      </c>
    </row>
    <row r="496" spans="1:33" x14ac:dyDescent="0.25">
      <c r="A496" t="s">
        <v>1540</v>
      </c>
      <c r="B496" t="s">
        <v>1541</v>
      </c>
      <c r="C496" s="1">
        <v>45164</v>
      </c>
      <c r="D496" s="1">
        <v>45512</v>
      </c>
      <c r="E496" t="s">
        <v>43</v>
      </c>
      <c r="F496" t="s">
        <v>75</v>
      </c>
      <c r="G496" t="s">
        <v>247</v>
      </c>
      <c r="H496" t="s">
        <v>46</v>
      </c>
      <c r="I496" s="3" t="s">
        <v>3156</v>
      </c>
      <c r="J496" s="3" t="s">
        <v>84</v>
      </c>
      <c r="K496" s="3" t="s">
        <v>3529</v>
      </c>
      <c r="L496" s="3" t="s">
        <v>3950</v>
      </c>
      <c r="M496">
        <v>360.35</v>
      </c>
      <c r="N496">
        <v>38</v>
      </c>
      <c r="O496">
        <f>Supply_Chain[[#This Row],[Unit_Price]]*Supply_Chain[[#This Row],[Quantity]]</f>
        <v>13693.300000000001</v>
      </c>
      <c r="P496" t="s">
        <v>1120</v>
      </c>
      <c r="Q496" t="s">
        <v>48</v>
      </c>
      <c r="R496" t="s">
        <v>111</v>
      </c>
      <c r="S496" t="s">
        <v>37</v>
      </c>
      <c r="T496" t="s">
        <v>100</v>
      </c>
      <c r="U496" t="s">
        <v>125</v>
      </c>
      <c r="V496">
        <v>174</v>
      </c>
      <c r="W496">
        <v>92</v>
      </c>
      <c r="X496">
        <v>16</v>
      </c>
      <c r="Y496">
        <v>1045.9000000000001</v>
      </c>
      <c r="Z496">
        <v>242.11</v>
      </c>
      <c r="AA496" s="9">
        <v>1288.01</v>
      </c>
      <c r="AB496" t="s">
        <v>52</v>
      </c>
      <c r="AC496">
        <v>0</v>
      </c>
      <c r="AD496">
        <v>88.78</v>
      </c>
      <c r="AE496">
        <v>237</v>
      </c>
      <c r="AF496">
        <v>265</v>
      </c>
      <c r="AG496" s="11">
        <f>Supply_Chain[[#This Row],[Total_Cost]]/Supply_Chain[[#This Row],[Stock_On_Hand]]</f>
        <v>7.40235632183908</v>
      </c>
    </row>
    <row r="497" spans="1:33" x14ac:dyDescent="0.25">
      <c r="A497" t="s">
        <v>1542</v>
      </c>
      <c r="B497" t="s">
        <v>1543</v>
      </c>
      <c r="C497" s="1">
        <v>44158</v>
      </c>
      <c r="D497" s="1">
        <v>44599</v>
      </c>
      <c r="E497" t="s">
        <v>55</v>
      </c>
      <c r="F497" t="s">
        <v>44</v>
      </c>
      <c r="G497" t="s">
        <v>32</v>
      </c>
      <c r="H497" t="s">
        <v>128</v>
      </c>
      <c r="I497" s="3" t="s">
        <v>3157</v>
      </c>
      <c r="J497" s="3" t="s">
        <v>84</v>
      </c>
      <c r="K497" s="3" t="s">
        <v>3529</v>
      </c>
      <c r="L497" s="3" t="s">
        <v>3951</v>
      </c>
      <c r="M497">
        <v>265.64999999999998</v>
      </c>
      <c r="N497">
        <v>17</v>
      </c>
      <c r="O497">
        <f>Supply_Chain[[#This Row],[Unit_Price]]*Supply_Chain[[#This Row],[Quantity]]</f>
        <v>4516.0499999999993</v>
      </c>
      <c r="P497" t="s">
        <v>812</v>
      </c>
      <c r="Q497" t="s">
        <v>86</v>
      </c>
      <c r="R497" t="s">
        <v>36</v>
      </c>
      <c r="S497" t="s">
        <v>37</v>
      </c>
      <c r="T497" t="s">
        <v>71</v>
      </c>
      <c r="U497" t="s">
        <v>146</v>
      </c>
      <c r="V497">
        <v>2669</v>
      </c>
      <c r="W497">
        <v>57</v>
      </c>
      <c r="X497">
        <v>5</v>
      </c>
      <c r="Y497">
        <v>927.98</v>
      </c>
      <c r="Z497">
        <v>423.01</v>
      </c>
      <c r="AA497" s="9">
        <v>1350.99</v>
      </c>
      <c r="AB497" t="s">
        <v>40</v>
      </c>
      <c r="AC497">
        <v>14</v>
      </c>
      <c r="AD497">
        <v>83.16</v>
      </c>
      <c r="AE497">
        <v>317</v>
      </c>
      <c r="AF497">
        <v>296</v>
      </c>
      <c r="AG497" s="11">
        <f>Supply_Chain[[#This Row],[Total_Cost]]/Supply_Chain[[#This Row],[Stock_On_Hand]]</f>
        <v>0.5061783439490446</v>
      </c>
    </row>
    <row r="498" spans="1:33" x14ac:dyDescent="0.25">
      <c r="A498" t="s">
        <v>1544</v>
      </c>
      <c r="B498" t="s">
        <v>1545</v>
      </c>
      <c r="C498" s="1">
        <v>44757</v>
      </c>
      <c r="D498" s="1">
        <v>45562</v>
      </c>
      <c r="E498" t="s">
        <v>43</v>
      </c>
      <c r="F498" t="s">
        <v>115</v>
      </c>
      <c r="G498" t="s">
        <v>32</v>
      </c>
      <c r="H498" t="s">
        <v>46</v>
      </c>
      <c r="I498" s="3" t="s">
        <v>3158</v>
      </c>
      <c r="J498" s="3" t="s">
        <v>3518</v>
      </c>
      <c r="K498" s="3" t="s">
        <v>3533</v>
      </c>
      <c r="L498" s="3" t="s">
        <v>3952</v>
      </c>
      <c r="M498">
        <v>94.64</v>
      </c>
      <c r="N498">
        <v>3</v>
      </c>
      <c r="O498">
        <f>Supply_Chain[[#This Row],[Unit_Price]]*Supply_Chain[[#This Row],[Quantity]]</f>
        <v>283.92</v>
      </c>
      <c r="P498" t="s">
        <v>1546</v>
      </c>
      <c r="Q498" t="s">
        <v>35</v>
      </c>
      <c r="R498" t="s">
        <v>195</v>
      </c>
      <c r="S498" t="s">
        <v>37</v>
      </c>
      <c r="T498" t="s">
        <v>71</v>
      </c>
      <c r="U498" t="s">
        <v>227</v>
      </c>
      <c r="V498">
        <v>2681</v>
      </c>
      <c r="W498">
        <v>468</v>
      </c>
      <c r="X498">
        <v>28</v>
      </c>
      <c r="Y498">
        <v>72.5</v>
      </c>
      <c r="Z498">
        <v>17.04</v>
      </c>
      <c r="AA498" s="9">
        <v>89.539999999999992</v>
      </c>
      <c r="AB498" t="s">
        <v>52</v>
      </c>
      <c r="AC498">
        <v>0</v>
      </c>
      <c r="AD498">
        <v>71.22</v>
      </c>
      <c r="AE498">
        <v>253</v>
      </c>
      <c r="AF498">
        <v>282</v>
      </c>
      <c r="AG498" s="11">
        <f>Supply_Chain[[#This Row],[Total_Cost]]/Supply_Chain[[#This Row],[Stock_On_Hand]]</f>
        <v>3.3397985826184258E-2</v>
      </c>
    </row>
    <row r="499" spans="1:33" x14ac:dyDescent="0.25">
      <c r="A499" t="s">
        <v>1547</v>
      </c>
      <c r="B499" t="s">
        <v>1548</v>
      </c>
      <c r="C499" s="1">
        <v>45007</v>
      </c>
      <c r="D499" s="1">
        <v>44425</v>
      </c>
      <c r="E499" t="s">
        <v>55</v>
      </c>
      <c r="F499" t="s">
        <v>44</v>
      </c>
      <c r="G499" t="s">
        <v>32</v>
      </c>
      <c r="H499" t="s">
        <v>92</v>
      </c>
      <c r="I499" s="3" t="s">
        <v>3159</v>
      </c>
      <c r="J499" s="3" t="s">
        <v>3518</v>
      </c>
      <c r="K499" s="3" t="s">
        <v>3525</v>
      </c>
      <c r="L499" s="3" t="s">
        <v>3953</v>
      </c>
      <c r="M499">
        <v>335.11</v>
      </c>
      <c r="N499">
        <v>23</v>
      </c>
      <c r="O499">
        <f>Supply_Chain[[#This Row],[Unit_Price]]*Supply_Chain[[#This Row],[Quantity]]</f>
        <v>7707.5300000000007</v>
      </c>
      <c r="P499" t="s">
        <v>1549</v>
      </c>
      <c r="Q499" t="s">
        <v>86</v>
      </c>
      <c r="R499" t="s">
        <v>290</v>
      </c>
      <c r="S499" t="s">
        <v>50</v>
      </c>
      <c r="T499" t="s">
        <v>60</v>
      </c>
      <c r="U499" t="s">
        <v>136</v>
      </c>
      <c r="V499">
        <v>2377</v>
      </c>
      <c r="W499">
        <v>105</v>
      </c>
      <c r="X499">
        <v>10</v>
      </c>
      <c r="Y499">
        <v>721.62</v>
      </c>
      <c r="Z499">
        <v>388.06</v>
      </c>
      <c r="AA499" s="9">
        <v>1109.68</v>
      </c>
      <c r="AB499" t="s">
        <v>40</v>
      </c>
      <c r="AC499">
        <v>9</v>
      </c>
      <c r="AD499">
        <v>91.14</v>
      </c>
      <c r="AE499">
        <v>235</v>
      </c>
      <c r="AF499">
        <v>231</v>
      </c>
      <c r="AG499" s="11">
        <f>Supply_Chain[[#This Row],[Total_Cost]]/Supply_Chain[[#This Row],[Stock_On_Hand]]</f>
        <v>0.46684055532183427</v>
      </c>
    </row>
    <row r="500" spans="1:33" x14ac:dyDescent="0.25">
      <c r="A500" t="s">
        <v>1550</v>
      </c>
      <c r="B500" t="s">
        <v>1551</v>
      </c>
      <c r="C500" s="1">
        <v>45168</v>
      </c>
      <c r="D500" s="1">
        <v>43872</v>
      </c>
      <c r="E500" t="s">
        <v>43</v>
      </c>
      <c r="F500" t="s">
        <v>64</v>
      </c>
      <c r="G500" t="s">
        <v>65</v>
      </c>
      <c r="H500" t="s">
        <v>66</v>
      </c>
      <c r="I500" s="3" t="s">
        <v>3057</v>
      </c>
      <c r="J500" s="3" t="s">
        <v>3518</v>
      </c>
      <c r="K500" s="3" t="s">
        <v>3521</v>
      </c>
      <c r="L500" s="3" t="s">
        <v>3854</v>
      </c>
      <c r="M500">
        <v>347.43</v>
      </c>
      <c r="N500">
        <v>90</v>
      </c>
      <c r="O500">
        <f>Supply_Chain[[#This Row],[Unit_Price]]*Supply_Chain[[#This Row],[Quantity]]</f>
        <v>31268.7</v>
      </c>
      <c r="P500" t="s">
        <v>681</v>
      </c>
      <c r="Q500" t="s">
        <v>48</v>
      </c>
      <c r="R500" t="s">
        <v>145</v>
      </c>
      <c r="S500" t="s">
        <v>119</v>
      </c>
      <c r="T500" t="s">
        <v>71</v>
      </c>
      <c r="U500" t="s">
        <v>356</v>
      </c>
      <c r="V500">
        <v>4810</v>
      </c>
      <c r="W500">
        <v>360</v>
      </c>
      <c r="X500">
        <v>27</v>
      </c>
      <c r="Y500">
        <v>1442.79</v>
      </c>
      <c r="Z500">
        <v>196.81</v>
      </c>
      <c r="AA500" s="9">
        <v>1639.6</v>
      </c>
      <c r="AB500" t="s">
        <v>52</v>
      </c>
      <c r="AC500">
        <v>0</v>
      </c>
      <c r="AD500">
        <v>85.29</v>
      </c>
      <c r="AE500">
        <v>452</v>
      </c>
      <c r="AF500">
        <v>463</v>
      </c>
      <c r="AG500" s="11">
        <f>Supply_Chain[[#This Row],[Total_Cost]]/Supply_Chain[[#This Row],[Stock_On_Hand]]</f>
        <v>0.34087318087318086</v>
      </c>
    </row>
    <row r="501" spans="1:33" x14ac:dyDescent="0.25">
      <c r="A501" t="s">
        <v>1552</v>
      </c>
      <c r="B501" t="s">
        <v>1553</v>
      </c>
      <c r="C501" s="1">
        <v>44790</v>
      </c>
      <c r="D501" s="1">
        <v>44434</v>
      </c>
      <c r="E501" t="s">
        <v>43</v>
      </c>
      <c r="F501" t="s">
        <v>115</v>
      </c>
      <c r="G501" t="s">
        <v>65</v>
      </c>
      <c r="H501" t="s">
        <v>33</v>
      </c>
      <c r="I501" s="3" t="s">
        <v>3000</v>
      </c>
      <c r="J501" s="3" t="s">
        <v>3518</v>
      </c>
      <c r="K501" s="3" t="s">
        <v>3524</v>
      </c>
      <c r="L501" s="3" t="s">
        <v>3798</v>
      </c>
      <c r="M501">
        <v>234.09</v>
      </c>
      <c r="N501">
        <v>31</v>
      </c>
      <c r="O501">
        <f>Supply_Chain[[#This Row],[Unit_Price]]*Supply_Chain[[#This Row],[Quantity]]</f>
        <v>7256.79</v>
      </c>
      <c r="P501" t="s">
        <v>1554</v>
      </c>
      <c r="Q501" t="s">
        <v>110</v>
      </c>
      <c r="R501" t="s">
        <v>240</v>
      </c>
      <c r="S501" t="s">
        <v>119</v>
      </c>
      <c r="T501" t="s">
        <v>60</v>
      </c>
      <c r="U501" t="s">
        <v>310</v>
      </c>
      <c r="V501">
        <v>2087</v>
      </c>
      <c r="W501">
        <v>384</v>
      </c>
      <c r="X501">
        <v>24</v>
      </c>
      <c r="Y501">
        <v>1985.63</v>
      </c>
      <c r="Z501">
        <v>453.1</v>
      </c>
      <c r="AA501" s="9">
        <v>2438.73</v>
      </c>
      <c r="AB501" t="s">
        <v>52</v>
      </c>
      <c r="AC501">
        <v>0</v>
      </c>
      <c r="AD501">
        <v>77.53</v>
      </c>
      <c r="AE501">
        <v>457</v>
      </c>
      <c r="AF501">
        <v>408</v>
      </c>
      <c r="AG501" s="11">
        <f>Supply_Chain[[#This Row],[Total_Cost]]/Supply_Chain[[#This Row],[Stock_On_Hand]]</f>
        <v>1.1685337805462386</v>
      </c>
    </row>
    <row r="502" spans="1:33" x14ac:dyDescent="0.25">
      <c r="A502" t="s">
        <v>1555</v>
      </c>
      <c r="B502" t="s">
        <v>1556</v>
      </c>
      <c r="C502" s="1">
        <v>45380</v>
      </c>
      <c r="D502" s="1">
        <v>44781</v>
      </c>
      <c r="E502" t="s">
        <v>55</v>
      </c>
      <c r="F502" t="s">
        <v>115</v>
      </c>
      <c r="G502" t="s">
        <v>32</v>
      </c>
      <c r="H502" t="s">
        <v>46</v>
      </c>
      <c r="I502" s="3" t="s">
        <v>3160</v>
      </c>
      <c r="J502" s="3" t="s">
        <v>3519</v>
      </c>
      <c r="K502" s="3" t="s">
        <v>3530</v>
      </c>
      <c r="L502" s="3" t="s">
        <v>3954</v>
      </c>
      <c r="M502">
        <v>362.52</v>
      </c>
      <c r="N502">
        <v>69</v>
      </c>
      <c r="O502">
        <f>Supply_Chain[[#This Row],[Unit_Price]]*Supply_Chain[[#This Row],[Quantity]]</f>
        <v>25013.879999999997</v>
      </c>
      <c r="P502" t="s">
        <v>665</v>
      </c>
      <c r="Q502" t="s">
        <v>48</v>
      </c>
      <c r="R502" t="s">
        <v>78</v>
      </c>
      <c r="S502" t="s">
        <v>37</v>
      </c>
      <c r="T502" t="s">
        <v>60</v>
      </c>
      <c r="U502" t="s">
        <v>177</v>
      </c>
      <c r="V502">
        <v>3557</v>
      </c>
      <c r="W502">
        <v>178</v>
      </c>
      <c r="X502">
        <v>27</v>
      </c>
      <c r="Y502">
        <v>262.18</v>
      </c>
      <c r="Z502">
        <v>472.97</v>
      </c>
      <c r="AA502" s="9">
        <v>735.15000000000009</v>
      </c>
      <c r="AB502" t="s">
        <v>52</v>
      </c>
      <c r="AC502">
        <v>0</v>
      </c>
      <c r="AD502">
        <v>82.29</v>
      </c>
      <c r="AE502">
        <v>453</v>
      </c>
      <c r="AF502">
        <v>446</v>
      </c>
      <c r="AG502" s="11">
        <f>Supply_Chain[[#This Row],[Total_Cost]]/Supply_Chain[[#This Row],[Stock_On_Hand]]</f>
        <v>0.20667697497891485</v>
      </c>
    </row>
    <row r="503" spans="1:33" x14ac:dyDescent="0.25">
      <c r="A503" t="s">
        <v>1557</v>
      </c>
      <c r="B503" t="s">
        <v>1558</v>
      </c>
      <c r="C503" s="1">
        <v>45551</v>
      </c>
      <c r="D503" s="1">
        <v>44793</v>
      </c>
      <c r="E503" t="s">
        <v>55</v>
      </c>
      <c r="F503" t="s">
        <v>64</v>
      </c>
      <c r="G503" t="s">
        <v>91</v>
      </c>
      <c r="H503" t="s">
        <v>57</v>
      </c>
      <c r="I503" s="4" t="s">
        <v>2845</v>
      </c>
      <c r="J503" s="4" t="s">
        <v>84</v>
      </c>
      <c r="K503" s="4" t="s">
        <v>3526</v>
      </c>
      <c r="L503" s="4" t="s">
        <v>3644</v>
      </c>
      <c r="M503">
        <v>349.56</v>
      </c>
      <c r="N503">
        <v>31</v>
      </c>
      <c r="O503">
        <f>Supply_Chain[[#This Row],[Unit_Price]]*Supply_Chain[[#This Row],[Quantity]]</f>
        <v>10836.36</v>
      </c>
      <c r="P503" t="s">
        <v>1559</v>
      </c>
      <c r="Q503" t="s">
        <v>68</v>
      </c>
      <c r="R503" t="s">
        <v>186</v>
      </c>
      <c r="S503" t="s">
        <v>70</v>
      </c>
      <c r="T503" t="s">
        <v>38</v>
      </c>
      <c r="U503" t="s">
        <v>297</v>
      </c>
      <c r="V503">
        <v>3491</v>
      </c>
      <c r="W503">
        <v>90</v>
      </c>
      <c r="X503">
        <v>18</v>
      </c>
      <c r="Y503">
        <v>146.91999999999999</v>
      </c>
      <c r="Z503">
        <v>483.51</v>
      </c>
      <c r="AA503" s="9">
        <v>630.42999999999995</v>
      </c>
      <c r="AB503" t="s">
        <v>52</v>
      </c>
      <c r="AC503">
        <v>0</v>
      </c>
      <c r="AD503">
        <v>80.8</v>
      </c>
      <c r="AE503">
        <v>252</v>
      </c>
      <c r="AF503">
        <v>237</v>
      </c>
      <c r="AG503" s="11">
        <f>Supply_Chain[[#This Row],[Total_Cost]]/Supply_Chain[[#This Row],[Stock_On_Hand]]</f>
        <v>0.18058722429103408</v>
      </c>
    </row>
    <row r="504" spans="1:33" x14ac:dyDescent="0.25">
      <c r="A504" t="s">
        <v>1560</v>
      </c>
      <c r="B504" t="s">
        <v>1561</v>
      </c>
      <c r="C504" s="1">
        <v>45601</v>
      </c>
      <c r="D504" s="1">
        <v>45065</v>
      </c>
      <c r="E504" t="s">
        <v>30</v>
      </c>
      <c r="F504" t="s">
        <v>44</v>
      </c>
      <c r="G504" t="s">
        <v>56</v>
      </c>
      <c r="H504" t="s">
        <v>116</v>
      </c>
      <c r="I504" s="4" t="s">
        <v>3084</v>
      </c>
      <c r="J504" s="4" t="s">
        <v>84</v>
      </c>
      <c r="K504" s="4" t="s">
        <v>3529</v>
      </c>
      <c r="L504" s="4" t="s">
        <v>3879</v>
      </c>
      <c r="M504">
        <v>261.39</v>
      </c>
      <c r="N504">
        <v>52</v>
      </c>
      <c r="O504">
        <f>Supply_Chain[[#This Row],[Unit_Price]]*Supply_Chain[[#This Row],[Quantity]]</f>
        <v>13592.279999999999</v>
      </c>
      <c r="P504" t="s">
        <v>305</v>
      </c>
      <c r="Q504" t="s">
        <v>110</v>
      </c>
      <c r="R504" t="s">
        <v>466</v>
      </c>
      <c r="S504" t="s">
        <v>37</v>
      </c>
      <c r="T504" t="s">
        <v>60</v>
      </c>
      <c r="U504" t="s">
        <v>446</v>
      </c>
      <c r="V504">
        <v>3685</v>
      </c>
      <c r="W504">
        <v>315</v>
      </c>
      <c r="X504">
        <v>11</v>
      </c>
      <c r="Y504">
        <v>1671.5</v>
      </c>
      <c r="Z504">
        <v>356.7</v>
      </c>
      <c r="AA504" s="9">
        <v>2028.2</v>
      </c>
      <c r="AB504" t="s">
        <v>52</v>
      </c>
      <c r="AC504">
        <v>0</v>
      </c>
      <c r="AD504">
        <v>93.23</v>
      </c>
      <c r="AE504">
        <v>218</v>
      </c>
      <c r="AF504">
        <v>194</v>
      </c>
      <c r="AG504" s="11">
        <f>Supply_Chain[[#This Row],[Total_Cost]]/Supply_Chain[[#This Row],[Stock_On_Hand]]</f>
        <v>0.55039348710990499</v>
      </c>
    </row>
    <row r="505" spans="1:33" x14ac:dyDescent="0.25">
      <c r="A505" t="s">
        <v>1562</v>
      </c>
      <c r="B505" t="s">
        <v>1563</v>
      </c>
      <c r="C505" s="1">
        <v>44977</v>
      </c>
      <c r="D505" s="1">
        <v>45571</v>
      </c>
      <c r="E505" t="s">
        <v>55</v>
      </c>
      <c r="F505" t="s">
        <v>64</v>
      </c>
      <c r="G505" t="s">
        <v>56</v>
      </c>
      <c r="H505" t="s">
        <v>92</v>
      </c>
      <c r="I505" s="4" t="s">
        <v>3161</v>
      </c>
      <c r="J505" s="4" t="s">
        <v>3519</v>
      </c>
      <c r="K505" s="4" t="s">
        <v>3536</v>
      </c>
      <c r="L505" s="4" t="s">
        <v>3955</v>
      </c>
      <c r="M505">
        <v>461.25</v>
      </c>
      <c r="N505">
        <v>81</v>
      </c>
      <c r="O505">
        <f>Supply_Chain[[#This Row],[Unit_Price]]*Supply_Chain[[#This Row],[Quantity]]</f>
        <v>37361.25</v>
      </c>
      <c r="P505" t="s">
        <v>1564</v>
      </c>
      <c r="Q505" t="s">
        <v>110</v>
      </c>
      <c r="R505" t="s">
        <v>111</v>
      </c>
      <c r="S505" t="s">
        <v>119</v>
      </c>
      <c r="T505" t="s">
        <v>71</v>
      </c>
      <c r="U505" t="s">
        <v>232</v>
      </c>
      <c r="V505">
        <v>3397</v>
      </c>
      <c r="W505">
        <v>280</v>
      </c>
      <c r="X505">
        <v>17</v>
      </c>
      <c r="Y505">
        <v>1044.22</v>
      </c>
      <c r="Z505">
        <v>247.75</v>
      </c>
      <c r="AA505" s="9">
        <v>1291.97</v>
      </c>
      <c r="AB505" t="s">
        <v>52</v>
      </c>
      <c r="AC505">
        <v>0</v>
      </c>
      <c r="AD505">
        <v>86.18</v>
      </c>
      <c r="AE505">
        <v>244</v>
      </c>
      <c r="AF505">
        <v>285</v>
      </c>
      <c r="AG505" s="11">
        <f>Supply_Chain[[#This Row],[Total_Cost]]/Supply_Chain[[#This Row],[Stock_On_Hand]]</f>
        <v>0.38032675890491613</v>
      </c>
    </row>
    <row r="506" spans="1:33" x14ac:dyDescent="0.25">
      <c r="A506" t="s">
        <v>1565</v>
      </c>
      <c r="B506" t="s">
        <v>1566</v>
      </c>
      <c r="C506" s="1">
        <v>45063</v>
      </c>
      <c r="D506" s="1">
        <v>44292</v>
      </c>
      <c r="E506" t="s">
        <v>55</v>
      </c>
      <c r="F506" t="s">
        <v>64</v>
      </c>
      <c r="G506" t="s">
        <v>83</v>
      </c>
      <c r="H506" t="s">
        <v>116</v>
      </c>
      <c r="I506" s="3" t="s">
        <v>3162</v>
      </c>
      <c r="J506" s="3" t="s">
        <v>84</v>
      </c>
      <c r="K506" s="3" t="s">
        <v>3526</v>
      </c>
      <c r="L506" s="3" t="s">
        <v>3956</v>
      </c>
      <c r="M506">
        <v>298.87</v>
      </c>
      <c r="N506">
        <v>29</v>
      </c>
      <c r="O506">
        <f>Supply_Chain[[#This Row],[Unit_Price]]*Supply_Chain[[#This Row],[Quantity]]</f>
        <v>8667.23</v>
      </c>
      <c r="P506" t="s">
        <v>1567</v>
      </c>
      <c r="Q506" t="s">
        <v>68</v>
      </c>
      <c r="R506" t="s">
        <v>306</v>
      </c>
      <c r="S506" t="s">
        <v>70</v>
      </c>
      <c r="T506" t="s">
        <v>71</v>
      </c>
      <c r="U506" t="s">
        <v>499</v>
      </c>
      <c r="V506">
        <v>3112</v>
      </c>
      <c r="W506">
        <v>437</v>
      </c>
      <c r="X506">
        <v>11</v>
      </c>
      <c r="Y506">
        <v>226.89</v>
      </c>
      <c r="Z506">
        <v>489.57</v>
      </c>
      <c r="AA506" s="9">
        <v>716.46</v>
      </c>
      <c r="AB506" t="s">
        <v>52</v>
      </c>
      <c r="AC506">
        <v>0</v>
      </c>
      <c r="AD506">
        <v>82.23</v>
      </c>
      <c r="AE506">
        <v>225</v>
      </c>
      <c r="AF506">
        <v>182</v>
      </c>
      <c r="AG506" s="11">
        <f>Supply_Chain[[#This Row],[Total_Cost]]/Supply_Chain[[#This Row],[Stock_On_Hand]]</f>
        <v>0.23022493573264782</v>
      </c>
    </row>
    <row r="507" spans="1:33" x14ac:dyDescent="0.25">
      <c r="A507" t="s">
        <v>1568</v>
      </c>
      <c r="B507" t="s">
        <v>1569</v>
      </c>
      <c r="C507" s="1">
        <v>43874</v>
      </c>
      <c r="D507" s="1">
        <v>45588</v>
      </c>
      <c r="E507" t="s">
        <v>55</v>
      </c>
      <c r="F507" t="s">
        <v>75</v>
      </c>
      <c r="G507" t="s">
        <v>91</v>
      </c>
      <c r="H507" t="s">
        <v>66</v>
      </c>
      <c r="I507" s="3" t="s">
        <v>2846</v>
      </c>
      <c r="J507" s="3" t="s">
        <v>3518</v>
      </c>
      <c r="K507" s="3" t="s">
        <v>3533</v>
      </c>
      <c r="L507" s="3" t="s">
        <v>3645</v>
      </c>
      <c r="M507">
        <v>469.98</v>
      </c>
      <c r="N507">
        <v>35</v>
      </c>
      <c r="O507">
        <f>Supply_Chain[[#This Row],[Unit_Price]]*Supply_Chain[[#This Row],[Quantity]]</f>
        <v>16449.3</v>
      </c>
      <c r="P507" t="s">
        <v>1570</v>
      </c>
      <c r="Q507" t="s">
        <v>35</v>
      </c>
      <c r="R507" t="s">
        <v>344</v>
      </c>
      <c r="S507" t="s">
        <v>70</v>
      </c>
      <c r="T507" t="s">
        <v>100</v>
      </c>
      <c r="U507" t="s">
        <v>855</v>
      </c>
      <c r="V507">
        <v>3235</v>
      </c>
      <c r="W507">
        <v>190</v>
      </c>
      <c r="X507">
        <v>11</v>
      </c>
      <c r="Y507">
        <v>1699.56</v>
      </c>
      <c r="Z507">
        <v>495.05</v>
      </c>
      <c r="AA507" s="9">
        <v>2194.61</v>
      </c>
      <c r="AB507" t="s">
        <v>52</v>
      </c>
      <c r="AC507">
        <v>0</v>
      </c>
      <c r="AD507">
        <v>92.89</v>
      </c>
      <c r="AE507">
        <v>453</v>
      </c>
      <c r="AF507">
        <v>482</v>
      </c>
      <c r="AG507" s="11">
        <f>Supply_Chain[[#This Row],[Total_Cost]]/Supply_Chain[[#This Row],[Stock_On_Hand]]</f>
        <v>0.67839567233384857</v>
      </c>
    </row>
    <row r="508" spans="1:33" x14ac:dyDescent="0.25">
      <c r="A508" t="s">
        <v>1571</v>
      </c>
      <c r="B508" t="s">
        <v>1572</v>
      </c>
      <c r="C508" s="1">
        <v>44187</v>
      </c>
      <c r="D508" s="1">
        <v>45429</v>
      </c>
      <c r="E508" t="s">
        <v>43</v>
      </c>
      <c r="F508" t="s">
        <v>31</v>
      </c>
      <c r="G508" t="s">
        <v>83</v>
      </c>
      <c r="H508" t="s">
        <v>166</v>
      </c>
      <c r="I508" s="3" t="s">
        <v>2762</v>
      </c>
      <c r="J508" s="3" t="s">
        <v>3518</v>
      </c>
      <c r="K508" s="3" t="s">
        <v>3525</v>
      </c>
      <c r="L508" s="3" t="s">
        <v>3562</v>
      </c>
      <c r="M508">
        <v>329.81</v>
      </c>
      <c r="N508">
        <v>10</v>
      </c>
      <c r="O508">
        <f>Supply_Chain[[#This Row],[Unit_Price]]*Supply_Chain[[#This Row],[Quantity]]</f>
        <v>3298.1</v>
      </c>
      <c r="P508" t="s">
        <v>1573</v>
      </c>
      <c r="Q508" t="s">
        <v>110</v>
      </c>
      <c r="R508" t="s">
        <v>377</v>
      </c>
      <c r="S508" t="s">
        <v>50</v>
      </c>
      <c r="T508" t="s">
        <v>38</v>
      </c>
      <c r="U508" t="s">
        <v>619</v>
      </c>
      <c r="V508">
        <v>287</v>
      </c>
      <c r="W508">
        <v>221</v>
      </c>
      <c r="X508">
        <v>16</v>
      </c>
      <c r="Y508">
        <v>1298.98</v>
      </c>
      <c r="Z508">
        <v>172.38</v>
      </c>
      <c r="AA508" s="9">
        <v>1471.36</v>
      </c>
      <c r="AB508" t="s">
        <v>52</v>
      </c>
      <c r="AC508">
        <v>0</v>
      </c>
      <c r="AD508">
        <v>81.05</v>
      </c>
      <c r="AE508">
        <v>278</v>
      </c>
      <c r="AF508">
        <v>322</v>
      </c>
      <c r="AG508" s="11">
        <f>Supply_Chain[[#This Row],[Total_Cost]]/Supply_Chain[[#This Row],[Stock_On_Hand]]</f>
        <v>5.126689895470383</v>
      </c>
    </row>
    <row r="509" spans="1:33" x14ac:dyDescent="0.25">
      <c r="A509" t="s">
        <v>1574</v>
      </c>
      <c r="B509" t="s">
        <v>1575</v>
      </c>
      <c r="C509" s="1">
        <v>44258</v>
      </c>
      <c r="D509" s="1">
        <v>45316</v>
      </c>
      <c r="E509" t="s">
        <v>43</v>
      </c>
      <c r="F509" t="s">
        <v>64</v>
      </c>
      <c r="G509" t="s">
        <v>91</v>
      </c>
      <c r="H509" t="s">
        <v>92</v>
      </c>
      <c r="I509" s="3" t="s">
        <v>3163</v>
      </c>
      <c r="J509" s="3" t="s">
        <v>3518</v>
      </c>
      <c r="K509" s="3" t="s">
        <v>3522</v>
      </c>
      <c r="L509" s="3" t="s">
        <v>3957</v>
      </c>
      <c r="M509">
        <v>155.25</v>
      </c>
      <c r="N509">
        <v>66</v>
      </c>
      <c r="O509">
        <f>Supply_Chain[[#This Row],[Unit_Price]]*Supply_Chain[[#This Row],[Quantity]]</f>
        <v>10246.5</v>
      </c>
      <c r="P509" t="s">
        <v>1576</v>
      </c>
      <c r="Q509" t="s">
        <v>86</v>
      </c>
      <c r="R509" t="s">
        <v>231</v>
      </c>
      <c r="S509" t="s">
        <v>119</v>
      </c>
      <c r="T509" t="s">
        <v>79</v>
      </c>
      <c r="U509" t="s">
        <v>146</v>
      </c>
      <c r="V509">
        <v>858</v>
      </c>
      <c r="W509">
        <v>437</v>
      </c>
      <c r="X509">
        <v>24</v>
      </c>
      <c r="Y509">
        <v>1164.81</v>
      </c>
      <c r="Z509">
        <v>254.17</v>
      </c>
      <c r="AA509" s="9">
        <v>1418.98</v>
      </c>
      <c r="AB509" t="s">
        <v>40</v>
      </c>
      <c r="AC509">
        <v>2</v>
      </c>
      <c r="AD509">
        <v>92.7</v>
      </c>
      <c r="AE509">
        <v>226</v>
      </c>
      <c r="AF509">
        <v>221</v>
      </c>
      <c r="AG509" s="11">
        <f>Supply_Chain[[#This Row],[Total_Cost]]/Supply_Chain[[#This Row],[Stock_On_Hand]]</f>
        <v>1.6538228438228439</v>
      </c>
    </row>
    <row r="510" spans="1:33" x14ac:dyDescent="0.25">
      <c r="A510" t="s">
        <v>1577</v>
      </c>
      <c r="B510" t="s">
        <v>1578</v>
      </c>
      <c r="C510" s="1">
        <v>45352</v>
      </c>
      <c r="D510" s="1">
        <v>44633</v>
      </c>
      <c r="E510" t="s">
        <v>55</v>
      </c>
      <c r="F510" t="s">
        <v>75</v>
      </c>
      <c r="G510" t="s">
        <v>76</v>
      </c>
      <c r="H510" t="s">
        <v>128</v>
      </c>
      <c r="I510" s="3" t="s">
        <v>3164</v>
      </c>
      <c r="J510" s="3" t="s">
        <v>3518</v>
      </c>
      <c r="K510" s="3" t="s">
        <v>3522</v>
      </c>
      <c r="L510" s="3" t="s">
        <v>3958</v>
      </c>
      <c r="M510">
        <v>485.7</v>
      </c>
      <c r="N510">
        <v>63</v>
      </c>
      <c r="O510">
        <f>Supply_Chain[[#This Row],[Unit_Price]]*Supply_Chain[[#This Row],[Quantity]]</f>
        <v>30599.1</v>
      </c>
      <c r="P510" t="s">
        <v>1579</v>
      </c>
      <c r="Q510" t="s">
        <v>86</v>
      </c>
      <c r="R510" t="s">
        <v>290</v>
      </c>
      <c r="S510" t="s">
        <v>119</v>
      </c>
      <c r="T510" t="s">
        <v>100</v>
      </c>
      <c r="U510" t="s">
        <v>207</v>
      </c>
      <c r="V510">
        <v>4886</v>
      </c>
      <c r="W510">
        <v>263</v>
      </c>
      <c r="X510">
        <v>12</v>
      </c>
      <c r="Y510">
        <v>666.52</v>
      </c>
      <c r="Z510">
        <v>187.03</v>
      </c>
      <c r="AA510" s="9">
        <v>853.55</v>
      </c>
      <c r="AB510" t="s">
        <v>52</v>
      </c>
      <c r="AC510">
        <v>0</v>
      </c>
      <c r="AD510">
        <v>82.68</v>
      </c>
      <c r="AE510">
        <v>100</v>
      </c>
      <c r="AF510">
        <v>106</v>
      </c>
      <c r="AG510" s="11">
        <f>Supply_Chain[[#This Row],[Total_Cost]]/Supply_Chain[[#This Row],[Stock_On_Hand]]</f>
        <v>0.17469300040933278</v>
      </c>
    </row>
    <row r="511" spans="1:33" x14ac:dyDescent="0.25">
      <c r="A511" t="s">
        <v>1580</v>
      </c>
      <c r="B511" t="s">
        <v>1581</v>
      </c>
      <c r="C511" s="1">
        <v>45467</v>
      </c>
      <c r="D511" s="1">
        <v>45653</v>
      </c>
      <c r="E511" t="s">
        <v>43</v>
      </c>
      <c r="F511" t="s">
        <v>75</v>
      </c>
      <c r="G511" t="s">
        <v>91</v>
      </c>
      <c r="H511" t="s">
        <v>116</v>
      </c>
      <c r="I511" s="3" t="s">
        <v>3165</v>
      </c>
      <c r="J511" s="3" t="s">
        <v>3518</v>
      </c>
      <c r="K511" s="3" t="s">
        <v>3522</v>
      </c>
      <c r="L511" s="3" t="s">
        <v>3959</v>
      </c>
      <c r="M511">
        <v>489.95</v>
      </c>
      <c r="N511">
        <v>41</v>
      </c>
      <c r="O511">
        <f>Supply_Chain[[#This Row],[Unit_Price]]*Supply_Chain[[#This Row],[Quantity]]</f>
        <v>20087.95</v>
      </c>
      <c r="P511" t="s">
        <v>1582</v>
      </c>
      <c r="Q511" t="s">
        <v>35</v>
      </c>
      <c r="R511" t="s">
        <v>124</v>
      </c>
      <c r="S511" t="s">
        <v>70</v>
      </c>
      <c r="T511" t="s">
        <v>60</v>
      </c>
      <c r="U511" t="s">
        <v>223</v>
      </c>
      <c r="V511">
        <v>3410</v>
      </c>
      <c r="W511">
        <v>499</v>
      </c>
      <c r="X511">
        <v>13</v>
      </c>
      <c r="Y511">
        <v>1855.33</v>
      </c>
      <c r="Z511">
        <v>303</v>
      </c>
      <c r="AA511" s="9">
        <v>2158.33</v>
      </c>
      <c r="AB511" t="s">
        <v>52</v>
      </c>
      <c r="AC511">
        <v>0</v>
      </c>
      <c r="AD511">
        <v>93</v>
      </c>
      <c r="AE511">
        <v>87</v>
      </c>
      <c r="AF511">
        <v>80</v>
      </c>
      <c r="AG511" s="11">
        <f>Supply_Chain[[#This Row],[Total_Cost]]/Supply_Chain[[#This Row],[Stock_On_Hand]]</f>
        <v>0.63294134897360699</v>
      </c>
    </row>
    <row r="512" spans="1:33" x14ac:dyDescent="0.25">
      <c r="A512" t="s">
        <v>1583</v>
      </c>
      <c r="B512" t="s">
        <v>1584</v>
      </c>
      <c r="C512" s="1">
        <v>44625</v>
      </c>
      <c r="D512" s="1">
        <v>45584</v>
      </c>
      <c r="E512" t="s">
        <v>55</v>
      </c>
      <c r="F512" t="s">
        <v>75</v>
      </c>
      <c r="G512" t="s">
        <v>45</v>
      </c>
      <c r="H512" t="s">
        <v>57</v>
      </c>
      <c r="I512" s="3" t="s">
        <v>3166</v>
      </c>
      <c r="J512" s="3" t="s">
        <v>3518</v>
      </c>
      <c r="K512" s="3" t="s">
        <v>3532</v>
      </c>
      <c r="L512" s="3" t="s">
        <v>3566</v>
      </c>
      <c r="M512">
        <v>299.81</v>
      </c>
      <c r="N512">
        <v>27</v>
      </c>
      <c r="O512">
        <f>Supply_Chain[[#This Row],[Unit_Price]]*Supply_Chain[[#This Row],[Quantity]]</f>
        <v>8094.87</v>
      </c>
      <c r="P512" t="s">
        <v>1585</v>
      </c>
      <c r="Q512" t="s">
        <v>110</v>
      </c>
      <c r="R512" t="s">
        <v>344</v>
      </c>
      <c r="S512" t="s">
        <v>119</v>
      </c>
      <c r="T512" t="s">
        <v>100</v>
      </c>
      <c r="U512" t="s">
        <v>88</v>
      </c>
      <c r="V512">
        <v>210</v>
      </c>
      <c r="W512">
        <v>481</v>
      </c>
      <c r="X512">
        <v>2</v>
      </c>
      <c r="Y512">
        <v>781.61</v>
      </c>
      <c r="Z512">
        <v>418.42</v>
      </c>
      <c r="AA512" s="9">
        <v>1200.03</v>
      </c>
      <c r="AB512" t="s">
        <v>52</v>
      </c>
      <c r="AC512">
        <v>0</v>
      </c>
      <c r="AD512">
        <v>79.75</v>
      </c>
      <c r="AE512">
        <v>323</v>
      </c>
      <c r="AF512">
        <v>300</v>
      </c>
      <c r="AG512" s="11">
        <f>Supply_Chain[[#This Row],[Total_Cost]]/Supply_Chain[[#This Row],[Stock_On_Hand]]</f>
        <v>5.714428571428571</v>
      </c>
    </row>
    <row r="513" spans="1:33" x14ac:dyDescent="0.25">
      <c r="A513" t="s">
        <v>1586</v>
      </c>
      <c r="B513" t="s">
        <v>1587</v>
      </c>
      <c r="C513" s="1">
        <v>44703</v>
      </c>
      <c r="D513" s="1">
        <v>44808</v>
      </c>
      <c r="E513" t="s">
        <v>43</v>
      </c>
      <c r="F513" t="s">
        <v>64</v>
      </c>
      <c r="G513" t="s">
        <v>56</v>
      </c>
      <c r="H513" t="s">
        <v>33</v>
      </c>
      <c r="I513" s="3" t="s">
        <v>3167</v>
      </c>
      <c r="J513" s="3" t="s">
        <v>3518</v>
      </c>
      <c r="K513" s="3" t="s">
        <v>3521</v>
      </c>
      <c r="L513" s="3" t="s">
        <v>3960</v>
      </c>
      <c r="M513">
        <v>412.26</v>
      </c>
      <c r="N513">
        <v>39</v>
      </c>
      <c r="O513">
        <f>Supply_Chain[[#This Row],[Unit_Price]]*Supply_Chain[[#This Row],[Quantity]]</f>
        <v>16078.14</v>
      </c>
      <c r="P513" t="s">
        <v>1588</v>
      </c>
      <c r="Q513" t="s">
        <v>68</v>
      </c>
      <c r="R513" t="s">
        <v>476</v>
      </c>
      <c r="S513" t="s">
        <v>70</v>
      </c>
      <c r="T513" t="s">
        <v>100</v>
      </c>
      <c r="U513" t="s">
        <v>95</v>
      </c>
      <c r="V513">
        <v>3650</v>
      </c>
      <c r="W513">
        <v>408</v>
      </c>
      <c r="X513">
        <v>27</v>
      </c>
      <c r="Y513">
        <v>1728.03</v>
      </c>
      <c r="Z513">
        <v>49.34</v>
      </c>
      <c r="AA513" s="9">
        <v>1777.37</v>
      </c>
      <c r="AB513" t="s">
        <v>52</v>
      </c>
      <c r="AC513">
        <v>0</v>
      </c>
      <c r="AD513">
        <v>90.54</v>
      </c>
      <c r="AE513">
        <v>307</v>
      </c>
      <c r="AF513">
        <v>341</v>
      </c>
      <c r="AG513" s="11">
        <f>Supply_Chain[[#This Row],[Total_Cost]]/Supply_Chain[[#This Row],[Stock_On_Hand]]</f>
        <v>0.48695068493150684</v>
      </c>
    </row>
    <row r="514" spans="1:33" x14ac:dyDescent="0.25">
      <c r="A514" t="s">
        <v>1589</v>
      </c>
      <c r="B514" t="s">
        <v>1590</v>
      </c>
      <c r="C514" s="1">
        <v>43988</v>
      </c>
      <c r="D514" s="1">
        <v>44289</v>
      </c>
      <c r="E514" t="s">
        <v>55</v>
      </c>
      <c r="F514" t="s">
        <v>115</v>
      </c>
      <c r="G514" t="s">
        <v>91</v>
      </c>
      <c r="H514" t="s">
        <v>166</v>
      </c>
      <c r="I514" s="3" t="s">
        <v>3168</v>
      </c>
      <c r="J514" s="3" t="s">
        <v>3518</v>
      </c>
      <c r="K514" s="3" t="s">
        <v>3521</v>
      </c>
      <c r="L514" s="3" t="s">
        <v>3961</v>
      </c>
      <c r="M514">
        <v>318.23</v>
      </c>
      <c r="N514">
        <v>68</v>
      </c>
      <c r="O514">
        <f>Supply_Chain[[#This Row],[Unit_Price]]*Supply_Chain[[#This Row],[Quantity]]</f>
        <v>21639.64</v>
      </c>
      <c r="P514" t="s">
        <v>1436</v>
      </c>
      <c r="Q514" t="s">
        <v>35</v>
      </c>
      <c r="R514" t="s">
        <v>36</v>
      </c>
      <c r="S514" t="s">
        <v>70</v>
      </c>
      <c r="T514" t="s">
        <v>38</v>
      </c>
      <c r="U514" t="s">
        <v>270</v>
      </c>
      <c r="V514">
        <v>491</v>
      </c>
      <c r="W514">
        <v>242</v>
      </c>
      <c r="X514">
        <v>6</v>
      </c>
      <c r="Y514">
        <v>145.46</v>
      </c>
      <c r="Z514">
        <v>135.18</v>
      </c>
      <c r="AA514" s="9">
        <v>280.64</v>
      </c>
      <c r="AB514" t="s">
        <v>52</v>
      </c>
      <c r="AC514">
        <v>0</v>
      </c>
      <c r="AD514">
        <v>84.62</v>
      </c>
      <c r="AE514">
        <v>305</v>
      </c>
      <c r="AF514">
        <v>303</v>
      </c>
      <c r="AG514" s="11">
        <f>Supply_Chain[[#This Row],[Total_Cost]]/Supply_Chain[[#This Row],[Stock_On_Hand]]</f>
        <v>0.57156822810590624</v>
      </c>
    </row>
    <row r="515" spans="1:33" x14ac:dyDescent="0.25">
      <c r="A515" t="s">
        <v>1591</v>
      </c>
      <c r="B515" t="s">
        <v>1592</v>
      </c>
      <c r="C515" s="1">
        <v>44098</v>
      </c>
      <c r="D515" s="1">
        <v>44041</v>
      </c>
      <c r="E515" t="s">
        <v>43</v>
      </c>
      <c r="F515" t="s">
        <v>115</v>
      </c>
      <c r="G515" t="s">
        <v>91</v>
      </c>
      <c r="H515" t="s">
        <v>166</v>
      </c>
      <c r="I515" s="3" t="s">
        <v>3169</v>
      </c>
      <c r="J515" s="3" t="s">
        <v>3519</v>
      </c>
      <c r="K515" s="3" t="s">
        <v>3528</v>
      </c>
      <c r="L515" s="3" t="s">
        <v>3962</v>
      </c>
      <c r="M515">
        <v>326.58999999999997</v>
      </c>
      <c r="N515">
        <v>7</v>
      </c>
      <c r="O515">
        <f>Supply_Chain[[#This Row],[Unit_Price]]*Supply_Chain[[#This Row],[Quantity]]</f>
        <v>2286.1299999999997</v>
      </c>
      <c r="P515" t="s">
        <v>541</v>
      </c>
      <c r="Q515" t="s">
        <v>35</v>
      </c>
      <c r="R515" t="s">
        <v>140</v>
      </c>
      <c r="S515" t="s">
        <v>70</v>
      </c>
      <c r="T515" t="s">
        <v>100</v>
      </c>
      <c r="U515" t="s">
        <v>146</v>
      </c>
      <c r="V515">
        <v>4932</v>
      </c>
      <c r="W515">
        <v>209</v>
      </c>
      <c r="X515">
        <v>28</v>
      </c>
      <c r="Y515">
        <v>348.55</v>
      </c>
      <c r="Z515">
        <v>134.19999999999999</v>
      </c>
      <c r="AA515" s="9">
        <v>482.75</v>
      </c>
      <c r="AB515" t="s">
        <v>52</v>
      </c>
      <c r="AC515">
        <v>0</v>
      </c>
      <c r="AD515">
        <v>95.92</v>
      </c>
      <c r="AE515">
        <v>495</v>
      </c>
      <c r="AF515">
        <v>506</v>
      </c>
      <c r="AG515" s="11">
        <f>Supply_Chain[[#This Row],[Total_Cost]]/Supply_Chain[[#This Row],[Stock_On_Hand]]</f>
        <v>9.7881184103811844E-2</v>
      </c>
    </row>
    <row r="516" spans="1:33" x14ac:dyDescent="0.25">
      <c r="A516" t="s">
        <v>1593</v>
      </c>
      <c r="B516" t="s">
        <v>1594</v>
      </c>
      <c r="C516" s="1">
        <v>45532</v>
      </c>
      <c r="D516" s="1">
        <v>45018</v>
      </c>
      <c r="E516" t="s">
        <v>55</v>
      </c>
      <c r="F516" t="s">
        <v>44</v>
      </c>
      <c r="G516" t="s">
        <v>83</v>
      </c>
      <c r="H516" t="s">
        <v>46</v>
      </c>
      <c r="I516" s="4" t="s">
        <v>2846</v>
      </c>
      <c r="J516" s="4" t="s">
        <v>3518</v>
      </c>
      <c r="K516" s="4" t="s">
        <v>3533</v>
      </c>
      <c r="L516" s="4" t="s">
        <v>3645</v>
      </c>
      <c r="M516">
        <v>366.12</v>
      </c>
      <c r="N516">
        <v>47</v>
      </c>
      <c r="O516">
        <f>Supply_Chain[[#This Row],[Unit_Price]]*Supply_Chain[[#This Row],[Quantity]]</f>
        <v>17207.64</v>
      </c>
      <c r="P516" t="s">
        <v>1595</v>
      </c>
      <c r="Q516" t="s">
        <v>35</v>
      </c>
      <c r="R516" t="s">
        <v>653</v>
      </c>
      <c r="S516" t="s">
        <v>37</v>
      </c>
      <c r="T516" t="s">
        <v>79</v>
      </c>
      <c r="U516" t="s">
        <v>499</v>
      </c>
      <c r="V516">
        <v>357</v>
      </c>
      <c r="W516">
        <v>464</v>
      </c>
      <c r="X516">
        <v>2</v>
      </c>
      <c r="Y516">
        <v>1015.74</v>
      </c>
      <c r="Z516">
        <v>73.2</v>
      </c>
      <c r="AA516" s="9">
        <v>1088.94</v>
      </c>
      <c r="AB516" t="s">
        <v>52</v>
      </c>
      <c r="AC516">
        <v>0</v>
      </c>
      <c r="AD516">
        <v>95.87</v>
      </c>
      <c r="AE516">
        <v>456</v>
      </c>
      <c r="AF516">
        <v>482</v>
      </c>
      <c r="AG516" s="11">
        <f>Supply_Chain[[#This Row],[Total_Cost]]/Supply_Chain[[#This Row],[Stock_On_Hand]]</f>
        <v>3.0502521008403365</v>
      </c>
    </row>
    <row r="517" spans="1:33" x14ac:dyDescent="0.25">
      <c r="A517" t="s">
        <v>1596</v>
      </c>
      <c r="B517" t="s">
        <v>1597</v>
      </c>
      <c r="C517" s="1">
        <v>45373</v>
      </c>
      <c r="D517" s="1">
        <v>45448</v>
      </c>
      <c r="E517" t="s">
        <v>55</v>
      </c>
      <c r="F517" t="s">
        <v>75</v>
      </c>
      <c r="G517" t="s">
        <v>247</v>
      </c>
      <c r="H517" t="s">
        <v>92</v>
      </c>
      <c r="I517" s="4" t="s">
        <v>3164</v>
      </c>
      <c r="J517" s="4" t="s">
        <v>3518</v>
      </c>
      <c r="K517" s="4" t="s">
        <v>3522</v>
      </c>
      <c r="L517" s="4" t="s">
        <v>3958</v>
      </c>
      <c r="M517">
        <v>152.36000000000001</v>
      </c>
      <c r="N517">
        <v>85</v>
      </c>
      <c r="O517">
        <f>Supply_Chain[[#This Row],[Unit_Price]]*Supply_Chain[[#This Row],[Quantity]]</f>
        <v>12950.6</v>
      </c>
      <c r="P517" t="s">
        <v>343</v>
      </c>
      <c r="Q517" t="s">
        <v>48</v>
      </c>
      <c r="R517" t="s">
        <v>130</v>
      </c>
      <c r="S517" t="s">
        <v>70</v>
      </c>
      <c r="T517" t="s">
        <v>100</v>
      </c>
      <c r="U517" t="s">
        <v>611</v>
      </c>
      <c r="V517">
        <v>669</v>
      </c>
      <c r="W517">
        <v>101</v>
      </c>
      <c r="X517">
        <v>6</v>
      </c>
      <c r="Y517">
        <v>1097.06</v>
      </c>
      <c r="Z517">
        <v>487</v>
      </c>
      <c r="AA517" s="9">
        <v>1584.06</v>
      </c>
      <c r="AB517" t="s">
        <v>52</v>
      </c>
      <c r="AC517">
        <v>0</v>
      </c>
      <c r="AD517">
        <v>80.650000000000006</v>
      </c>
      <c r="AE517">
        <v>413</v>
      </c>
      <c r="AF517">
        <v>414</v>
      </c>
      <c r="AG517" s="11">
        <f>Supply_Chain[[#This Row],[Total_Cost]]/Supply_Chain[[#This Row],[Stock_On_Hand]]</f>
        <v>2.3678026905829594</v>
      </c>
    </row>
    <row r="518" spans="1:33" x14ac:dyDescent="0.25">
      <c r="A518" t="s">
        <v>1598</v>
      </c>
      <c r="B518" t="s">
        <v>1599</v>
      </c>
      <c r="C518" s="1">
        <v>44135</v>
      </c>
      <c r="D518" s="1">
        <v>44742</v>
      </c>
      <c r="E518" t="s">
        <v>43</v>
      </c>
      <c r="F518" t="s">
        <v>44</v>
      </c>
      <c r="G518" t="s">
        <v>56</v>
      </c>
      <c r="H518" t="s">
        <v>92</v>
      </c>
      <c r="I518" s="4" t="s">
        <v>3168</v>
      </c>
      <c r="J518" s="4" t="s">
        <v>3518</v>
      </c>
      <c r="K518" s="4" t="s">
        <v>3521</v>
      </c>
      <c r="L518" s="4" t="s">
        <v>3961</v>
      </c>
      <c r="M518">
        <v>237.21</v>
      </c>
      <c r="N518">
        <v>53</v>
      </c>
      <c r="O518">
        <f>Supply_Chain[[#This Row],[Unit_Price]]*Supply_Chain[[#This Row],[Quantity]]</f>
        <v>12572.130000000001</v>
      </c>
      <c r="P518" t="s">
        <v>1600</v>
      </c>
      <c r="Q518" t="s">
        <v>68</v>
      </c>
      <c r="R518" t="s">
        <v>290</v>
      </c>
      <c r="S518" t="s">
        <v>50</v>
      </c>
      <c r="T518" t="s">
        <v>100</v>
      </c>
      <c r="U518" t="s">
        <v>150</v>
      </c>
      <c r="V518">
        <v>2243</v>
      </c>
      <c r="W518">
        <v>107</v>
      </c>
      <c r="X518">
        <v>10</v>
      </c>
      <c r="Y518">
        <v>535.33000000000004</v>
      </c>
      <c r="Z518">
        <v>262.31</v>
      </c>
      <c r="AA518" s="9">
        <v>797.6400000000001</v>
      </c>
      <c r="AB518" t="s">
        <v>52</v>
      </c>
      <c r="AC518">
        <v>0</v>
      </c>
      <c r="AD518">
        <v>86</v>
      </c>
      <c r="AE518">
        <v>196</v>
      </c>
      <c r="AF518">
        <v>150</v>
      </c>
      <c r="AG518" s="11">
        <f>Supply_Chain[[#This Row],[Total_Cost]]/Supply_Chain[[#This Row],[Stock_On_Hand]]</f>
        <v>0.35561301827909053</v>
      </c>
    </row>
    <row r="519" spans="1:33" x14ac:dyDescent="0.25">
      <c r="A519" t="s">
        <v>1601</v>
      </c>
      <c r="B519" t="s">
        <v>1218</v>
      </c>
      <c r="C519" s="1">
        <v>44149</v>
      </c>
      <c r="D519" s="1">
        <v>44670</v>
      </c>
      <c r="E519" t="s">
        <v>43</v>
      </c>
      <c r="F519" t="s">
        <v>64</v>
      </c>
      <c r="G519" t="s">
        <v>45</v>
      </c>
      <c r="H519" t="s">
        <v>166</v>
      </c>
      <c r="I519" s="3" t="s">
        <v>3170</v>
      </c>
      <c r="J519" s="3" t="s">
        <v>3519</v>
      </c>
      <c r="K519" s="3" t="s">
        <v>3528</v>
      </c>
      <c r="L519" s="3" t="s">
        <v>3963</v>
      </c>
      <c r="M519">
        <v>6.86</v>
      </c>
      <c r="N519">
        <v>65</v>
      </c>
      <c r="O519">
        <f>Supply_Chain[[#This Row],[Unit_Price]]*Supply_Chain[[#This Row],[Quantity]]</f>
        <v>445.90000000000003</v>
      </c>
      <c r="P519" t="s">
        <v>1602</v>
      </c>
      <c r="Q519" t="s">
        <v>86</v>
      </c>
      <c r="R519" t="s">
        <v>118</v>
      </c>
      <c r="S519" t="s">
        <v>119</v>
      </c>
      <c r="T519" t="s">
        <v>79</v>
      </c>
      <c r="U519" t="s">
        <v>809</v>
      </c>
      <c r="V519">
        <v>4859</v>
      </c>
      <c r="W519">
        <v>342</v>
      </c>
      <c r="X519">
        <v>19</v>
      </c>
      <c r="Y519">
        <v>770.51</v>
      </c>
      <c r="Z519">
        <v>51.78</v>
      </c>
      <c r="AA519" s="9">
        <v>822.29</v>
      </c>
      <c r="AB519" t="s">
        <v>52</v>
      </c>
      <c r="AC519">
        <v>0</v>
      </c>
      <c r="AD519">
        <v>88.27</v>
      </c>
      <c r="AE519">
        <v>386</v>
      </c>
      <c r="AF519">
        <v>359</v>
      </c>
      <c r="AG519" s="11">
        <f>Supply_Chain[[#This Row],[Total_Cost]]/Supply_Chain[[#This Row],[Stock_On_Hand]]</f>
        <v>0.16923029429923853</v>
      </c>
    </row>
    <row r="520" spans="1:33" x14ac:dyDescent="0.25">
      <c r="A520" t="s">
        <v>1603</v>
      </c>
      <c r="B520" t="s">
        <v>1604</v>
      </c>
      <c r="C520" s="1">
        <v>44412</v>
      </c>
      <c r="D520" s="1">
        <v>45114</v>
      </c>
      <c r="E520" t="s">
        <v>43</v>
      </c>
      <c r="F520" t="s">
        <v>115</v>
      </c>
      <c r="G520" t="s">
        <v>76</v>
      </c>
      <c r="H520" t="s">
        <v>116</v>
      </c>
      <c r="I520" s="3" t="s">
        <v>3171</v>
      </c>
      <c r="J520" s="3" t="s">
        <v>3519</v>
      </c>
      <c r="K520" s="3" t="s">
        <v>3528</v>
      </c>
      <c r="L520" s="3" t="s">
        <v>3964</v>
      </c>
      <c r="M520">
        <v>178.29</v>
      </c>
      <c r="N520">
        <v>39</v>
      </c>
      <c r="O520">
        <f>Supply_Chain[[#This Row],[Unit_Price]]*Supply_Chain[[#This Row],[Quantity]]</f>
        <v>6953.3099999999995</v>
      </c>
      <c r="P520" t="s">
        <v>1605</v>
      </c>
      <c r="Q520" t="s">
        <v>35</v>
      </c>
      <c r="R520" t="s">
        <v>176</v>
      </c>
      <c r="S520" t="s">
        <v>37</v>
      </c>
      <c r="T520" t="s">
        <v>79</v>
      </c>
      <c r="U520" t="s">
        <v>489</v>
      </c>
      <c r="V520">
        <v>4093</v>
      </c>
      <c r="W520">
        <v>95</v>
      </c>
      <c r="X520">
        <v>3</v>
      </c>
      <c r="Y520">
        <v>1690.7</v>
      </c>
      <c r="Z520">
        <v>479.76</v>
      </c>
      <c r="AA520" s="9">
        <v>2170.46</v>
      </c>
      <c r="AB520" t="s">
        <v>52</v>
      </c>
      <c r="AC520">
        <v>0</v>
      </c>
      <c r="AD520">
        <v>88.9</v>
      </c>
      <c r="AE520">
        <v>455</v>
      </c>
      <c r="AF520">
        <v>470</v>
      </c>
      <c r="AG520" s="11">
        <f>Supply_Chain[[#This Row],[Total_Cost]]/Supply_Chain[[#This Row],[Stock_On_Hand]]</f>
        <v>0.5302858538968972</v>
      </c>
    </row>
    <row r="521" spans="1:33" x14ac:dyDescent="0.25">
      <c r="A521" t="s">
        <v>1606</v>
      </c>
      <c r="B521" t="s">
        <v>1607</v>
      </c>
      <c r="C521" s="1">
        <v>45587</v>
      </c>
      <c r="D521" s="1">
        <v>45366</v>
      </c>
      <c r="E521" t="s">
        <v>55</v>
      </c>
      <c r="F521" t="s">
        <v>75</v>
      </c>
      <c r="G521" t="s">
        <v>65</v>
      </c>
      <c r="H521" t="s">
        <v>66</v>
      </c>
      <c r="I521" s="3" t="s">
        <v>3172</v>
      </c>
      <c r="J521" s="3" t="s">
        <v>3518</v>
      </c>
      <c r="K521" s="3" t="s">
        <v>3533</v>
      </c>
      <c r="L521" s="3" t="s">
        <v>3965</v>
      </c>
      <c r="M521">
        <v>137.11000000000001</v>
      </c>
      <c r="N521">
        <v>7</v>
      </c>
      <c r="O521">
        <f>Supply_Chain[[#This Row],[Unit_Price]]*Supply_Chain[[#This Row],[Quantity]]</f>
        <v>959.7700000000001</v>
      </c>
      <c r="P521" t="s">
        <v>1608</v>
      </c>
      <c r="Q521" t="s">
        <v>35</v>
      </c>
      <c r="R521" t="s">
        <v>195</v>
      </c>
      <c r="S521" t="s">
        <v>119</v>
      </c>
      <c r="T521" t="s">
        <v>38</v>
      </c>
      <c r="U521" t="s">
        <v>191</v>
      </c>
      <c r="V521">
        <v>4524</v>
      </c>
      <c r="W521">
        <v>242</v>
      </c>
      <c r="X521">
        <v>1</v>
      </c>
      <c r="Y521">
        <v>879.67</v>
      </c>
      <c r="Z521">
        <v>420.16</v>
      </c>
      <c r="AA521" s="9">
        <v>1299.83</v>
      </c>
      <c r="AB521" t="s">
        <v>52</v>
      </c>
      <c r="AC521">
        <v>0</v>
      </c>
      <c r="AD521">
        <v>72.59</v>
      </c>
      <c r="AE521">
        <v>318</v>
      </c>
      <c r="AF521">
        <v>340</v>
      </c>
      <c r="AG521" s="11">
        <f>Supply_Chain[[#This Row],[Total_Cost]]/Supply_Chain[[#This Row],[Stock_On_Hand]]</f>
        <v>0.28731874447391687</v>
      </c>
    </row>
    <row r="522" spans="1:33" x14ac:dyDescent="0.25">
      <c r="A522" t="s">
        <v>1609</v>
      </c>
      <c r="B522" t="s">
        <v>1610</v>
      </c>
      <c r="C522" s="1">
        <v>43912</v>
      </c>
      <c r="D522" s="1">
        <v>44598</v>
      </c>
      <c r="E522" t="s">
        <v>43</v>
      </c>
      <c r="F522" t="s">
        <v>75</v>
      </c>
      <c r="G522" t="s">
        <v>76</v>
      </c>
      <c r="H522" t="s">
        <v>46</v>
      </c>
      <c r="I522" s="3" t="s">
        <v>3173</v>
      </c>
      <c r="J522" s="3" t="s">
        <v>3518</v>
      </c>
      <c r="K522" s="3" t="s">
        <v>3525</v>
      </c>
      <c r="L522" s="3" t="s">
        <v>3966</v>
      </c>
      <c r="M522">
        <v>46.79</v>
      </c>
      <c r="N522">
        <v>11</v>
      </c>
      <c r="O522">
        <f>Supply_Chain[[#This Row],[Unit_Price]]*Supply_Chain[[#This Row],[Quantity]]</f>
        <v>514.68999999999994</v>
      </c>
      <c r="P522" t="s">
        <v>1611</v>
      </c>
      <c r="Q522" t="s">
        <v>48</v>
      </c>
      <c r="R522" t="s">
        <v>145</v>
      </c>
      <c r="S522" t="s">
        <v>70</v>
      </c>
      <c r="T522" t="s">
        <v>71</v>
      </c>
      <c r="U522" t="s">
        <v>101</v>
      </c>
      <c r="V522">
        <v>4661</v>
      </c>
      <c r="W522">
        <v>345</v>
      </c>
      <c r="X522">
        <v>28</v>
      </c>
      <c r="Y522">
        <v>1396.91</v>
      </c>
      <c r="Z522">
        <v>190.68</v>
      </c>
      <c r="AA522" s="9">
        <v>1587.59</v>
      </c>
      <c r="AB522" t="s">
        <v>52</v>
      </c>
      <c r="AC522">
        <v>0</v>
      </c>
      <c r="AD522">
        <v>84.07</v>
      </c>
      <c r="AE522">
        <v>309</v>
      </c>
      <c r="AF522">
        <v>296</v>
      </c>
      <c r="AG522" s="11">
        <f>Supply_Chain[[#This Row],[Total_Cost]]/Supply_Chain[[#This Row],[Stock_On_Hand]]</f>
        <v>0.34061145676893367</v>
      </c>
    </row>
    <row r="523" spans="1:33" x14ac:dyDescent="0.25">
      <c r="A523" t="s">
        <v>1612</v>
      </c>
      <c r="B523" t="s">
        <v>1613</v>
      </c>
      <c r="C523" s="1">
        <v>44646</v>
      </c>
      <c r="D523" s="1">
        <v>45432</v>
      </c>
      <c r="E523" t="s">
        <v>43</v>
      </c>
      <c r="F523" t="s">
        <v>64</v>
      </c>
      <c r="G523" t="s">
        <v>65</v>
      </c>
      <c r="H523" t="s">
        <v>33</v>
      </c>
      <c r="I523" s="3" t="s">
        <v>3174</v>
      </c>
      <c r="J523" s="3" t="s">
        <v>3518</v>
      </c>
      <c r="K523" s="3" t="s">
        <v>3522</v>
      </c>
      <c r="L523" s="3" t="s">
        <v>3807</v>
      </c>
      <c r="M523">
        <v>68.64</v>
      </c>
      <c r="N523">
        <v>73</v>
      </c>
      <c r="O523">
        <f>Supply_Chain[[#This Row],[Unit_Price]]*Supply_Chain[[#This Row],[Quantity]]</f>
        <v>5010.72</v>
      </c>
      <c r="P523" t="s">
        <v>618</v>
      </c>
      <c r="Q523" t="s">
        <v>48</v>
      </c>
      <c r="R523" t="s">
        <v>214</v>
      </c>
      <c r="S523" t="s">
        <v>70</v>
      </c>
      <c r="T523" t="s">
        <v>38</v>
      </c>
      <c r="U523" t="s">
        <v>440</v>
      </c>
      <c r="V523">
        <v>216</v>
      </c>
      <c r="W523">
        <v>242</v>
      </c>
      <c r="X523">
        <v>15</v>
      </c>
      <c r="Y523">
        <v>464.35</v>
      </c>
      <c r="Z523">
        <v>121.07</v>
      </c>
      <c r="AA523" s="9">
        <v>585.42000000000007</v>
      </c>
      <c r="AB523" t="s">
        <v>52</v>
      </c>
      <c r="AC523">
        <v>0</v>
      </c>
      <c r="AD523">
        <v>80.599999999999994</v>
      </c>
      <c r="AE523">
        <v>353</v>
      </c>
      <c r="AF523">
        <v>348</v>
      </c>
      <c r="AG523" s="11">
        <f>Supply_Chain[[#This Row],[Total_Cost]]/Supply_Chain[[#This Row],[Stock_On_Hand]]</f>
        <v>2.7102777777777782</v>
      </c>
    </row>
    <row r="524" spans="1:33" x14ac:dyDescent="0.25">
      <c r="A524" t="s">
        <v>1614</v>
      </c>
      <c r="B524" t="s">
        <v>1615</v>
      </c>
      <c r="C524" s="1">
        <v>45591</v>
      </c>
      <c r="D524" s="1">
        <v>43905</v>
      </c>
      <c r="E524" t="s">
        <v>43</v>
      </c>
      <c r="F524" t="s">
        <v>64</v>
      </c>
      <c r="G524" t="s">
        <v>45</v>
      </c>
      <c r="H524" t="s">
        <v>92</v>
      </c>
      <c r="I524" s="3" t="s">
        <v>3175</v>
      </c>
      <c r="J524" s="3" t="s">
        <v>3518</v>
      </c>
      <c r="K524" s="3" t="s">
        <v>3522</v>
      </c>
      <c r="L524" s="3" t="s">
        <v>3967</v>
      </c>
      <c r="M524">
        <v>410.55</v>
      </c>
      <c r="N524">
        <v>87</v>
      </c>
      <c r="O524">
        <f>Supply_Chain[[#This Row],[Unit_Price]]*Supply_Chain[[#This Row],[Quantity]]</f>
        <v>35717.85</v>
      </c>
      <c r="P524" t="s">
        <v>763</v>
      </c>
      <c r="Q524" t="s">
        <v>86</v>
      </c>
      <c r="R524" t="s">
        <v>480</v>
      </c>
      <c r="S524" t="s">
        <v>119</v>
      </c>
      <c r="T524" t="s">
        <v>60</v>
      </c>
      <c r="U524" t="s">
        <v>61</v>
      </c>
      <c r="V524">
        <v>3231</v>
      </c>
      <c r="W524">
        <v>267</v>
      </c>
      <c r="X524">
        <v>29</v>
      </c>
      <c r="Y524">
        <v>673.93</v>
      </c>
      <c r="Z524">
        <v>321</v>
      </c>
      <c r="AA524" s="9">
        <v>994.93</v>
      </c>
      <c r="AB524" t="s">
        <v>52</v>
      </c>
      <c r="AC524">
        <v>0</v>
      </c>
      <c r="AD524">
        <v>89.43</v>
      </c>
      <c r="AE524">
        <v>244</v>
      </c>
      <c r="AF524">
        <v>264</v>
      </c>
      <c r="AG524" s="11">
        <f>Supply_Chain[[#This Row],[Total_Cost]]/Supply_Chain[[#This Row],[Stock_On_Hand]]</f>
        <v>0.30793252862890746</v>
      </c>
    </row>
    <row r="525" spans="1:33" x14ac:dyDescent="0.25">
      <c r="A525" t="s">
        <v>1616</v>
      </c>
      <c r="B525" t="s">
        <v>1617</v>
      </c>
      <c r="C525" s="1">
        <v>45422</v>
      </c>
      <c r="D525" s="1">
        <v>44441</v>
      </c>
      <c r="E525" t="s">
        <v>43</v>
      </c>
      <c r="F525" t="s">
        <v>115</v>
      </c>
      <c r="G525" t="s">
        <v>83</v>
      </c>
      <c r="H525" t="s">
        <v>92</v>
      </c>
      <c r="I525" s="3" t="s">
        <v>3176</v>
      </c>
      <c r="J525" s="3" t="s">
        <v>3518</v>
      </c>
      <c r="K525" s="3" t="s">
        <v>3521</v>
      </c>
      <c r="L525" s="3" t="s">
        <v>3968</v>
      </c>
      <c r="M525">
        <v>248.01</v>
      </c>
      <c r="N525">
        <v>93</v>
      </c>
      <c r="O525">
        <f>Supply_Chain[[#This Row],[Unit_Price]]*Supply_Chain[[#This Row],[Quantity]]</f>
        <v>23064.93</v>
      </c>
      <c r="P525" t="s">
        <v>1585</v>
      </c>
      <c r="Q525" t="s">
        <v>110</v>
      </c>
      <c r="R525" t="s">
        <v>819</v>
      </c>
      <c r="S525" t="s">
        <v>50</v>
      </c>
      <c r="T525" t="s">
        <v>100</v>
      </c>
      <c r="U525" t="s">
        <v>146</v>
      </c>
      <c r="V525">
        <v>4709</v>
      </c>
      <c r="W525">
        <v>402</v>
      </c>
      <c r="X525">
        <v>2</v>
      </c>
      <c r="Y525">
        <v>1913.58</v>
      </c>
      <c r="Z525">
        <v>261.77</v>
      </c>
      <c r="AA525" s="9">
        <v>2175.35</v>
      </c>
      <c r="AB525" t="s">
        <v>52</v>
      </c>
      <c r="AC525">
        <v>0</v>
      </c>
      <c r="AD525">
        <v>79.900000000000006</v>
      </c>
      <c r="AE525">
        <v>490</v>
      </c>
      <c r="AF525">
        <v>482</v>
      </c>
      <c r="AG525" s="11">
        <f>Supply_Chain[[#This Row],[Total_Cost]]/Supply_Chain[[#This Row],[Stock_On_Hand]]</f>
        <v>0.46195582926311318</v>
      </c>
    </row>
    <row r="526" spans="1:33" x14ac:dyDescent="0.25">
      <c r="A526" t="s">
        <v>1618</v>
      </c>
      <c r="B526" t="s">
        <v>1619</v>
      </c>
      <c r="C526" s="1">
        <v>45000</v>
      </c>
      <c r="D526" s="1">
        <v>43973</v>
      </c>
      <c r="E526" t="s">
        <v>55</v>
      </c>
      <c r="F526" t="s">
        <v>64</v>
      </c>
      <c r="G526" t="s">
        <v>56</v>
      </c>
      <c r="H526" t="s">
        <v>33</v>
      </c>
      <c r="I526" s="3" t="s">
        <v>3177</v>
      </c>
      <c r="J526" s="3" t="s">
        <v>3518</v>
      </c>
      <c r="K526" s="3" t="s">
        <v>3535</v>
      </c>
      <c r="L526" s="3" t="s">
        <v>3969</v>
      </c>
      <c r="M526">
        <v>224.71</v>
      </c>
      <c r="N526">
        <v>40</v>
      </c>
      <c r="O526">
        <f>Supply_Chain[[#This Row],[Unit_Price]]*Supply_Chain[[#This Row],[Quantity]]</f>
        <v>8988.4</v>
      </c>
      <c r="P526" t="s">
        <v>366</v>
      </c>
      <c r="Q526" t="s">
        <v>68</v>
      </c>
      <c r="R526" t="s">
        <v>181</v>
      </c>
      <c r="S526" t="s">
        <v>70</v>
      </c>
      <c r="T526" t="s">
        <v>38</v>
      </c>
      <c r="U526" t="s">
        <v>615</v>
      </c>
      <c r="V526">
        <v>3512</v>
      </c>
      <c r="W526">
        <v>448</v>
      </c>
      <c r="X526">
        <v>8</v>
      </c>
      <c r="Y526">
        <v>628.76</v>
      </c>
      <c r="Z526">
        <v>381.04</v>
      </c>
      <c r="AA526" s="9">
        <v>1009.8</v>
      </c>
      <c r="AB526" t="s">
        <v>52</v>
      </c>
      <c r="AC526">
        <v>0</v>
      </c>
      <c r="AD526">
        <v>81.87</v>
      </c>
      <c r="AE526">
        <v>254</v>
      </c>
      <c r="AF526">
        <v>301</v>
      </c>
      <c r="AG526" s="11">
        <f>Supply_Chain[[#This Row],[Total_Cost]]/Supply_Chain[[#This Row],[Stock_On_Hand]]</f>
        <v>0.28752847380410024</v>
      </c>
    </row>
    <row r="527" spans="1:33" x14ac:dyDescent="0.25">
      <c r="A527" t="s">
        <v>1620</v>
      </c>
      <c r="B527" t="s">
        <v>1621</v>
      </c>
      <c r="C527" s="1">
        <v>44565</v>
      </c>
      <c r="D527" s="1">
        <v>45413</v>
      </c>
      <c r="E527" t="s">
        <v>43</v>
      </c>
      <c r="F527" t="s">
        <v>44</v>
      </c>
      <c r="G527" t="s">
        <v>32</v>
      </c>
      <c r="H527" t="s">
        <v>33</v>
      </c>
      <c r="I527" s="3" t="s">
        <v>3178</v>
      </c>
      <c r="J527" s="3" t="s">
        <v>3519</v>
      </c>
      <c r="K527" s="3" t="s">
        <v>3528</v>
      </c>
      <c r="L527" s="3" t="s">
        <v>3970</v>
      </c>
      <c r="M527">
        <v>319.88</v>
      </c>
      <c r="N527">
        <v>43</v>
      </c>
      <c r="O527">
        <f>Supply_Chain[[#This Row],[Unit_Price]]*Supply_Chain[[#This Row],[Quantity]]</f>
        <v>13754.84</v>
      </c>
      <c r="P527" t="s">
        <v>1622</v>
      </c>
      <c r="Q527" t="s">
        <v>86</v>
      </c>
      <c r="R527" t="s">
        <v>87</v>
      </c>
      <c r="S527" t="s">
        <v>50</v>
      </c>
      <c r="T527" t="s">
        <v>71</v>
      </c>
      <c r="U527" t="s">
        <v>168</v>
      </c>
      <c r="V527">
        <v>4374</v>
      </c>
      <c r="W527">
        <v>70</v>
      </c>
      <c r="X527">
        <v>10</v>
      </c>
      <c r="Y527">
        <v>1546.92</v>
      </c>
      <c r="Z527">
        <v>410.16</v>
      </c>
      <c r="AA527" s="9">
        <v>1957.08</v>
      </c>
      <c r="AB527" t="s">
        <v>52</v>
      </c>
      <c r="AC527">
        <v>0</v>
      </c>
      <c r="AD527">
        <v>70.62</v>
      </c>
      <c r="AE527">
        <v>77</v>
      </c>
      <c r="AF527">
        <v>61</v>
      </c>
      <c r="AG527" s="11">
        <f>Supply_Chain[[#This Row],[Total_Cost]]/Supply_Chain[[#This Row],[Stock_On_Hand]]</f>
        <v>0.44743484224965707</v>
      </c>
    </row>
    <row r="528" spans="1:33" x14ac:dyDescent="0.25">
      <c r="A528" t="s">
        <v>1623</v>
      </c>
      <c r="B528" t="s">
        <v>1624</v>
      </c>
      <c r="C528" s="1">
        <v>44687</v>
      </c>
      <c r="D528" s="1">
        <v>44337</v>
      </c>
      <c r="E528" t="s">
        <v>55</v>
      </c>
      <c r="F528" t="s">
        <v>75</v>
      </c>
      <c r="G528" t="s">
        <v>32</v>
      </c>
      <c r="H528" t="s">
        <v>46</v>
      </c>
      <c r="I528" s="3" t="s">
        <v>3179</v>
      </c>
      <c r="J528" s="3" t="s">
        <v>3518</v>
      </c>
      <c r="K528" s="3" t="s">
        <v>3521</v>
      </c>
      <c r="L528" s="3" t="s">
        <v>3971</v>
      </c>
      <c r="M528">
        <v>386.09</v>
      </c>
      <c r="N528">
        <v>92</v>
      </c>
      <c r="O528">
        <f>Supply_Chain[[#This Row],[Unit_Price]]*Supply_Chain[[#This Row],[Quantity]]</f>
        <v>35520.28</v>
      </c>
      <c r="P528" t="s">
        <v>1625</v>
      </c>
      <c r="Q528" t="s">
        <v>35</v>
      </c>
      <c r="R528" t="s">
        <v>145</v>
      </c>
      <c r="S528" t="s">
        <v>70</v>
      </c>
      <c r="T528" t="s">
        <v>60</v>
      </c>
      <c r="U528" t="s">
        <v>669</v>
      </c>
      <c r="V528">
        <v>3737</v>
      </c>
      <c r="W528">
        <v>55</v>
      </c>
      <c r="X528">
        <v>19</v>
      </c>
      <c r="Y528">
        <v>407.74</v>
      </c>
      <c r="Z528">
        <v>78.53</v>
      </c>
      <c r="AA528" s="9">
        <v>486.27</v>
      </c>
      <c r="AB528" t="s">
        <v>52</v>
      </c>
      <c r="AC528">
        <v>0</v>
      </c>
      <c r="AD528">
        <v>81.290000000000006</v>
      </c>
      <c r="AE528">
        <v>184</v>
      </c>
      <c r="AF528">
        <v>229</v>
      </c>
      <c r="AG528" s="11">
        <f>Supply_Chain[[#This Row],[Total_Cost]]/Supply_Chain[[#This Row],[Stock_On_Hand]]</f>
        <v>0.13012309339042011</v>
      </c>
    </row>
    <row r="529" spans="1:33" x14ac:dyDescent="0.25">
      <c r="A529" t="s">
        <v>1626</v>
      </c>
      <c r="B529" t="s">
        <v>1627</v>
      </c>
      <c r="C529" s="1">
        <v>44306</v>
      </c>
      <c r="D529" s="1">
        <v>44474</v>
      </c>
      <c r="E529" t="s">
        <v>30</v>
      </c>
      <c r="F529" t="s">
        <v>64</v>
      </c>
      <c r="G529" t="s">
        <v>56</v>
      </c>
      <c r="H529" t="s">
        <v>128</v>
      </c>
      <c r="I529" s="3" t="s">
        <v>3180</v>
      </c>
      <c r="J529" s="3" t="s">
        <v>84</v>
      </c>
      <c r="K529" s="3" t="s">
        <v>3529</v>
      </c>
      <c r="L529" s="3" t="s">
        <v>3972</v>
      </c>
      <c r="M529">
        <v>481.24</v>
      </c>
      <c r="N529">
        <v>29</v>
      </c>
      <c r="O529">
        <f>Supply_Chain[[#This Row],[Unit_Price]]*Supply_Chain[[#This Row],[Quantity]]</f>
        <v>13955.960000000001</v>
      </c>
      <c r="P529" t="s">
        <v>1628</v>
      </c>
      <c r="Q529" t="s">
        <v>110</v>
      </c>
      <c r="R529" t="s">
        <v>87</v>
      </c>
      <c r="S529" t="s">
        <v>37</v>
      </c>
      <c r="T529" t="s">
        <v>38</v>
      </c>
      <c r="U529" t="s">
        <v>440</v>
      </c>
      <c r="V529">
        <v>3630</v>
      </c>
      <c r="W529">
        <v>243</v>
      </c>
      <c r="X529">
        <v>7</v>
      </c>
      <c r="Y529">
        <v>1066.9100000000001</v>
      </c>
      <c r="Z529">
        <v>325.58</v>
      </c>
      <c r="AA529" s="9">
        <v>1392.49</v>
      </c>
      <c r="AB529" t="s">
        <v>52</v>
      </c>
      <c r="AC529">
        <v>0</v>
      </c>
      <c r="AD529">
        <v>98.37</v>
      </c>
      <c r="AE529">
        <v>198</v>
      </c>
      <c r="AF529">
        <v>159</v>
      </c>
      <c r="AG529" s="11">
        <f>Supply_Chain[[#This Row],[Total_Cost]]/Supply_Chain[[#This Row],[Stock_On_Hand]]</f>
        <v>0.38360606060606062</v>
      </c>
    </row>
    <row r="530" spans="1:33" x14ac:dyDescent="0.25">
      <c r="A530" t="s">
        <v>1629</v>
      </c>
      <c r="B530" t="s">
        <v>1630</v>
      </c>
      <c r="C530" s="1">
        <v>44413</v>
      </c>
      <c r="D530" s="1">
        <v>44550</v>
      </c>
      <c r="E530" t="s">
        <v>55</v>
      </c>
      <c r="F530" t="s">
        <v>44</v>
      </c>
      <c r="G530" t="s">
        <v>91</v>
      </c>
      <c r="H530" t="s">
        <v>166</v>
      </c>
      <c r="I530" s="3" t="s">
        <v>3181</v>
      </c>
      <c r="J530" s="3" t="s">
        <v>3518</v>
      </c>
      <c r="K530" s="3" t="s">
        <v>3533</v>
      </c>
      <c r="L530" s="3" t="s">
        <v>3973</v>
      </c>
      <c r="M530">
        <v>41.7</v>
      </c>
      <c r="N530">
        <v>93</v>
      </c>
      <c r="O530">
        <f>Supply_Chain[[#This Row],[Unit_Price]]*Supply_Chain[[#This Row],[Quantity]]</f>
        <v>3878.1000000000004</v>
      </c>
      <c r="P530" t="s">
        <v>1408</v>
      </c>
      <c r="Q530" t="s">
        <v>48</v>
      </c>
      <c r="R530" t="s">
        <v>154</v>
      </c>
      <c r="S530" t="s">
        <v>50</v>
      </c>
      <c r="T530" t="s">
        <v>71</v>
      </c>
      <c r="U530" t="s">
        <v>215</v>
      </c>
      <c r="V530">
        <v>3258</v>
      </c>
      <c r="W530">
        <v>64</v>
      </c>
      <c r="X530">
        <v>14</v>
      </c>
      <c r="Y530">
        <v>1318.52</v>
      </c>
      <c r="Z530">
        <v>464.98</v>
      </c>
      <c r="AA530" s="9">
        <v>1783.5</v>
      </c>
      <c r="AB530" t="s">
        <v>52</v>
      </c>
      <c r="AC530">
        <v>0</v>
      </c>
      <c r="AD530">
        <v>81.150000000000006</v>
      </c>
      <c r="AE530">
        <v>213</v>
      </c>
      <c r="AF530">
        <v>180</v>
      </c>
      <c r="AG530" s="11">
        <f>Supply_Chain[[#This Row],[Total_Cost]]/Supply_Chain[[#This Row],[Stock_On_Hand]]</f>
        <v>0.54742173112338854</v>
      </c>
    </row>
    <row r="531" spans="1:33" x14ac:dyDescent="0.25">
      <c r="A531" t="s">
        <v>1631</v>
      </c>
      <c r="B531" t="s">
        <v>1632</v>
      </c>
      <c r="C531" s="1">
        <v>44605</v>
      </c>
      <c r="D531" s="1">
        <v>45460</v>
      </c>
      <c r="E531" t="s">
        <v>43</v>
      </c>
      <c r="F531" t="s">
        <v>75</v>
      </c>
      <c r="G531" t="s">
        <v>91</v>
      </c>
      <c r="H531" t="s">
        <v>166</v>
      </c>
      <c r="I531" s="3" t="s">
        <v>3182</v>
      </c>
      <c r="J531" s="3" t="s">
        <v>3518</v>
      </c>
      <c r="K531" s="3" t="s">
        <v>3521</v>
      </c>
      <c r="L531" s="3" t="s">
        <v>3974</v>
      </c>
      <c r="M531">
        <v>178.03</v>
      </c>
      <c r="N531">
        <v>57</v>
      </c>
      <c r="O531">
        <f>Supply_Chain[[#This Row],[Unit_Price]]*Supply_Chain[[#This Row],[Quantity]]</f>
        <v>10147.710000000001</v>
      </c>
      <c r="P531" t="s">
        <v>1633</v>
      </c>
      <c r="Q531" t="s">
        <v>35</v>
      </c>
      <c r="R531" t="s">
        <v>327</v>
      </c>
      <c r="S531" t="s">
        <v>37</v>
      </c>
      <c r="T531" t="s">
        <v>38</v>
      </c>
      <c r="U531" t="s">
        <v>302</v>
      </c>
      <c r="V531">
        <v>859</v>
      </c>
      <c r="W531">
        <v>414</v>
      </c>
      <c r="X531">
        <v>16</v>
      </c>
      <c r="Y531">
        <v>945.05</v>
      </c>
      <c r="Z531">
        <v>257.05</v>
      </c>
      <c r="AA531" s="9">
        <v>1202.0999999999999</v>
      </c>
      <c r="AB531" t="s">
        <v>52</v>
      </c>
      <c r="AC531">
        <v>0</v>
      </c>
      <c r="AD531">
        <v>98.5</v>
      </c>
      <c r="AE531">
        <v>391</v>
      </c>
      <c r="AF531">
        <v>439</v>
      </c>
      <c r="AG531" s="11">
        <f>Supply_Chain[[#This Row],[Total_Cost]]/Supply_Chain[[#This Row],[Stock_On_Hand]]</f>
        <v>1.3994179278230499</v>
      </c>
    </row>
    <row r="532" spans="1:33" x14ac:dyDescent="0.25">
      <c r="A532" t="s">
        <v>1634</v>
      </c>
      <c r="B532" t="s">
        <v>1635</v>
      </c>
      <c r="C532" s="1">
        <v>44887</v>
      </c>
      <c r="D532" s="1">
        <v>44128</v>
      </c>
      <c r="E532" t="s">
        <v>30</v>
      </c>
      <c r="F532" t="s">
        <v>115</v>
      </c>
      <c r="G532" t="s">
        <v>76</v>
      </c>
      <c r="H532" t="s">
        <v>166</v>
      </c>
      <c r="I532" s="3" t="s">
        <v>3183</v>
      </c>
      <c r="J532" s="3" t="s">
        <v>84</v>
      </c>
      <c r="K532" s="3" t="s">
        <v>3531</v>
      </c>
      <c r="L532" s="3" t="s">
        <v>3975</v>
      </c>
      <c r="M532">
        <v>249.47</v>
      </c>
      <c r="N532">
        <v>90</v>
      </c>
      <c r="O532">
        <f>Supply_Chain[[#This Row],[Unit_Price]]*Supply_Chain[[#This Row],[Quantity]]</f>
        <v>22452.3</v>
      </c>
      <c r="P532" t="s">
        <v>1105</v>
      </c>
      <c r="Q532" t="s">
        <v>110</v>
      </c>
      <c r="R532" t="s">
        <v>277</v>
      </c>
      <c r="S532" t="s">
        <v>119</v>
      </c>
      <c r="T532" t="s">
        <v>71</v>
      </c>
      <c r="U532" t="s">
        <v>615</v>
      </c>
      <c r="V532">
        <v>1496</v>
      </c>
      <c r="W532">
        <v>486</v>
      </c>
      <c r="X532">
        <v>6</v>
      </c>
      <c r="Y532">
        <v>1092.22</v>
      </c>
      <c r="Z532">
        <v>289.64999999999998</v>
      </c>
      <c r="AA532" s="9">
        <v>1381.87</v>
      </c>
      <c r="AB532" t="s">
        <v>52</v>
      </c>
      <c r="AC532">
        <v>0</v>
      </c>
      <c r="AD532">
        <v>98.87</v>
      </c>
      <c r="AE532">
        <v>468</v>
      </c>
      <c r="AF532">
        <v>509</v>
      </c>
      <c r="AG532" s="11">
        <f>Supply_Chain[[#This Row],[Total_Cost]]/Supply_Chain[[#This Row],[Stock_On_Hand]]</f>
        <v>0.92370989304812823</v>
      </c>
    </row>
    <row r="533" spans="1:33" x14ac:dyDescent="0.25">
      <c r="A533" t="s">
        <v>1636</v>
      </c>
      <c r="B533" t="s">
        <v>1637</v>
      </c>
      <c r="C533" s="1">
        <v>45512</v>
      </c>
      <c r="D533" s="1">
        <v>45506</v>
      </c>
      <c r="E533" t="s">
        <v>55</v>
      </c>
      <c r="F533" t="s">
        <v>31</v>
      </c>
      <c r="G533" t="s">
        <v>56</v>
      </c>
      <c r="H533" t="s">
        <v>66</v>
      </c>
      <c r="I533" s="3" t="s">
        <v>3184</v>
      </c>
      <c r="J533" s="3" t="s">
        <v>84</v>
      </c>
      <c r="K533" s="3" t="s">
        <v>3526</v>
      </c>
      <c r="L533" s="3" t="s">
        <v>3976</v>
      </c>
      <c r="M533">
        <v>277.82</v>
      </c>
      <c r="N533">
        <v>79</v>
      </c>
      <c r="O533">
        <f>Supply_Chain[[#This Row],[Unit_Price]]*Supply_Chain[[#This Row],[Quantity]]</f>
        <v>21947.78</v>
      </c>
      <c r="P533" t="s">
        <v>1638</v>
      </c>
      <c r="Q533" t="s">
        <v>35</v>
      </c>
      <c r="R533" t="s">
        <v>301</v>
      </c>
      <c r="S533" t="s">
        <v>50</v>
      </c>
      <c r="T533" t="s">
        <v>38</v>
      </c>
      <c r="U533" t="s">
        <v>120</v>
      </c>
      <c r="V533">
        <v>4467</v>
      </c>
      <c r="W533">
        <v>276</v>
      </c>
      <c r="X533">
        <v>20</v>
      </c>
      <c r="Y533">
        <v>120.24</v>
      </c>
      <c r="Z533">
        <v>243.77</v>
      </c>
      <c r="AA533" s="9">
        <v>364.01</v>
      </c>
      <c r="AB533" t="s">
        <v>52</v>
      </c>
      <c r="AC533">
        <v>0</v>
      </c>
      <c r="AD533">
        <v>78.260000000000005</v>
      </c>
      <c r="AE533">
        <v>222</v>
      </c>
      <c r="AF533">
        <v>213</v>
      </c>
      <c r="AG533" s="11">
        <f>Supply_Chain[[#This Row],[Total_Cost]]/Supply_Chain[[#This Row],[Stock_On_Hand]]</f>
        <v>8.1488694873516898E-2</v>
      </c>
    </row>
    <row r="534" spans="1:33" x14ac:dyDescent="0.25">
      <c r="A534" t="s">
        <v>1639</v>
      </c>
      <c r="B534" t="s">
        <v>1640</v>
      </c>
      <c r="C534" s="1">
        <v>44929</v>
      </c>
      <c r="D534" s="1">
        <v>45593</v>
      </c>
      <c r="E534" t="s">
        <v>55</v>
      </c>
      <c r="F534" t="s">
        <v>64</v>
      </c>
      <c r="G534" t="s">
        <v>56</v>
      </c>
      <c r="H534" t="s">
        <v>46</v>
      </c>
      <c r="I534" s="3" t="s">
        <v>3185</v>
      </c>
      <c r="J534" s="3" t="s">
        <v>84</v>
      </c>
      <c r="K534" s="3" t="s">
        <v>3526</v>
      </c>
      <c r="L534" s="3" t="s">
        <v>3977</v>
      </c>
      <c r="M534">
        <v>364.94</v>
      </c>
      <c r="N534">
        <v>93</v>
      </c>
      <c r="O534">
        <f>Supply_Chain[[#This Row],[Unit_Price]]*Supply_Chain[[#This Row],[Quantity]]</f>
        <v>33939.42</v>
      </c>
      <c r="P534" t="s">
        <v>854</v>
      </c>
      <c r="Q534" t="s">
        <v>48</v>
      </c>
      <c r="R534" t="s">
        <v>236</v>
      </c>
      <c r="S534" t="s">
        <v>70</v>
      </c>
      <c r="T534" t="s">
        <v>38</v>
      </c>
      <c r="U534" t="s">
        <v>241</v>
      </c>
      <c r="V534">
        <v>4825</v>
      </c>
      <c r="W534">
        <v>445</v>
      </c>
      <c r="X534">
        <v>21</v>
      </c>
      <c r="Y534">
        <v>639.24</v>
      </c>
      <c r="Z534">
        <v>467.98</v>
      </c>
      <c r="AA534" s="9">
        <v>1107.22</v>
      </c>
      <c r="AB534" t="s">
        <v>52</v>
      </c>
      <c r="AC534">
        <v>0</v>
      </c>
      <c r="AD534">
        <v>96.7</v>
      </c>
      <c r="AE534">
        <v>495</v>
      </c>
      <c r="AF534">
        <v>506</v>
      </c>
      <c r="AG534" s="11">
        <f>Supply_Chain[[#This Row],[Total_Cost]]/Supply_Chain[[#This Row],[Stock_On_Hand]]</f>
        <v>0.22947564766839379</v>
      </c>
    </row>
    <row r="535" spans="1:33" x14ac:dyDescent="0.25">
      <c r="A535" t="s">
        <v>1641</v>
      </c>
      <c r="B535" t="s">
        <v>1642</v>
      </c>
      <c r="C535" s="1">
        <v>44448</v>
      </c>
      <c r="D535" s="1">
        <v>45538</v>
      </c>
      <c r="E535" t="s">
        <v>55</v>
      </c>
      <c r="F535" t="s">
        <v>64</v>
      </c>
      <c r="G535" t="s">
        <v>45</v>
      </c>
      <c r="H535" t="s">
        <v>46</v>
      </c>
      <c r="I535" s="3" t="s">
        <v>3133</v>
      </c>
      <c r="J535" s="3" t="s">
        <v>3518</v>
      </c>
      <c r="K535" s="3" t="s">
        <v>3525</v>
      </c>
      <c r="L535" s="3" t="s">
        <v>3928</v>
      </c>
      <c r="M535">
        <v>156.07</v>
      </c>
      <c r="N535">
        <v>23</v>
      </c>
      <c r="O535">
        <f>Supply_Chain[[#This Row],[Unit_Price]]*Supply_Chain[[#This Row],[Quantity]]</f>
        <v>3589.6099999999997</v>
      </c>
      <c r="P535" t="s">
        <v>1643</v>
      </c>
      <c r="Q535" t="s">
        <v>68</v>
      </c>
      <c r="R535" t="s">
        <v>419</v>
      </c>
      <c r="S535" t="s">
        <v>50</v>
      </c>
      <c r="T535" t="s">
        <v>79</v>
      </c>
      <c r="U535" t="s">
        <v>232</v>
      </c>
      <c r="V535">
        <v>151</v>
      </c>
      <c r="W535">
        <v>206</v>
      </c>
      <c r="X535">
        <v>9</v>
      </c>
      <c r="Y535">
        <v>392.77</v>
      </c>
      <c r="Z535">
        <v>109.12</v>
      </c>
      <c r="AA535" s="9">
        <v>501.89</v>
      </c>
      <c r="AB535" t="s">
        <v>52</v>
      </c>
      <c r="AC535">
        <v>0</v>
      </c>
      <c r="AD535">
        <v>74.42</v>
      </c>
      <c r="AE535">
        <v>437</v>
      </c>
      <c r="AF535">
        <v>478</v>
      </c>
      <c r="AG535" s="11">
        <f>Supply_Chain[[#This Row],[Total_Cost]]/Supply_Chain[[#This Row],[Stock_On_Hand]]</f>
        <v>3.3237748344370859</v>
      </c>
    </row>
    <row r="536" spans="1:33" x14ac:dyDescent="0.25">
      <c r="A536" t="s">
        <v>1644</v>
      </c>
      <c r="B536" t="s">
        <v>1645</v>
      </c>
      <c r="C536" s="1">
        <v>45030</v>
      </c>
      <c r="D536" s="1">
        <v>45473</v>
      </c>
      <c r="E536" t="s">
        <v>30</v>
      </c>
      <c r="F536" t="s">
        <v>31</v>
      </c>
      <c r="G536" t="s">
        <v>83</v>
      </c>
      <c r="H536" t="s">
        <v>33</v>
      </c>
      <c r="I536" s="3" t="s">
        <v>2794</v>
      </c>
      <c r="J536" s="3" t="s">
        <v>3518</v>
      </c>
      <c r="K536" s="3" t="s">
        <v>3521</v>
      </c>
      <c r="L536" s="3" t="s">
        <v>3593</v>
      </c>
      <c r="M536">
        <v>155.88</v>
      </c>
      <c r="N536">
        <v>60</v>
      </c>
      <c r="O536">
        <f>Supply_Chain[[#This Row],[Unit_Price]]*Supply_Chain[[#This Row],[Quantity]]</f>
        <v>9352.7999999999993</v>
      </c>
      <c r="P536" t="s">
        <v>924</v>
      </c>
      <c r="Q536" t="s">
        <v>48</v>
      </c>
      <c r="R536" t="s">
        <v>145</v>
      </c>
      <c r="S536" t="s">
        <v>37</v>
      </c>
      <c r="T536" t="s">
        <v>38</v>
      </c>
      <c r="U536" t="s">
        <v>249</v>
      </c>
      <c r="V536">
        <v>422</v>
      </c>
      <c r="W536">
        <v>401</v>
      </c>
      <c r="X536">
        <v>26</v>
      </c>
      <c r="Y536">
        <v>573.34</v>
      </c>
      <c r="Z536">
        <v>147.33000000000001</v>
      </c>
      <c r="AA536" s="9">
        <v>720.67000000000007</v>
      </c>
      <c r="AB536" t="s">
        <v>52</v>
      </c>
      <c r="AC536">
        <v>0</v>
      </c>
      <c r="AD536">
        <v>89.32</v>
      </c>
      <c r="AE536">
        <v>452</v>
      </c>
      <c r="AF536">
        <v>433</v>
      </c>
      <c r="AG536" s="11">
        <f>Supply_Chain[[#This Row],[Total_Cost]]/Supply_Chain[[#This Row],[Stock_On_Hand]]</f>
        <v>1.7077488151658768</v>
      </c>
    </row>
    <row r="537" spans="1:33" x14ac:dyDescent="0.25">
      <c r="A537" t="s">
        <v>1646</v>
      </c>
      <c r="B537" t="s">
        <v>1647</v>
      </c>
      <c r="C537" s="1">
        <v>44111</v>
      </c>
      <c r="D537" s="1">
        <v>44797</v>
      </c>
      <c r="E537" t="s">
        <v>55</v>
      </c>
      <c r="F537" t="s">
        <v>64</v>
      </c>
      <c r="G537" t="s">
        <v>45</v>
      </c>
      <c r="H537" t="s">
        <v>166</v>
      </c>
      <c r="I537" s="3" t="s">
        <v>3186</v>
      </c>
      <c r="J537" s="3" t="s">
        <v>3518</v>
      </c>
      <c r="K537" s="3" t="s">
        <v>3524</v>
      </c>
      <c r="L537" s="3" t="s">
        <v>3978</v>
      </c>
      <c r="M537">
        <v>129.77000000000001</v>
      </c>
      <c r="N537">
        <v>56</v>
      </c>
      <c r="O537">
        <f>Supply_Chain[[#This Row],[Unit_Price]]*Supply_Chain[[#This Row],[Quantity]]</f>
        <v>7267.1200000000008</v>
      </c>
      <c r="P537" t="s">
        <v>1576</v>
      </c>
      <c r="Q537" t="s">
        <v>86</v>
      </c>
      <c r="R537" t="s">
        <v>214</v>
      </c>
      <c r="S537" t="s">
        <v>50</v>
      </c>
      <c r="T537" t="s">
        <v>100</v>
      </c>
      <c r="U537" t="s">
        <v>338</v>
      </c>
      <c r="V537">
        <v>58</v>
      </c>
      <c r="W537">
        <v>110</v>
      </c>
      <c r="X537">
        <v>16</v>
      </c>
      <c r="Y537">
        <v>229.33</v>
      </c>
      <c r="Z537">
        <v>205.34</v>
      </c>
      <c r="AA537" s="9">
        <v>434.67</v>
      </c>
      <c r="AB537" t="s">
        <v>52</v>
      </c>
      <c r="AC537">
        <v>0</v>
      </c>
      <c r="AD537">
        <v>76.48</v>
      </c>
      <c r="AE537">
        <v>301</v>
      </c>
      <c r="AF537">
        <v>315</v>
      </c>
      <c r="AG537" s="11">
        <f>Supply_Chain[[#This Row],[Total_Cost]]/Supply_Chain[[#This Row],[Stock_On_Hand]]</f>
        <v>7.4943103448275865</v>
      </c>
    </row>
    <row r="538" spans="1:33" x14ac:dyDescent="0.25">
      <c r="A538" t="s">
        <v>1648</v>
      </c>
      <c r="B538" t="s">
        <v>1503</v>
      </c>
      <c r="C538" s="1">
        <v>45180</v>
      </c>
      <c r="D538" s="1">
        <v>45640</v>
      </c>
      <c r="E538" t="s">
        <v>55</v>
      </c>
      <c r="F538" t="s">
        <v>115</v>
      </c>
      <c r="G538" t="s">
        <v>83</v>
      </c>
      <c r="H538" t="s">
        <v>166</v>
      </c>
      <c r="I538" s="3" t="s">
        <v>3187</v>
      </c>
      <c r="J538" s="3" t="s">
        <v>3519</v>
      </c>
      <c r="K538" s="3" t="s">
        <v>3528</v>
      </c>
      <c r="L538" s="3" t="s">
        <v>3979</v>
      </c>
      <c r="M538">
        <v>187.55</v>
      </c>
      <c r="N538">
        <v>80</v>
      </c>
      <c r="O538">
        <f>Supply_Chain[[#This Row],[Unit_Price]]*Supply_Chain[[#This Row],[Quantity]]</f>
        <v>15004</v>
      </c>
      <c r="P538" t="s">
        <v>818</v>
      </c>
      <c r="Q538" t="s">
        <v>110</v>
      </c>
      <c r="R538" t="s">
        <v>118</v>
      </c>
      <c r="S538" t="s">
        <v>119</v>
      </c>
      <c r="T538" t="s">
        <v>100</v>
      </c>
      <c r="U538" t="s">
        <v>223</v>
      </c>
      <c r="V538">
        <v>339</v>
      </c>
      <c r="W538">
        <v>80</v>
      </c>
      <c r="X538">
        <v>6</v>
      </c>
      <c r="Y538">
        <v>1498.36</v>
      </c>
      <c r="Z538">
        <v>30.38</v>
      </c>
      <c r="AA538" s="9">
        <v>1528.74</v>
      </c>
      <c r="AB538" t="s">
        <v>52</v>
      </c>
      <c r="AC538">
        <v>0</v>
      </c>
      <c r="AD538">
        <v>71.95</v>
      </c>
      <c r="AE538">
        <v>366</v>
      </c>
      <c r="AF538">
        <v>375</v>
      </c>
      <c r="AG538" s="11">
        <f>Supply_Chain[[#This Row],[Total_Cost]]/Supply_Chain[[#This Row],[Stock_On_Hand]]</f>
        <v>4.5095575221238935</v>
      </c>
    </row>
    <row r="539" spans="1:33" x14ac:dyDescent="0.25">
      <c r="A539" t="s">
        <v>1649</v>
      </c>
      <c r="B539" t="s">
        <v>1650</v>
      </c>
      <c r="C539" s="1">
        <v>45195</v>
      </c>
      <c r="D539" s="1">
        <v>45593</v>
      </c>
      <c r="E539" t="s">
        <v>55</v>
      </c>
      <c r="F539" t="s">
        <v>115</v>
      </c>
      <c r="G539" t="s">
        <v>65</v>
      </c>
      <c r="H539" t="s">
        <v>66</v>
      </c>
      <c r="I539" s="3" t="s">
        <v>3188</v>
      </c>
      <c r="J539" s="3" t="s">
        <v>3519</v>
      </c>
      <c r="K539" s="3" t="s">
        <v>3528</v>
      </c>
      <c r="L539" s="3" t="s">
        <v>3980</v>
      </c>
      <c r="M539">
        <v>191.76</v>
      </c>
      <c r="N539">
        <v>91</v>
      </c>
      <c r="O539">
        <f>Supply_Chain[[#This Row],[Unit_Price]]*Supply_Chain[[#This Row],[Quantity]]</f>
        <v>17450.16</v>
      </c>
      <c r="P539" t="s">
        <v>1383</v>
      </c>
      <c r="Q539" t="s">
        <v>110</v>
      </c>
      <c r="R539" t="s">
        <v>290</v>
      </c>
      <c r="S539" t="s">
        <v>50</v>
      </c>
      <c r="T539" t="s">
        <v>38</v>
      </c>
      <c r="U539" t="s">
        <v>770</v>
      </c>
      <c r="V539">
        <v>1014</v>
      </c>
      <c r="W539">
        <v>91</v>
      </c>
      <c r="X539">
        <v>7</v>
      </c>
      <c r="Y539">
        <v>762.61</v>
      </c>
      <c r="Z539">
        <v>354.78</v>
      </c>
      <c r="AA539" s="9">
        <v>1117.3900000000001</v>
      </c>
      <c r="AB539" t="s">
        <v>52</v>
      </c>
      <c r="AC539">
        <v>0</v>
      </c>
      <c r="AD539">
        <v>95.74</v>
      </c>
      <c r="AE539">
        <v>90</v>
      </c>
      <c r="AF539">
        <v>119</v>
      </c>
      <c r="AG539" s="11">
        <f>Supply_Chain[[#This Row],[Total_Cost]]/Supply_Chain[[#This Row],[Stock_On_Hand]]</f>
        <v>1.1019625246548324</v>
      </c>
    </row>
    <row r="540" spans="1:33" x14ac:dyDescent="0.25">
      <c r="A540" t="s">
        <v>1651</v>
      </c>
      <c r="B540" t="s">
        <v>1652</v>
      </c>
      <c r="C540" s="1">
        <v>44642</v>
      </c>
      <c r="D540" s="1">
        <v>44012</v>
      </c>
      <c r="E540" t="s">
        <v>55</v>
      </c>
      <c r="F540" t="s">
        <v>44</v>
      </c>
      <c r="G540" t="s">
        <v>65</v>
      </c>
      <c r="H540" t="s">
        <v>57</v>
      </c>
      <c r="I540" s="3" t="s">
        <v>3189</v>
      </c>
      <c r="J540" s="3" t="s">
        <v>84</v>
      </c>
      <c r="K540" s="3" t="s">
        <v>3534</v>
      </c>
      <c r="L540" s="3" t="s">
        <v>3981</v>
      </c>
      <c r="M540">
        <v>214.07</v>
      </c>
      <c r="N540">
        <v>58</v>
      </c>
      <c r="O540">
        <f>Supply_Chain[[#This Row],[Unit_Price]]*Supply_Chain[[#This Row],[Quantity]]</f>
        <v>12416.06</v>
      </c>
      <c r="P540" t="s">
        <v>1653</v>
      </c>
      <c r="Q540" t="s">
        <v>35</v>
      </c>
      <c r="R540" t="s">
        <v>172</v>
      </c>
      <c r="S540" t="s">
        <v>37</v>
      </c>
      <c r="T540" t="s">
        <v>100</v>
      </c>
      <c r="U540" t="s">
        <v>241</v>
      </c>
      <c r="V540">
        <v>850</v>
      </c>
      <c r="W540">
        <v>189</v>
      </c>
      <c r="X540">
        <v>5</v>
      </c>
      <c r="Y540">
        <v>1949.72</v>
      </c>
      <c r="Z540">
        <v>248.79</v>
      </c>
      <c r="AA540" s="9">
        <v>2198.5100000000002</v>
      </c>
      <c r="AB540" t="s">
        <v>52</v>
      </c>
      <c r="AC540">
        <v>0</v>
      </c>
      <c r="AD540">
        <v>90.25</v>
      </c>
      <c r="AE540">
        <v>67</v>
      </c>
      <c r="AF540">
        <v>31</v>
      </c>
      <c r="AG540" s="11">
        <f>Supply_Chain[[#This Row],[Total_Cost]]/Supply_Chain[[#This Row],[Stock_On_Hand]]</f>
        <v>2.5864823529411769</v>
      </c>
    </row>
    <row r="541" spans="1:33" x14ac:dyDescent="0.25">
      <c r="A541" t="s">
        <v>1654</v>
      </c>
      <c r="B541" t="s">
        <v>1655</v>
      </c>
      <c r="C541" s="1">
        <v>45055</v>
      </c>
      <c r="D541" s="1">
        <v>44017</v>
      </c>
      <c r="E541" t="s">
        <v>43</v>
      </c>
      <c r="F541" t="s">
        <v>115</v>
      </c>
      <c r="G541" t="s">
        <v>65</v>
      </c>
      <c r="H541" t="s">
        <v>128</v>
      </c>
      <c r="I541" s="3" t="s">
        <v>3190</v>
      </c>
      <c r="J541" s="3" t="s">
        <v>3518</v>
      </c>
      <c r="K541" s="3" t="s">
        <v>3522</v>
      </c>
      <c r="L541" s="3" t="s">
        <v>3982</v>
      </c>
      <c r="M541">
        <v>258.83999999999997</v>
      </c>
      <c r="N541">
        <v>42</v>
      </c>
      <c r="O541">
        <f>Supply_Chain[[#This Row],[Unit_Price]]*Supply_Chain[[#This Row],[Quantity]]</f>
        <v>10871.279999999999</v>
      </c>
      <c r="P541" t="s">
        <v>1656</v>
      </c>
      <c r="Q541" t="s">
        <v>86</v>
      </c>
      <c r="R541" t="s">
        <v>195</v>
      </c>
      <c r="S541" t="s">
        <v>37</v>
      </c>
      <c r="T541" t="s">
        <v>79</v>
      </c>
      <c r="U541" t="s">
        <v>146</v>
      </c>
      <c r="V541">
        <v>2769</v>
      </c>
      <c r="W541">
        <v>329</v>
      </c>
      <c r="X541">
        <v>24</v>
      </c>
      <c r="Y541">
        <v>1207.3900000000001</v>
      </c>
      <c r="Z541">
        <v>146.71</v>
      </c>
      <c r="AA541" s="9">
        <v>1354.1</v>
      </c>
      <c r="AB541" t="s">
        <v>52</v>
      </c>
      <c r="AC541">
        <v>0</v>
      </c>
      <c r="AD541">
        <v>84.24</v>
      </c>
      <c r="AE541">
        <v>154</v>
      </c>
      <c r="AF541">
        <v>167</v>
      </c>
      <c r="AG541" s="11">
        <f>Supply_Chain[[#This Row],[Total_Cost]]/Supply_Chain[[#This Row],[Stock_On_Hand]]</f>
        <v>0.48902130733116644</v>
      </c>
    </row>
    <row r="542" spans="1:33" x14ac:dyDescent="0.25">
      <c r="A542" t="s">
        <v>1657</v>
      </c>
      <c r="B542" t="s">
        <v>1658</v>
      </c>
      <c r="C542" s="1">
        <v>43980</v>
      </c>
      <c r="D542" s="1">
        <v>45028</v>
      </c>
      <c r="E542" t="s">
        <v>30</v>
      </c>
      <c r="F542" t="s">
        <v>75</v>
      </c>
      <c r="G542" t="s">
        <v>45</v>
      </c>
      <c r="H542" t="s">
        <v>92</v>
      </c>
      <c r="I542" s="3" t="s">
        <v>3191</v>
      </c>
      <c r="J542" s="3" t="s">
        <v>3518</v>
      </c>
      <c r="K542" s="3" t="s">
        <v>3524</v>
      </c>
      <c r="L542" s="3" t="s">
        <v>3983</v>
      </c>
      <c r="M542">
        <v>326.8</v>
      </c>
      <c r="N542">
        <v>34</v>
      </c>
      <c r="O542">
        <f>Supply_Chain[[#This Row],[Unit_Price]]*Supply_Chain[[#This Row],[Quantity]]</f>
        <v>11111.2</v>
      </c>
      <c r="P542" t="s">
        <v>1433</v>
      </c>
      <c r="Q542" t="s">
        <v>68</v>
      </c>
      <c r="R542" t="s">
        <v>369</v>
      </c>
      <c r="S542" t="s">
        <v>37</v>
      </c>
      <c r="T542" t="s">
        <v>79</v>
      </c>
      <c r="U542" t="s">
        <v>146</v>
      </c>
      <c r="V542">
        <v>429</v>
      </c>
      <c r="W542">
        <v>93</v>
      </c>
      <c r="X542">
        <v>22</v>
      </c>
      <c r="Y542">
        <v>220.34</v>
      </c>
      <c r="Z542">
        <v>188.26</v>
      </c>
      <c r="AA542" s="9">
        <v>408.6</v>
      </c>
      <c r="AB542" t="s">
        <v>52</v>
      </c>
      <c r="AC542">
        <v>0</v>
      </c>
      <c r="AD542">
        <v>82.24</v>
      </c>
      <c r="AE542">
        <v>198</v>
      </c>
      <c r="AF542">
        <v>193</v>
      </c>
      <c r="AG542" s="11">
        <f>Supply_Chain[[#This Row],[Total_Cost]]/Supply_Chain[[#This Row],[Stock_On_Hand]]</f>
        <v>0.95244755244755253</v>
      </c>
    </row>
    <row r="543" spans="1:33" x14ac:dyDescent="0.25">
      <c r="A543" t="s">
        <v>1659</v>
      </c>
      <c r="B543" t="s">
        <v>1660</v>
      </c>
      <c r="C543" s="1">
        <v>45323</v>
      </c>
      <c r="D543" s="1">
        <v>45321</v>
      </c>
      <c r="E543" t="s">
        <v>55</v>
      </c>
      <c r="F543" t="s">
        <v>31</v>
      </c>
      <c r="G543" t="s">
        <v>32</v>
      </c>
      <c r="H543" t="s">
        <v>33</v>
      </c>
      <c r="I543" s="3" t="s">
        <v>3192</v>
      </c>
      <c r="J543" s="3" t="s">
        <v>3519</v>
      </c>
      <c r="K543" s="3" t="s">
        <v>3530</v>
      </c>
      <c r="L543" s="3" t="s">
        <v>3984</v>
      </c>
      <c r="M543">
        <v>198.29</v>
      </c>
      <c r="N543">
        <v>26</v>
      </c>
      <c r="O543">
        <f>Supply_Chain[[#This Row],[Unit_Price]]*Supply_Chain[[#This Row],[Quantity]]</f>
        <v>5155.54</v>
      </c>
      <c r="P543" t="s">
        <v>472</v>
      </c>
      <c r="Q543" t="s">
        <v>68</v>
      </c>
      <c r="R543" t="s">
        <v>369</v>
      </c>
      <c r="S543" t="s">
        <v>37</v>
      </c>
      <c r="T543" t="s">
        <v>71</v>
      </c>
      <c r="U543" t="s">
        <v>436</v>
      </c>
      <c r="V543">
        <v>1628</v>
      </c>
      <c r="W543">
        <v>111</v>
      </c>
      <c r="X543">
        <v>1</v>
      </c>
      <c r="Y543">
        <v>699.5</v>
      </c>
      <c r="Z543">
        <v>280.06</v>
      </c>
      <c r="AA543" s="9">
        <v>979.56</v>
      </c>
      <c r="AB543" t="s">
        <v>52</v>
      </c>
      <c r="AC543">
        <v>0</v>
      </c>
      <c r="AD543">
        <v>78.61</v>
      </c>
      <c r="AE543">
        <v>142</v>
      </c>
      <c r="AF543">
        <v>110</v>
      </c>
      <c r="AG543" s="11">
        <f>Supply_Chain[[#This Row],[Total_Cost]]/Supply_Chain[[#This Row],[Stock_On_Hand]]</f>
        <v>0.60169533169533163</v>
      </c>
    </row>
    <row r="544" spans="1:33" x14ac:dyDescent="0.25">
      <c r="A544" t="s">
        <v>1661</v>
      </c>
      <c r="B544" t="s">
        <v>1662</v>
      </c>
      <c r="C544" s="1">
        <v>45236</v>
      </c>
      <c r="D544" s="1">
        <v>45225</v>
      </c>
      <c r="E544" t="s">
        <v>43</v>
      </c>
      <c r="F544" t="s">
        <v>115</v>
      </c>
      <c r="G544" t="s">
        <v>247</v>
      </c>
      <c r="H544" t="s">
        <v>128</v>
      </c>
      <c r="I544" s="3" t="s">
        <v>3193</v>
      </c>
      <c r="J544" s="3" t="s">
        <v>3519</v>
      </c>
      <c r="K544" s="3" t="s">
        <v>3528</v>
      </c>
      <c r="L544" s="3" t="s">
        <v>3985</v>
      </c>
      <c r="M544">
        <v>482.38</v>
      </c>
      <c r="N544">
        <v>65</v>
      </c>
      <c r="O544">
        <f>Supply_Chain[[#This Row],[Unit_Price]]*Supply_Chain[[#This Row],[Quantity]]</f>
        <v>31354.7</v>
      </c>
      <c r="P544" t="s">
        <v>1585</v>
      </c>
      <c r="Q544" t="s">
        <v>68</v>
      </c>
      <c r="R544" t="s">
        <v>195</v>
      </c>
      <c r="S544" t="s">
        <v>119</v>
      </c>
      <c r="T544" t="s">
        <v>60</v>
      </c>
      <c r="U544" t="s">
        <v>809</v>
      </c>
      <c r="V544">
        <v>379</v>
      </c>
      <c r="W544">
        <v>166</v>
      </c>
      <c r="X544">
        <v>22</v>
      </c>
      <c r="Y544">
        <v>1713.32</v>
      </c>
      <c r="Z544">
        <v>269.02999999999997</v>
      </c>
      <c r="AA544" s="9">
        <v>1982.35</v>
      </c>
      <c r="AB544" t="s">
        <v>52</v>
      </c>
      <c r="AC544">
        <v>0</v>
      </c>
      <c r="AD544">
        <v>78.75</v>
      </c>
      <c r="AE544">
        <v>314</v>
      </c>
      <c r="AF544">
        <v>300</v>
      </c>
      <c r="AG544" s="11">
        <f>Supply_Chain[[#This Row],[Total_Cost]]/Supply_Chain[[#This Row],[Stock_On_Hand]]</f>
        <v>5.2304749340369394</v>
      </c>
    </row>
    <row r="545" spans="1:33" x14ac:dyDescent="0.25">
      <c r="A545" t="s">
        <v>1663</v>
      </c>
      <c r="B545" t="s">
        <v>1664</v>
      </c>
      <c r="C545" s="1">
        <v>45051</v>
      </c>
      <c r="D545" s="1">
        <v>44904</v>
      </c>
      <c r="E545" t="s">
        <v>55</v>
      </c>
      <c r="F545" t="s">
        <v>31</v>
      </c>
      <c r="G545" t="s">
        <v>56</v>
      </c>
      <c r="H545" t="s">
        <v>166</v>
      </c>
      <c r="I545" s="3" t="s">
        <v>3194</v>
      </c>
      <c r="J545" s="3" t="s">
        <v>3518</v>
      </c>
      <c r="K545" s="3" t="s">
        <v>3522</v>
      </c>
      <c r="L545" s="3" t="s">
        <v>3986</v>
      </c>
      <c r="M545">
        <v>446.43</v>
      </c>
      <c r="N545">
        <v>50</v>
      </c>
      <c r="O545">
        <f>Supply_Chain[[#This Row],[Unit_Price]]*Supply_Chain[[#This Row],[Quantity]]</f>
        <v>22321.5</v>
      </c>
      <c r="P545" t="s">
        <v>1665</v>
      </c>
      <c r="Q545" t="s">
        <v>68</v>
      </c>
      <c r="R545" t="s">
        <v>124</v>
      </c>
      <c r="S545" t="s">
        <v>70</v>
      </c>
      <c r="T545" t="s">
        <v>79</v>
      </c>
      <c r="U545" t="s">
        <v>141</v>
      </c>
      <c r="V545">
        <v>3110</v>
      </c>
      <c r="W545">
        <v>68</v>
      </c>
      <c r="X545">
        <v>19</v>
      </c>
      <c r="Y545">
        <v>1951.95</v>
      </c>
      <c r="Z545">
        <v>197.56</v>
      </c>
      <c r="AA545" s="9">
        <v>2149.5100000000002</v>
      </c>
      <c r="AB545" t="s">
        <v>52</v>
      </c>
      <c r="AC545">
        <v>0</v>
      </c>
      <c r="AD545">
        <v>80.91</v>
      </c>
      <c r="AE545">
        <v>413</v>
      </c>
      <c r="AF545">
        <v>381</v>
      </c>
      <c r="AG545" s="11">
        <f>Supply_Chain[[#This Row],[Total_Cost]]/Supply_Chain[[#This Row],[Stock_On_Hand]]</f>
        <v>0.69116077170418011</v>
      </c>
    </row>
    <row r="546" spans="1:33" x14ac:dyDescent="0.25">
      <c r="A546" t="s">
        <v>1666</v>
      </c>
      <c r="B546" t="s">
        <v>1667</v>
      </c>
      <c r="C546" s="1">
        <v>45395</v>
      </c>
      <c r="D546" s="1">
        <v>45193</v>
      </c>
      <c r="E546" t="s">
        <v>55</v>
      </c>
      <c r="F546" t="s">
        <v>44</v>
      </c>
      <c r="G546" t="s">
        <v>91</v>
      </c>
      <c r="H546" t="s">
        <v>116</v>
      </c>
      <c r="I546" s="3" t="s">
        <v>2912</v>
      </c>
      <c r="J546" s="3" t="s">
        <v>3519</v>
      </c>
      <c r="K546" s="3" t="s">
        <v>3530</v>
      </c>
      <c r="L546" s="3" t="s">
        <v>3711</v>
      </c>
      <c r="M546">
        <v>452.17</v>
      </c>
      <c r="N546">
        <v>73</v>
      </c>
      <c r="O546">
        <f>Supply_Chain[[#This Row],[Unit_Price]]*Supply_Chain[[#This Row],[Quantity]]</f>
        <v>33008.410000000003</v>
      </c>
      <c r="P546" t="s">
        <v>104</v>
      </c>
      <c r="Q546" t="s">
        <v>48</v>
      </c>
      <c r="R546" t="s">
        <v>36</v>
      </c>
      <c r="S546" t="s">
        <v>50</v>
      </c>
      <c r="T546" t="s">
        <v>60</v>
      </c>
      <c r="U546" t="s">
        <v>191</v>
      </c>
      <c r="V546">
        <v>711</v>
      </c>
      <c r="W546">
        <v>331</v>
      </c>
      <c r="X546">
        <v>22</v>
      </c>
      <c r="Y546">
        <v>1740.85</v>
      </c>
      <c r="Z546">
        <v>495.8</v>
      </c>
      <c r="AA546" s="9">
        <v>2236.65</v>
      </c>
      <c r="AB546" t="s">
        <v>52</v>
      </c>
      <c r="AC546">
        <v>0</v>
      </c>
      <c r="AD546">
        <v>86.27</v>
      </c>
      <c r="AE546">
        <v>406</v>
      </c>
      <c r="AF546">
        <v>394</v>
      </c>
      <c r="AG546" s="11">
        <f>Supply_Chain[[#This Row],[Total_Cost]]/Supply_Chain[[#This Row],[Stock_On_Hand]]</f>
        <v>3.1457805907172998</v>
      </c>
    </row>
    <row r="547" spans="1:33" x14ac:dyDescent="0.25">
      <c r="A547" t="s">
        <v>1668</v>
      </c>
      <c r="B547" t="s">
        <v>1669</v>
      </c>
      <c r="C547" s="1">
        <v>44499</v>
      </c>
      <c r="D547" s="1">
        <v>44624</v>
      </c>
      <c r="E547" t="s">
        <v>55</v>
      </c>
      <c r="F547" t="s">
        <v>64</v>
      </c>
      <c r="G547" t="s">
        <v>76</v>
      </c>
      <c r="H547" t="s">
        <v>46</v>
      </c>
      <c r="I547" s="3" t="s">
        <v>3195</v>
      </c>
      <c r="J547" s="3" t="s">
        <v>3519</v>
      </c>
      <c r="K547" s="3" t="s">
        <v>3528</v>
      </c>
      <c r="L547" s="3" t="s">
        <v>3987</v>
      </c>
      <c r="M547">
        <v>179.06</v>
      </c>
      <c r="N547">
        <v>30</v>
      </c>
      <c r="O547">
        <f>Supply_Chain[[#This Row],[Unit_Price]]*Supply_Chain[[#This Row],[Quantity]]</f>
        <v>5371.8</v>
      </c>
      <c r="P547" t="s">
        <v>896</v>
      </c>
      <c r="Q547" t="s">
        <v>86</v>
      </c>
      <c r="R547" t="s">
        <v>87</v>
      </c>
      <c r="S547" t="s">
        <v>37</v>
      </c>
      <c r="T547" t="s">
        <v>38</v>
      </c>
      <c r="U547" t="s">
        <v>150</v>
      </c>
      <c r="V547">
        <v>1093</v>
      </c>
      <c r="W547">
        <v>276</v>
      </c>
      <c r="X547">
        <v>22</v>
      </c>
      <c r="Y547">
        <v>224.17</v>
      </c>
      <c r="Z547">
        <v>405.88</v>
      </c>
      <c r="AA547" s="9">
        <v>630.04999999999995</v>
      </c>
      <c r="AB547" t="s">
        <v>52</v>
      </c>
      <c r="AC547">
        <v>0</v>
      </c>
      <c r="AD547">
        <v>74.260000000000005</v>
      </c>
      <c r="AE547">
        <v>289</v>
      </c>
      <c r="AF547">
        <v>301</v>
      </c>
      <c r="AG547" s="11">
        <f>Supply_Chain[[#This Row],[Total_Cost]]/Supply_Chain[[#This Row],[Stock_On_Hand]]</f>
        <v>0.57644098810612987</v>
      </c>
    </row>
    <row r="548" spans="1:33" x14ac:dyDescent="0.25">
      <c r="A548" t="s">
        <v>1670</v>
      </c>
      <c r="B548" t="s">
        <v>1671</v>
      </c>
      <c r="C548" s="1">
        <v>43896</v>
      </c>
      <c r="D548" s="1">
        <v>43881</v>
      </c>
      <c r="E548" t="s">
        <v>55</v>
      </c>
      <c r="F548" t="s">
        <v>64</v>
      </c>
      <c r="G548" t="s">
        <v>247</v>
      </c>
      <c r="H548" t="s">
        <v>57</v>
      </c>
      <c r="I548" s="3" t="s">
        <v>3196</v>
      </c>
      <c r="J548" s="3" t="s">
        <v>84</v>
      </c>
      <c r="K548" s="3" t="s">
        <v>3534</v>
      </c>
      <c r="L548" s="3" t="s">
        <v>3988</v>
      </c>
      <c r="M548">
        <v>338.99</v>
      </c>
      <c r="N548">
        <v>20</v>
      </c>
      <c r="O548">
        <f>Supply_Chain[[#This Row],[Unit_Price]]*Supply_Chain[[#This Row],[Quantity]]</f>
        <v>6779.8</v>
      </c>
      <c r="P548" t="s">
        <v>1034</v>
      </c>
      <c r="Q548" t="s">
        <v>110</v>
      </c>
      <c r="R548" t="s">
        <v>94</v>
      </c>
      <c r="S548" t="s">
        <v>119</v>
      </c>
      <c r="T548" t="s">
        <v>79</v>
      </c>
      <c r="U548" t="s">
        <v>182</v>
      </c>
      <c r="V548">
        <v>3056</v>
      </c>
      <c r="W548">
        <v>398</v>
      </c>
      <c r="X548">
        <v>16</v>
      </c>
      <c r="Y548">
        <v>859.76</v>
      </c>
      <c r="Z548">
        <v>301.24</v>
      </c>
      <c r="AA548" s="9">
        <v>1161</v>
      </c>
      <c r="AB548" t="s">
        <v>52</v>
      </c>
      <c r="AC548">
        <v>0</v>
      </c>
      <c r="AD548">
        <v>90.61</v>
      </c>
      <c r="AE548">
        <v>460</v>
      </c>
      <c r="AF548">
        <v>418</v>
      </c>
      <c r="AG548" s="11">
        <f>Supply_Chain[[#This Row],[Total_Cost]]/Supply_Chain[[#This Row],[Stock_On_Hand]]</f>
        <v>0.37990837696335078</v>
      </c>
    </row>
    <row r="549" spans="1:33" x14ac:dyDescent="0.25">
      <c r="A549" t="s">
        <v>1672</v>
      </c>
      <c r="B549" t="s">
        <v>1673</v>
      </c>
      <c r="C549" s="1">
        <v>45168</v>
      </c>
      <c r="D549" s="1">
        <v>44032</v>
      </c>
      <c r="E549" t="s">
        <v>55</v>
      </c>
      <c r="F549" t="s">
        <v>44</v>
      </c>
      <c r="G549" t="s">
        <v>76</v>
      </c>
      <c r="H549" t="s">
        <v>128</v>
      </c>
      <c r="I549" s="3" t="s">
        <v>3197</v>
      </c>
      <c r="J549" s="3" t="s">
        <v>3518</v>
      </c>
      <c r="K549" s="3" t="s">
        <v>3533</v>
      </c>
      <c r="L549" s="3" t="s">
        <v>3989</v>
      </c>
      <c r="M549">
        <v>230.06</v>
      </c>
      <c r="N549">
        <v>11</v>
      </c>
      <c r="O549">
        <f>Supply_Chain[[#This Row],[Unit_Price]]*Supply_Chain[[#This Row],[Quantity]]</f>
        <v>2530.66</v>
      </c>
      <c r="P549" t="s">
        <v>1468</v>
      </c>
      <c r="Q549" t="s">
        <v>35</v>
      </c>
      <c r="R549" t="s">
        <v>466</v>
      </c>
      <c r="S549" t="s">
        <v>70</v>
      </c>
      <c r="T549" t="s">
        <v>79</v>
      </c>
      <c r="U549" t="s">
        <v>440</v>
      </c>
      <c r="V549">
        <v>967</v>
      </c>
      <c r="W549">
        <v>226</v>
      </c>
      <c r="X549">
        <v>24</v>
      </c>
      <c r="Y549">
        <v>1764</v>
      </c>
      <c r="Z549">
        <v>326.26</v>
      </c>
      <c r="AA549" s="9">
        <v>2090.2600000000002</v>
      </c>
      <c r="AB549" t="s">
        <v>40</v>
      </c>
      <c r="AC549">
        <v>5</v>
      </c>
      <c r="AD549">
        <v>80.55</v>
      </c>
      <c r="AE549">
        <v>103</v>
      </c>
      <c r="AF549">
        <v>108</v>
      </c>
      <c r="AG549" s="11">
        <f>Supply_Chain[[#This Row],[Total_Cost]]/Supply_Chain[[#This Row],[Stock_On_Hand]]</f>
        <v>2.1615925542916239</v>
      </c>
    </row>
    <row r="550" spans="1:33" x14ac:dyDescent="0.25">
      <c r="A550" t="s">
        <v>1674</v>
      </c>
      <c r="B550" t="s">
        <v>1675</v>
      </c>
      <c r="C550" s="1">
        <v>45453</v>
      </c>
      <c r="D550" s="1">
        <v>44043</v>
      </c>
      <c r="E550" t="s">
        <v>30</v>
      </c>
      <c r="F550" t="s">
        <v>44</v>
      </c>
      <c r="G550" t="s">
        <v>247</v>
      </c>
      <c r="H550" t="s">
        <v>57</v>
      </c>
      <c r="I550" s="3" t="s">
        <v>3123</v>
      </c>
      <c r="J550" s="3" t="s">
        <v>3518</v>
      </c>
      <c r="K550" s="3" t="s">
        <v>3522</v>
      </c>
      <c r="L550" s="3" t="s">
        <v>3918</v>
      </c>
      <c r="M550">
        <v>165.04</v>
      </c>
      <c r="N550">
        <v>42</v>
      </c>
      <c r="O550">
        <f>Supply_Chain[[#This Row],[Unit_Price]]*Supply_Chain[[#This Row],[Quantity]]</f>
        <v>6931.6799999999994</v>
      </c>
      <c r="P550" t="s">
        <v>1676</v>
      </c>
      <c r="Q550" t="s">
        <v>68</v>
      </c>
      <c r="R550" t="s">
        <v>360</v>
      </c>
      <c r="S550" t="s">
        <v>119</v>
      </c>
      <c r="T550" t="s">
        <v>60</v>
      </c>
      <c r="U550" t="s">
        <v>187</v>
      </c>
      <c r="V550">
        <v>1226</v>
      </c>
      <c r="W550">
        <v>195</v>
      </c>
      <c r="X550">
        <v>25</v>
      </c>
      <c r="Y550">
        <v>841.13</v>
      </c>
      <c r="Z550">
        <v>159.83000000000001</v>
      </c>
      <c r="AA550" s="9">
        <v>1000.96</v>
      </c>
      <c r="AB550" t="s">
        <v>40</v>
      </c>
      <c r="AC550">
        <v>4</v>
      </c>
      <c r="AD550">
        <v>86.23</v>
      </c>
      <c r="AE550">
        <v>452</v>
      </c>
      <c r="AF550">
        <v>411</v>
      </c>
      <c r="AG550" s="11">
        <f>Supply_Chain[[#This Row],[Total_Cost]]/Supply_Chain[[#This Row],[Stock_On_Hand]]</f>
        <v>0.81644371941272431</v>
      </c>
    </row>
    <row r="551" spans="1:33" x14ac:dyDescent="0.25">
      <c r="A551" t="s">
        <v>1677</v>
      </c>
      <c r="B551" t="s">
        <v>1678</v>
      </c>
      <c r="C551" s="1">
        <v>45648</v>
      </c>
      <c r="D551" s="1">
        <v>45248</v>
      </c>
      <c r="E551" t="s">
        <v>55</v>
      </c>
      <c r="F551" t="s">
        <v>31</v>
      </c>
      <c r="G551" t="s">
        <v>83</v>
      </c>
      <c r="H551" t="s">
        <v>128</v>
      </c>
      <c r="I551" s="3" t="s">
        <v>3198</v>
      </c>
      <c r="J551" s="3" t="s">
        <v>3518</v>
      </c>
      <c r="K551" s="3" t="s">
        <v>3522</v>
      </c>
      <c r="L551" s="3" t="s">
        <v>3990</v>
      </c>
      <c r="M551">
        <v>106</v>
      </c>
      <c r="N551">
        <v>82</v>
      </c>
      <c r="O551">
        <f>Supply_Chain[[#This Row],[Unit_Price]]*Supply_Chain[[#This Row],[Quantity]]</f>
        <v>8692</v>
      </c>
      <c r="P551" t="s">
        <v>1679</v>
      </c>
      <c r="Q551" t="s">
        <v>48</v>
      </c>
      <c r="R551" t="s">
        <v>176</v>
      </c>
      <c r="S551" t="s">
        <v>50</v>
      </c>
      <c r="T551" t="s">
        <v>100</v>
      </c>
      <c r="U551" t="s">
        <v>95</v>
      </c>
      <c r="V551">
        <v>1287</v>
      </c>
      <c r="W551">
        <v>91</v>
      </c>
      <c r="X551">
        <v>21</v>
      </c>
      <c r="Y551">
        <v>1624.3</v>
      </c>
      <c r="Z551">
        <v>88.88</v>
      </c>
      <c r="AA551" s="9">
        <v>1713.18</v>
      </c>
      <c r="AB551" t="s">
        <v>52</v>
      </c>
      <c r="AC551">
        <v>0</v>
      </c>
      <c r="AD551">
        <v>80.92</v>
      </c>
      <c r="AE551">
        <v>198</v>
      </c>
      <c r="AF551">
        <v>195</v>
      </c>
      <c r="AG551" s="11">
        <f>Supply_Chain[[#This Row],[Total_Cost]]/Supply_Chain[[#This Row],[Stock_On_Hand]]</f>
        <v>1.3311421911421912</v>
      </c>
    </row>
    <row r="552" spans="1:33" x14ac:dyDescent="0.25">
      <c r="A552" t="s">
        <v>1680</v>
      </c>
      <c r="B552" t="s">
        <v>1681</v>
      </c>
      <c r="C552" s="1">
        <v>44126</v>
      </c>
      <c r="D552" s="1">
        <v>45407</v>
      </c>
      <c r="E552" t="s">
        <v>55</v>
      </c>
      <c r="F552" t="s">
        <v>31</v>
      </c>
      <c r="G552" t="s">
        <v>83</v>
      </c>
      <c r="H552" t="s">
        <v>116</v>
      </c>
      <c r="I552" s="3" t="s">
        <v>3199</v>
      </c>
      <c r="J552" s="3" t="s">
        <v>3518</v>
      </c>
      <c r="K552" s="3" t="s">
        <v>3521</v>
      </c>
      <c r="L552" s="3" t="s">
        <v>3991</v>
      </c>
      <c r="M552">
        <v>258.43</v>
      </c>
      <c r="N552">
        <v>52</v>
      </c>
      <c r="O552">
        <f>Supply_Chain[[#This Row],[Unit_Price]]*Supply_Chain[[#This Row],[Quantity]]</f>
        <v>13438.36</v>
      </c>
      <c r="P552" t="s">
        <v>1682</v>
      </c>
      <c r="Q552" t="s">
        <v>86</v>
      </c>
      <c r="R552" t="s">
        <v>140</v>
      </c>
      <c r="S552" t="s">
        <v>70</v>
      </c>
      <c r="T552" t="s">
        <v>79</v>
      </c>
      <c r="U552" t="s">
        <v>499</v>
      </c>
      <c r="V552">
        <v>4855</v>
      </c>
      <c r="W552">
        <v>394</v>
      </c>
      <c r="X552">
        <v>24</v>
      </c>
      <c r="Y552">
        <v>1675.21</v>
      </c>
      <c r="Z552">
        <v>201.77</v>
      </c>
      <c r="AA552" s="9">
        <v>1876.98</v>
      </c>
      <c r="AB552" t="s">
        <v>52</v>
      </c>
      <c r="AC552">
        <v>0</v>
      </c>
      <c r="AD552">
        <v>84.2</v>
      </c>
      <c r="AE552">
        <v>474</v>
      </c>
      <c r="AF552">
        <v>464</v>
      </c>
      <c r="AG552" s="11">
        <f>Supply_Chain[[#This Row],[Total_Cost]]/Supply_Chain[[#This Row],[Stock_On_Hand]]</f>
        <v>0.38660762100926882</v>
      </c>
    </row>
    <row r="553" spans="1:33" x14ac:dyDescent="0.25">
      <c r="A553" t="s">
        <v>1683</v>
      </c>
      <c r="B553" t="s">
        <v>1684</v>
      </c>
      <c r="C553" s="1">
        <v>44720</v>
      </c>
      <c r="D553" s="1">
        <v>45072</v>
      </c>
      <c r="E553" t="s">
        <v>43</v>
      </c>
      <c r="F553" t="s">
        <v>31</v>
      </c>
      <c r="G553" t="s">
        <v>83</v>
      </c>
      <c r="H553" t="s">
        <v>33</v>
      </c>
      <c r="I553" s="3" t="s">
        <v>3200</v>
      </c>
      <c r="J553" s="3" t="s">
        <v>3518</v>
      </c>
      <c r="K553" s="3" t="s">
        <v>3521</v>
      </c>
      <c r="L553" s="3" t="s">
        <v>3992</v>
      </c>
      <c r="M553">
        <v>413.17</v>
      </c>
      <c r="N553">
        <v>4</v>
      </c>
      <c r="O553">
        <f>Supply_Chain[[#This Row],[Unit_Price]]*Supply_Chain[[#This Row],[Quantity]]</f>
        <v>1652.68</v>
      </c>
      <c r="P553" t="s">
        <v>1685</v>
      </c>
      <c r="Q553" t="s">
        <v>35</v>
      </c>
      <c r="R553" t="s">
        <v>264</v>
      </c>
      <c r="S553" t="s">
        <v>50</v>
      </c>
      <c r="T553" t="s">
        <v>79</v>
      </c>
      <c r="U553" t="s">
        <v>265</v>
      </c>
      <c r="V553">
        <v>2113</v>
      </c>
      <c r="W553">
        <v>282</v>
      </c>
      <c r="X553">
        <v>19</v>
      </c>
      <c r="Y553">
        <v>1506.75</v>
      </c>
      <c r="Z553">
        <v>15.99</v>
      </c>
      <c r="AA553" s="9">
        <v>1522.74</v>
      </c>
      <c r="AB553" t="s">
        <v>52</v>
      </c>
      <c r="AC553">
        <v>0</v>
      </c>
      <c r="AD553">
        <v>77.23</v>
      </c>
      <c r="AE553">
        <v>128</v>
      </c>
      <c r="AF553">
        <v>166</v>
      </c>
      <c r="AG553" s="11">
        <f>Supply_Chain[[#This Row],[Total_Cost]]/Supply_Chain[[#This Row],[Stock_On_Hand]]</f>
        <v>0.72065309985802173</v>
      </c>
    </row>
    <row r="554" spans="1:33" x14ac:dyDescent="0.25">
      <c r="A554" t="s">
        <v>1686</v>
      </c>
      <c r="B554" t="s">
        <v>1687</v>
      </c>
      <c r="C554" s="1">
        <v>45501</v>
      </c>
      <c r="D554" s="1">
        <v>44119</v>
      </c>
      <c r="E554" t="s">
        <v>55</v>
      </c>
      <c r="F554" t="s">
        <v>75</v>
      </c>
      <c r="G554" t="s">
        <v>65</v>
      </c>
      <c r="H554" t="s">
        <v>166</v>
      </c>
      <c r="I554" s="3" t="s">
        <v>3109</v>
      </c>
      <c r="J554" s="3" t="s">
        <v>3519</v>
      </c>
      <c r="K554" s="3" t="s">
        <v>3537</v>
      </c>
      <c r="L554" s="3" t="s">
        <v>3904</v>
      </c>
      <c r="M554">
        <v>361.91</v>
      </c>
      <c r="N554">
        <v>91</v>
      </c>
      <c r="O554">
        <f>Supply_Chain[[#This Row],[Unit_Price]]*Supply_Chain[[#This Row],[Quantity]]</f>
        <v>32933.810000000005</v>
      </c>
      <c r="P554" t="s">
        <v>305</v>
      </c>
      <c r="Q554" t="s">
        <v>48</v>
      </c>
      <c r="R554" t="s">
        <v>111</v>
      </c>
      <c r="S554" t="s">
        <v>37</v>
      </c>
      <c r="T554" t="s">
        <v>71</v>
      </c>
      <c r="U554" t="s">
        <v>120</v>
      </c>
      <c r="V554">
        <v>1530</v>
      </c>
      <c r="W554">
        <v>228</v>
      </c>
      <c r="X554">
        <v>24</v>
      </c>
      <c r="Y554">
        <v>1043.96</v>
      </c>
      <c r="Z554">
        <v>490.92</v>
      </c>
      <c r="AA554" s="9">
        <v>1534.88</v>
      </c>
      <c r="AB554" t="s">
        <v>52</v>
      </c>
      <c r="AC554">
        <v>0</v>
      </c>
      <c r="AD554">
        <v>86.63</v>
      </c>
      <c r="AE554">
        <v>166</v>
      </c>
      <c r="AF554">
        <v>170</v>
      </c>
      <c r="AG554" s="11">
        <f>Supply_Chain[[#This Row],[Total_Cost]]/Supply_Chain[[#This Row],[Stock_On_Hand]]</f>
        <v>1.0031895424836601</v>
      </c>
    </row>
    <row r="555" spans="1:33" x14ac:dyDescent="0.25">
      <c r="A555" t="s">
        <v>1688</v>
      </c>
      <c r="B555" t="s">
        <v>1689</v>
      </c>
      <c r="C555" s="1">
        <v>43975</v>
      </c>
      <c r="D555" s="1">
        <v>44426</v>
      </c>
      <c r="E555" t="s">
        <v>55</v>
      </c>
      <c r="F555" t="s">
        <v>31</v>
      </c>
      <c r="G555" t="s">
        <v>45</v>
      </c>
      <c r="H555" t="s">
        <v>116</v>
      </c>
      <c r="I555" s="3" t="s">
        <v>3201</v>
      </c>
      <c r="J555" s="3" t="s">
        <v>3519</v>
      </c>
      <c r="K555" s="3" t="s">
        <v>3528</v>
      </c>
      <c r="L555" s="3" t="s">
        <v>3993</v>
      </c>
      <c r="M555">
        <v>403.8</v>
      </c>
      <c r="N555">
        <v>57</v>
      </c>
      <c r="O555">
        <f>Supply_Chain[[#This Row],[Unit_Price]]*Supply_Chain[[#This Row],[Quantity]]</f>
        <v>23016.600000000002</v>
      </c>
      <c r="P555" t="s">
        <v>1690</v>
      </c>
      <c r="Q555" t="s">
        <v>35</v>
      </c>
      <c r="R555" t="s">
        <v>301</v>
      </c>
      <c r="S555" t="s">
        <v>119</v>
      </c>
      <c r="T555" t="s">
        <v>71</v>
      </c>
      <c r="U555" t="s">
        <v>378</v>
      </c>
      <c r="V555">
        <v>353</v>
      </c>
      <c r="W555">
        <v>475</v>
      </c>
      <c r="X555">
        <v>12</v>
      </c>
      <c r="Y555">
        <v>1359.5</v>
      </c>
      <c r="Z555">
        <v>87.62</v>
      </c>
      <c r="AA555" s="9">
        <v>1447.12</v>
      </c>
      <c r="AB555" t="s">
        <v>52</v>
      </c>
      <c r="AC555">
        <v>0</v>
      </c>
      <c r="AD555">
        <v>76.08</v>
      </c>
      <c r="AE555">
        <v>432</v>
      </c>
      <c r="AF555">
        <v>397</v>
      </c>
      <c r="AG555" s="11">
        <f>Supply_Chain[[#This Row],[Total_Cost]]/Supply_Chain[[#This Row],[Stock_On_Hand]]</f>
        <v>4.0994900849858356</v>
      </c>
    </row>
    <row r="556" spans="1:33" x14ac:dyDescent="0.25">
      <c r="A556" t="s">
        <v>1691</v>
      </c>
      <c r="B556" t="s">
        <v>1692</v>
      </c>
      <c r="C556" s="1">
        <v>44802</v>
      </c>
      <c r="D556" s="1">
        <v>44027</v>
      </c>
      <c r="E556" t="s">
        <v>55</v>
      </c>
      <c r="F556" t="s">
        <v>44</v>
      </c>
      <c r="G556" t="s">
        <v>32</v>
      </c>
      <c r="H556" t="s">
        <v>92</v>
      </c>
      <c r="I556" s="3" t="s">
        <v>3202</v>
      </c>
      <c r="J556" s="3" t="s">
        <v>3519</v>
      </c>
      <c r="K556" s="3" t="s">
        <v>3528</v>
      </c>
      <c r="L556" s="3" t="s">
        <v>3994</v>
      </c>
      <c r="M556">
        <v>383.92</v>
      </c>
      <c r="N556">
        <v>13</v>
      </c>
      <c r="O556">
        <f>Supply_Chain[[#This Row],[Unit_Price]]*Supply_Chain[[#This Row],[Quantity]]</f>
        <v>4990.96</v>
      </c>
      <c r="P556" t="s">
        <v>1693</v>
      </c>
      <c r="Q556" t="s">
        <v>110</v>
      </c>
      <c r="R556" t="s">
        <v>186</v>
      </c>
      <c r="S556" t="s">
        <v>70</v>
      </c>
      <c r="T556" t="s">
        <v>71</v>
      </c>
      <c r="U556" t="s">
        <v>619</v>
      </c>
      <c r="V556">
        <v>244</v>
      </c>
      <c r="W556">
        <v>432</v>
      </c>
      <c r="X556">
        <v>25</v>
      </c>
      <c r="Y556">
        <v>1902.09</v>
      </c>
      <c r="Z556">
        <v>289.12</v>
      </c>
      <c r="AA556" s="9">
        <v>2191.21</v>
      </c>
      <c r="AB556" t="s">
        <v>52</v>
      </c>
      <c r="AC556">
        <v>0</v>
      </c>
      <c r="AD556">
        <v>99.83</v>
      </c>
      <c r="AE556">
        <v>169</v>
      </c>
      <c r="AF556">
        <v>166</v>
      </c>
      <c r="AG556" s="11">
        <f>Supply_Chain[[#This Row],[Total_Cost]]/Supply_Chain[[#This Row],[Stock_On_Hand]]</f>
        <v>8.9803688524590157</v>
      </c>
    </row>
    <row r="557" spans="1:33" x14ac:dyDescent="0.25">
      <c r="A557" t="s">
        <v>1694</v>
      </c>
      <c r="B557" t="s">
        <v>1695</v>
      </c>
      <c r="C557" s="1">
        <v>44126</v>
      </c>
      <c r="D557" s="1">
        <v>44380</v>
      </c>
      <c r="E557" t="s">
        <v>55</v>
      </c>
      <c r="F557" t="s">
        <v>31</v>
      </c>
      <c r="G557" t="s">
        <v>45</v>
      </c>
      <c r="H557" t="s">
        <v>166</v>
      </c>
      <c r="I557" s="3" t="s">
        <v>3203</v>
      </c>
      <c r="J557" s="3" t="s">
        <v>3519</v>
      </c>
      <c r="K557" s="3" t="s">
        <v>3528</v>
      </c>
      <c r="L557" s="3" t="s">
        <v>3995</v>
      </c>
      <c r="M557">
        <v>457.53</v>
      </c>
      <c r="N557">
        <v>94</v>
      </c>
      <c r="O557">
        <f>Supply_Chain[[#This Row],[Unit_Price]]*Supply_Chain[[#This Row],[Quantity]]</f>
        <v>43007.82</v>
      </c>
      <c r="P557" t="s">
        <v>1696</v>
      </c>
      <c r="Q557" t="s">
        <v>68</v>
      </c>
      <c r="R557" t="s">
        <v>653</v>
      </c>
      <c r="S557" t="s">
        <v>119</v>
      </c>
      <c r="T557" t="s">
        <v>38</v>
      </c>
      <c r="U557" t="s">
        <v>177</v>
      </c>
      <c r="V557">
        <v>1578</v>
      </c>
      <c r="W557">
        <v>399</v>
      </c>
      <c r="X557">
        <v>1</v>
      </c>
      <c r="Y557">
        <v>1439.19</v>
      </c>
      <c r="Z557">
        <v>473.67</v>
      </c>
      <c r="AA557" s="9">
        <v>1912.86</v>
      </c>
      <c r="AB557" t="s">
        <v>40</v>
      </c>
      <c r="AC557">
        <v>13</v>
      </c>
      <c r="AD557">
        <v>99.46</v>
      </c>
      <c r="AE557">
        <v>123</v>
      </c>
      <c r="AF557">
        <v>73</v>
      </c>
      <c r="AG557" s="11">
        <f>Supply_Chain[[#This Row],[Total_Cost]]/Supply_Chain[[#This Row],[Stock_On_Hand]]</f>
        <v>1.2122053231939163</v>
      </c>
    </row>
    <row r="558" spans="1:33" x14ac:dyDescent="0.25">
      <c r="A558" t="s">
        <v>1697</v>
      </c>
      <c r="B558" t="s">
        <v>1698</v>
      </c>
      <c r="C558" s="1">
        <v>43921</v>
      </c>
      <c r="D558" s="1">
        <v>44405</v>
      </c>
      <c r="E558" t="s">
        <v>43</v>
      </c>
      <c r="F558" t="s">
        <v>31</v>
      </c>
      <c r="G558" t="s">
        <v>56</v>
      </c>
      <c r="H558" t="s">
        <v>128</v>
      </c>
      <c r="I558" s="3" t="s">
        <v>2744</v>
      </c>
      <c r="J558" s="3" t="s">
        <v>84</v>
      </c>
      <c r="K558" s="3" t="s">
        <v>3526</v>
      </c>
      <c r="L558" s="3" t="s">
        <v>3544</v>
      </c>
      <c r="M558">
        <v>150.77000000000001</v>
      </c>
      <c r="N558">
        <v>58</v>
      </c>
      <c r="O558">
        <f>Supply_Chain[[#This Row],[Unit_Price]]*Supply_Chain[[#This Row],[Quantity]]</f>
        <v>8744.66</v>
      </c>
      <c r="P558" t="s">
        <v>1699</v>
      </c>
      <c r="Q558" t="s">
        <v>48</v>
      </c>
      <c r="R558" t="s">
        <v>36</v>
      </c>
      <c r="S558" t="s">
        <v>70</v>
      </c>
      <c r="T558" t="s">
        <v>100</v>
      </c>
      <c r="U558" t="s">
        <v>310</v>
      </c>
      <c r="V558">
        <v>3416</v>
      </c>
      <c r="W558">
        <v>447</v>
      </c>
      <c r="X558">
        <v>16</v>
      </c>
      <c r="Y558">
        <v>147.58000000000001</v>
      </c>
      <c r="Z558">
        <v>229.81</v>
      </c>
      <c r="AA558" s="9">
        <v>377.39</v>
      </c>
      <c r="AB558" t="s">
        <v>52</v>
      </c>
      <c r="AC558">
        <v>0</v>
      </c>
      <c r="AD558">
        <v>89.05</v>
      </c>
      <c r="AE558">
        <v>476</v>
      </c>
      <c r="AF558">
        <v>430</v>
      </c>
      <c r="AG558" s="11">
        <f>Supply_Chain[[#This Row],[Total_Cost]]/Supply_Chain[[#This Row],[Stock_On_Hand]]</f>
        <v>0.1104771662763466</v>
      </c>
    </row>
    <row r="559" spans="1:33" x14ac:dyDescent="0.25">
      <c r="A559" t="s">
        <v>1700</v>
      </c>
      <c r="B559" t="s">
        <v>1701</v>
      </c>
      <c r="C559" s="1">
        <v>45535</v>
      </c>
      <c r="D559" s="1">
        <v>45018</v>
      </c>
      <c r="E559" t="s">
        <v>43</v>
      </c>
      <c r="F559" t="s">
        <v>64</v>
      </c>
      <c r="G559" t="s">
        <v>56</v>
      </c>
      <c r="H559" t="s">
        <v>92</v>
      </c>
      <c r="I559" s="3" t="s">
        <v>3204</v>
      </c>
      <c r="J559" s="3" t="s">
        <v>84</v>
      </c>
      <c r="K559" s="3" t="s">
        <v>3529</v>
      </c>
      <c r="L559" s="3" t="s">
        <v>3996</v>
      </c>
      <c r="M559">
        <v>285.98</v>
      </c>
      <c r="N559">
        <v>39</v>
      </c>
      <c r="O559">
        <f>Supply_Chain[[#This Row],[Unit_Price]]*Supply_Chain[[#This Row],[Quantity]]</f>
        <v>11153.220000000001</v>
      </c>
      <c r="P559" t="s">
        <v>479</v>
      </c>
      <c r="Q559" t="s">
        <v>35</v>
      </c>
      <c r="R559" t="s">
        <v>419</v>
      </c>
      <c r="S559" t="s">
        <v>37</v>
      </c>
      <c r="T559" t="s">
        <v>60</v>
      </c>
      <c r="U559" t="s">
        <v>106</v>
      </c>
      <c r="V559">
        <v>1730</v>
      </c>
      <c r="W559">
        <v>469</v>
      </c>
      <c r="X559">
        <v>10</v>
      </c>
      <c r="Y559">
        <v>1217.29</v>
      </c>
      <c r="Z559">
        <v>265.64999999999998</v>
      </c>
      <c r="AA559" s="9">
        <v>1482.94</v>
      </c>
      <c r="AB559" t="s">
        <v>52</v>
      </c>
      <c r="AC559">
        <v>0</v>
      </c>
      <c r="AD559">
        <v>79.63</v>
      </c>
      <c r="AE559">
        <v>472</v>
      </c>
      <c r="AF559">
        <v>512</v>
      </c>
      <c r="AG559" s="11">
        <f>Supply_Chain[[#This Row],[Total_Cost]]/Supply_Chain[[#This Row],[Stock_On_Hand]]</f>
        <v>0.85719075144508672</v>
      </c>
    </row>
    <row r="560" spans="1:33" x14ac:dyDescent="0.25">
      <c r="A560" t="s">
        <v>1702</v>
      </c>
      <c r="B560" t="s">
        <v>1703</v>
      </c>
      <c r="C560" s="1">
        <v>44838</v>
      </c>
      <c r="D560" s="1">
        <v>44662</v>
      </c>
      <c r="E560" t="s">
        <v>55</v>
      </c>
      <c r="F560" t="s">
        <v>64</v>
      </c>
      <c r="G560" t="s">
        <v>91</v>
      </c>
      <c r="H560" t="s">
        <v>46</v>
      </c>
      <c r="I560" s="3" t="s">
        <v>3205</v>
      </c>
      <c r="J560" s="3" t="s">
        <v>3518</v>
      </c>
      <c r="K560" s="3" t="s">
        <v>3533</v>
      </c>
      <c r="L560" s="3" t="s">
        <v>3997</v>
      </c>
      <c r="M560">
        <v>229.18</v>
      </c>
      <c r="N560">
        <v>40</v>
      </c>
      <c r="O560">
        <f>Supply_Chain[[#This Row],[Unit_Price]]*Supply_Chain[[#This Row],[Quantity]]</f>
        <v>9167.2000000000007</v>
      </c>
      <c r="P560" t="s">
        <v>1446</v>
      </c>
      <c r="Q560" t="s">
        <v>110</v>
      </c>
      <c r="R560" t="s">
        <v>36</v>
      </c>
      <c r="S560" t="s">
        <v>50</v>
      </c>
      <c r="T560" t="s">
        <v>79</v>
      </c>
      <c r="U560" t="s">
        <v>499</v>
      </c>
      <c r="V560">
        <v>1472</v>
      </c>
      <c r="W560">
        <v>331</v>
      </c>
      <c r="X560">
        <v>24</v>
      </c>
      <c r="Y560">
        <v>535.30999999999995</v>
      </c>
      <c r="Z560">
        <v>42.4</v>
      </c>
      <c r="AA560" s="9">
        <v>577.70999999999992</v>
      </c>
      <c r="AB560" t="s">
        <v>52</v>
      </c>
      <c r="AC560">
        <v>0</v>
      </c>
      <c r="AD560">
        <v>83.43</v>
      </c>
      <c r="AE560">
        <v>101</v>
      </c>
      <c r="AF560">
        <v>78</v>
      </c>
      <c r="AG560" s="11">
        <f>Supply_Chain[[#This Row],[Total_Cost]]/Supply_Chain[[#This Row],[Stock_On_Hand]]</f>
        <v>0.39246603260869561</v>
      </c>
    </row>
    <row r="561" spans="1:33" x14ac:dyDescent="0.25">
      <c r="A561" t="s">
        <v>1704</v>
      </c>
      <c r="B561" t="s">
        <v>1705</v>
      </c>
      <c r="C561" s="1">
        <v>44387</v>
      </c>
      <c r="D561" s="1">
        <v>44819</v>
      </c>
      <c r="E561" t="s">
        <v>43</v>
      </c>
      <c r="F561" t="s">
        <v>115</v>
      </c>
      <c r="G561" t="s">
        <v>56</v>
      </c>
      <c r="H561" t="s">
        <v>33</v>
      </c>
      <c r="I561" s="3" t="s">
        <v>3206</v>
      </c>
      <c r="J561" s="3" t="s">
        <v>3518</v>
      </c>
      <c r="K561" s="3" t="s">
        <v>3533</v>
      </c>
      <c r="L561" s="3" t="s">
        <v>3998</v>
      </c>
      <c r="M561">
        <v>327.89</v>
      </c>
      <c r="N561">
        <v>28</v>
      </c>
      <c r="O561">
        <f>Supply_Chain[[#This Row],[Unit_Price]]*Supply_Chain[[#This Row],[Quantity]]</f>
        <v>9180.92</v>
      </c>
      <c r="P561" t="s">
        <v>1625</v>
      </c>
      <c r="Q561" t="s">
        <v>110</v>
      </c>
      <c r="R561" t="s">
        <v>327</v>
      </c>
      <c r="S561" t="s">
        <v>37</v>
      </c>
      <c r="T561" t="s">
        <v>71</v>
      </c>
      <c r="U561" t="s">
        <v>191</v>
      </c>
      <c r="V561">
        <v>2172</v>
      </c>
      <c r="W561">
        <v>142</v>
      </c>
      <c r="X561">
        <v>21</v>
      </c>
      <c r="Y561">
        <v>90.31</v>
      </c>
      <c r="Z561">
        <v>378.49</v>
      </c>
      <c r="AA561" s="9">
        <v>468.8</v>
      </c>
      <c r="AB561" t="s">
        <v>52</v>
      </c>
      <c r="AC561">
        <v>0</v>
      </c>
      <c r="AD561">
        <v>70.760000000000005</v>
      </c>
      <c r="AE561">
        <v>447</v>
      </c>
      <c r="AF561">
        <v>430</v>
      </c>
      <c r="AG561" s="11">
        <f>Supply_Chain[[#This Row],[Total_Cost]]/Supply_Chain[[#This Row],[Stock_On_Hand]]</f>
        <v>0.2158379373848987</v>
      </c>
    </row>
    <row r="562" spans="1:33" x14ac:dyDescent="0.25">
      <c r="A562" t="s">
        <v>1706</v>
      </c>
      <c r="B562" t="s">
        <v>1707</v>
      </c>
      <c r="C562" s="1">
        <v>44455</v>
      </c>
      <c r="D562" s="1">
        <v>44862</v>
      </c>
      <c r="E562" t="s">
        <v>55</v>
      </c>
      <c r="F562" t="s">
        <v>64</v>
      </c>
      <c r="G562" t="s">
        <v>76</v>
      </c>
      <c r="H562" t="s">
        <v>46</v>
      </c>
      <c r="I562" s="3" t="s">
        <v>3207</v>
      </c>
      <c r="J562" s="3" t="s">
        <v>3518</v>
      </c>
      <c r="K562" s="3" t="s">
        <v>3525</v>
      </c>
      <c r="L562" s="3" t="s">
        <v>3999</v>
      </c>
      <c r="M562">
        <v>369.66</v>
      </c>
      <c r="N562">
        <v>27</v>
      </c>
      <c r="O562">
        <f>Supply_Chain[[#This Row],[Unit_Price]]*Supply_Chain[[#This Row],[Quantity]]</f>
        <v>9980.8200000000015</v>
      </c>
      <c r="P562" t="s">
        <v>1708</v>
      </c>
      <c r="Q562" t="s">
        <v>48</v>
      </c>
      <c r="R562" t="s">
        <v>181</v>
      </c>
      <c r="S562" t="s">
        <v>119</v>
      </c>
      <c r="T562" t="s">
        <v>60</v>
      </c>
      <c r="U562" t="s">
        <v>499</v>
      </c>
      <c r="V562">
        <v>1125</v>
      </c>
      <c r="W562">
        <v>274</v>
      </c>
      <c r="X562">
        <v>23</v>
      </c>
      <c r="Y562">
        <v>636.70000000000005</v>
      </c>
      <c r="Z562">
        <v>296.86</v>
      </c>
      <c r="AA562" s="9">
        <v>933.56000000000006</v>
      </c>
      <c r="AB562" t="s">
        <v>52</v>
      </c>
      <c r="AC562">
        <v>0</v>
      </c>
      <c r="AD562">
        <v>73.25</v>
      </c>
      <c r="AE562">
        <v>474</v>
      </c>
      <c r="AF562">
        <v>482</v>
      </c>
      <c r="AG562" s="11">
        <f>Supply_Chain[[#This Row],[Total_Cost]]/Supply_Chain[[#This Row],[Stock_On_Hand]]</f>
        <v>0.82983111111111119</v>
      </c>
    </row>
    <row r="563" spans="1:33" x14ac:dyDescent="0.25">
      <c r="A563" t="s">
        <v>1709</v>
      </c>
      <c r="B563" t="s">
        <v>1710</v>
      </c>
      <c r="C563" s="1">
        <v>44322</v>
      </c>
      <c r="D563" s="1">
        <v>43836</v>
      </c>
      <c r="E563" t="s">
        <v>55</v>
      </c>
      <c r="F563" t="s">
        <v>31</v>
      </c>
      <c r="G563" t="s">
        <v>83</v>
      </c>
      <c r="H563" t="s">
        <v>92</v>
      </c>
      <c r="I563" s="3" t="s">
        <v>3208</v>
      </c>
      <c r="J563" s="3" t="s">
        <v>3518</v>
      </c>
      <c r="K563" s="3" t="s">
        <v>3522</v>
      </c>
      <c r="L563" s="3" t="s">
        <v>4000</v>
      </c>
      <c r="M563">
        <v>265.69</v>
      </c>
      <c r="N563">
        <v>98</v>
      </c>
      <c r="O563">
        <f>Supply_Chain[[#This Row],[Unit_Price]]*Supply_Chain[[#This Row],[Quantity]]</f>
        <v>26037.62</v>
      </c>
      <c r="P563" t="s">
        <v>1711</v>
      </c>
      <c r="Q563" t="s">
        <v>68</v>
      </c>
      <c r="R563" t="s">
        <v>87</v>
      </c>
      <c r="S563" t="s">
        <v>37</v>
      </c>
      <c r="T563" t="s">
        <v>79</v>
      </c>
      <c r="U563" t="s">
        <v>61</v>
      </c>
      <c r="V563">
        <v>146</v>
      </c>
      <c r="W563">
        <v>295</v>
      </c>
      <c r="X563">
        <v>23</v>
      </c>
      <c r="Y563">
        <v>1527.05</v>
      </c>
      <c r="Z563">
        <v>487.96</v>
      </c>
      <c r="AA563" s="9">
        <v>2015.01</v>
      </c>
      <c r="AB563" t="s">
        <v>52</v>
      </c>
      <c r="AC563">
        <v>0</v>
      </c>
      <c r="AD563">
        <v>94.11</v>
      </c>
      <c r="AE563">
        <v>104</v>
      </c>
      <c r="AF563">
        <v>105</v>
      </c>
      <c r="AG563" s="11">
        <f>Supply_Chain[[#This Row],[Total_Cost]]/Supply_Chain[[#This Row],[Stock_On_Hand]]</f>
        <v>13.801438356164384</v>
      </c>
    </row>
    <row r="564" spans="1:33" x14ac:dyDescent="0.25">
      <c r="A564" t="s">
        <v>1712</v>
      </c>
      <c r="B564" t="s">
        <v>1713</v>
      </c>
      <c r="C564" s="1">
        <v>44140</v>
      </c>
      <c r="D564" s="1">
        <v>45527</v>
      </c>
      <c r="E564" t="s">
        <v>55</v>
      </c>
      <c r="F564" t="s">
        <v>75</v>
      </c>
      <c r="G564" t="s">
        <v>45</v>
      </c>
      <c r="H564" t="s">
        <v>57</v>
      </c>
      <c r="I564" s="3" t="s">
        <v>3209</v>
      </c>
      <c r="J564" s="3" t="s">
        <v>3518</v>
      </c>
      <c r="K564" s="3" t="s">
        <v>3522</v>
      </c>
      <c r="L564" s="3" t="s">
        <v>4001</v>
      </c>
      <c r="M564">
        <v>483.21</v>
      </c>
      <c r="N564">
        <v>67</v>
      </c>
      <c r="O564">
        <f>Supply_Chain[[#This Row],[Unit_Price]]*Supply_Chain[[#This Row],[Quantity]]</f>
        <v>32375.07</v>
      </c>
      <c r="P564" t="s">
        <v>352</v>
      </c>
      <c r="Q564" t="s">
        <v>35</v>
      </c>
      <c r="R564" t="s">
        <v>264</v>
      </c>
      <c r="S564" t="s">
        <v>70</v>
      </c>
      <c r="T564" t="s">
        <v>71</v>
      </c>
      <c r="U564" t="s">
        <v>809</v>
      </c>
      <c r="V564">
        <v>2658</v>
      </c>
      <c r="W564">
        <v>462</v>
      </c>
      <c r="X564">
        <v>15</v>
      </c>
      <c r="Y564">
        <v>877.85</v>
      </c>
      <c r="Z564">
        <v>251.29</v>
      </c>
      <c r="AA564" s="9">
        <v>1129.1400000000001</v>
      </c>
      <c r="AB564" t="s">
        <v>52</v>
      </c>
      <c r="AC564">
        <v>0</v>
      </c>
      <c r="AD564">
        <v>97.21</v>
      </c>
      <c r="AE564">
        <v>194</v>
      </c>
      <c r="AF564">
        <v>172</v>
      </c>
      <c r="AG564" s="11">
        <f>Supply_Chain[[#This Row],[Total_Cost]]/Supply_Chain[[#This Row],[Stock_On_Hand]]</f>
        <v>0.42480812641083526</v>
      </c>
    </row>
    <row r="565" spans="1:33" x14ac:dyDescent="0.25">
      <c r="A565" t="s">
        <v>1714</v>
      </c>
      <c r="B565" t="s">
        <v>1715</v>
      </c>
      <c r="C565" s="1">
        <v>45037</v>
      </c>
      <c r="D565" s="1">
        <v>44698</v>
      </c>
      <c r="E565" t="s">
        <v>55</v>
      </c>
      <c r="F565" t="s">
        <v>31</v>
      </c>
      <c r="G565" t="s">
        <v>56</v>
      </c>
      <c r="H565" t="s">
        <v>128</v>
      </c>
      <c r="I565" s="3" t="s">
        <v>3210</v>
      </c>
      <c r="J565" s="3" t="s">
        <v>3518</v>
      </c>
      <c r="K565" s="3" t="s">
        <v>3521</v>
      </c>
      <c r="L565" s="3" t="s">
        <v>4002</v>
      </c>
      <c r="M565">
        <v>379.19</v>
      </c>
      <c r="N565">
        <v>60</v>
      </c>
      <c r="O565">
        <f>Supply_Chain[[#This Row],[Unit_Price]]*Supply_Chain[[#This Row],[Quantity]]</f>
        <v>22751.4</v>
      </c>
      <c r="P565" t="s">
        <v>260</v>
      </c>
      <c r="Q565" t="s">
        <v>68</v>
      </c>
      <c r="R565" t="s">
        <v>130</v>
      </c>
      <c r="S565" t="s">
        <v>37</v>
      </c>
      <c r="T565" t="s">
        <v>71</v>
      </c>
      <c r="U565" t="s">
        <v>302</v>
      </c>
      <c r="V565">
        <v>2047</v>
      </c>
      <c r="W565">
        <v>123</v>
      </c>
      <c r="X565">
        <v>9</v>
      </c>
      <c r="Y565">
        <v>992.01</v>
      </c>
      <c r="Z565">
        <v>54.46</v>
      </c>
      <c r="AA565" s="9">
        <v>1046.47</v>
      </c>
      <c r="AB565" t="s">
        <v>52</v>
      </c>
      <c r="AC565">
        <v>0</v>
      </c>
      <c r="AD565">
        <v>95.41</v>
      </c>
      <c r="AE565">
        <v>163</v>
      </c>
      <c r="AF565">
        <v>160</v>
      </c>
      <c r="AG565" s="11">
        <f>Supply_Chain[[#This Row],[Total_Cost]]/Supply_Chain[[#This Row],[Stock_On_Hand]]</f>
        <v>0.51122129946262829</v>
      </c>
    </row>
    <row r="566" spans="1:33" x14ac:dyDescent="0.25">
      <c r="A566" t="s">
        <v>1716</v>
      </c>
      <c r="B566" t="s">
        <v>1717</v>
      </c>
      <c r="C566" s="1">
        <v>44199</v>
      </c>
      <c r="D566" s="1">
        <v>45152</v>
      </c>
      <c r="E566" t="s">
        <v>30</v>
      </c>
      <c r="F566" t="s">
        <v>115</v>
      </c>
      <c r="G566" t="s">
        <v>45</v>
      </c>
      <c r="H566" t="s">
        <v>33</v>
      </c>
      <c r="I566" s="3" t="s">
        <v>3211</v>
      </c>
      <c r="J566" s="3" t="s">
        <v>3518</v>
      </c>
      <c r="K566" s="3" t="s">
        <v>3521</v>
      </c>
      <c r="L566" s="3" t="s">
        <v>4003</v>
      </c>
      <c r="M566">
        <v>126.76</v>
      </c>
      <c r="N566">
        <v>33</v>
      </c>
      <c r="O566">
        <f>Supply_Chain[[#This Row],[Unit_Price]]*Supply_Chain[[#This Row],[Quantity]]</f>
        <v>4183.08</v>
      </c>
      <c r="P566" t="s">
        <v>893</v>
      </c>
      <c r="Q566" t="s">
        <v>35</v>
      </c>
      <c r="R566" t="s">
        <v>124</v>
      </c>
      <c r="S566" t="s">
        <v>37</v>
      </c>
      <c r="T566" t="s">
        <v>100</v>
      </c>
      <c r="U566" t="s">
        <v>436</v>
      </c>
      <c r="V566">
        <v>2699</v>
      </c>
      <c r="W566">
        <v>271</v>
      </c>
      <c r="X566">
        <v>12</v>
      </c>
      <c r="Y566">
        <v>69.27</v>
      </c>
      <c r="Z566">
        <v>408.57</v>
      </c>
      <c r="AA566" s="9">
        <v>477.84</v>
      </c>
      <c r="AB566" t="s">
        <v>52</v>
      </c>
      <c r="AC566">
        <v>0</v>
      </c>
      <c r="AD566">
        <v>95.2</v>
      </c>
      <c r="AE566">
        <v>274</v>
      </c>
      <c r="AF566">
        <v>233</v>
      </c>
      <c r="AG566" s="11">
        <f>Supply_Chain[[#This Row],[Total_Cost]]/Supply_Chain[[#This Row],[Stock_On_Hand]]</f>
        <v>0.17704334938866245</v>
      </c>
    </row>
    <row r="567" spans="1:33" x14ac:dyDescent="0.25">
      <c r="A567" t="s">
        <v>1718</v>
      </c>
      <c r="B567" t="s">
        <v>1719</v>
      </c>
      <c r="C567" s="1">
        <v>45134</v>
      </c>
      <c r="D567" s="1">
        <v>45387</v>
      </c>
      <c r="E567" t="s">
        <v>55</v>
      </c>
      <c r="F567" t="s">
        <v>75</v>
      </c>
      <c r="G567" t="s">
        <v>91</v>
      </c>
      <c r="H567" t="s">
        <v>33</v>
      </c>
      <c r="I567" s="3" t="s">
        <v>3212</v>
      </c>
      <c r="J567" s="3" t="s">
        <v>3518</v>
      </c>
      <c r="K567" s="3" t="s">
        <v>3524</v>
      </c>
      <c r="L567" s="3" t="s">
        <v>4004</v>
      </c>
      <c r="M567">
        <v>229.36</v>
      </c>
      <c r="N567">
        <v>25</v>
      </c>
      <c r="O567">
        <f>Supply_Chain[[#This Row],[Unit_Price]]*Supply_Chain[[#This Row],[Quantity]]</f>
        <v>5734</v>
      </c>
      <c r="P567" t="s">
        <v>1720</v>
      </c>
      <c r="Q567" t="s">
        <v>35</v>
      </c>
      <c r="R567" t="s">
        <v>466</v>
      </c>
      <c r="S567" t="s">
        <v>70</v>
      </c>
      <c r="T567" t="s">
        <v>79</v>
      </c>
      <c r="U567" t="s">
        <v>619</v>
      </c>
      <c r="V567">
        <v>3909</v>
      </c>
      <c r="W567">
        <v>165</v>
      </c>
      <c r="X567">
        <v>6</v>
      </c>
      <c r="Y567">
        <v>1608.67</v>
      </c>
      <c r="Z567">
        <v>35.82</v>
      </c>
      <c r="AA567" s="9">
        <v>1644.49</v>
      </c>
      <c r="AB567" t="s">
        <v>52</v>
      </c>
      <c r="AC567">
        <v>0</v>
      </c>
      <c r="AD567">
        <v>76.040000000000006</v>
      </c>
      <c r="AE567">
        <v>463</v>
      </c>
      <c r="AF567">
        <v>507</v>
      </c>
      <c r="AG567" s="11">
        <f>Supply_Chain[[#This Row],[Total_Cost]]/Supply_Chain[[#This Row],[Stock_On_Hand]]</f>
        <v>0.42069327193655665</v>
      </c>
    </row>
    <row r="568" spans="1:33" x14ac:dyDescent="0.25">
      <c r="A568" t="s">
        <v>1721</v>
      </c>
      <c r="B568" t="s">
        <v>1722</v>
      </c>
      <c r="C568" s="1">
        <v>44777</v>
      </c>
      <c r="D568" s="1">
        <v>43904</v>
      </c>
      <c r="E568" t="s">
        <v>55</v>
      </c>
      <c r="F568" t="s">
        <v>64</v>
      </c>
      <c r="G568" t="s">
        <v>56</v>
      </c>
      <c r="H568" t="s">
        <v>128</v>
      </c>
      <c r="I568" s="3" t="s">
        <v>3213</v>
      </c>
      <c r="J568" s="3" t="s">
        <v>3519</v>
      </c>
      <c r="K568" s="3" t="s">
        <v>3528</v>
      </c>
      <c r="L568" s="3" t="s">
        <v>4005</v>
      </c>
      <c r="M568">
        <v>385.2</v>
      </c>
      <c r="N568">
        <v>88</v>
      </c>
      <c r="O568">
        <f>Supply_Chain[[#This Row],[Unit_Price]]*Supply_Chain[[#This Row],[Quantity]]</f>
        <v>33897.599999999999</v>
      </c>
      <c r="P568" t="s">
        <v>1723</v>
      </c>
      <c r="Q568" t="s">
        <v>48</v>
      </c>
      <c r="R568" t="s">
        <v>269</v>
      </c>
      <c r="S568" t="s">
        <v>119</v>
      </c>
      <c r="T568" t="s">
        <v>79</v>
      </c>
      <c r="U568" t="s">
        <v>310</v>
      </c>
      <c r="V568">
        <v>1626</v>
      </c>
      <c r="W568">
        <v>355</v>
      </c>
      <c r="X568">
        <v>21</v>
      </c>
      <c r="Y568">
        <v>1312.13</v>
      </c>
      <c r="Z568">
        <v>352.33</v>
      </c>
      <c r="AA568" s="9">
        <v>1664.46</v>
      </c>
      <c r="AB568" t="s">
        <v>52</v>
      </c>
      <c r="AC568">
        <v>0</v>
      </c>
      <c r="AD568">
        <v>90.66</v>
      </c>
      <c r="AE568">
        <v>382</v>
      </c>
      <c r="AF568">
        <v>422</v>
      </c>
      <c r="AG568" s="11">
        <f>Supply_Chain[[#This Row],[Total_Cost]]/Supply_Chain[[#This Row],[Stock_On_Hand]]</f>
        <v>1.0236531365313652</v>
      </c>
    </row>
    <row r="569" spans="1:33" x14ac:dyDescent="0.25">
      <c r="A569" t="s">
        <v>1724</v>
      </c>
      <c r="B569" t="s">
        <v>1725</v>
      </c>
      <c r="C569" s="1">
        <v>43881</v>
      </c>
      <c r="D569" s="1">
        <v>44718</v>
      </c>
      <c r="E569" t="s">
        <v>30</v>
      </c>
      <c r="F569" t="s">
        <v>115</v>
      </c>
      <c r="G569" t="s">
        <v>83</v>
      </c>
      <c r="H569" t="s">
        <v>66</v>
      </c>
      <c r="I569" s="3" t="s">
        <v>3214</v>
      </c>
      <c r="J569" s="3" t="s">
        <v>84</v>
      </c>
      <c r="K569" s="3" t="s">
        <v>3529</v>
      </c>
      <c r="L569" s="3" t="s">
        <v>4006</v>
      </c>
      <c r="M569">
        <v>464.04</v>
      </c>
      <c r="N569">
        <v>69</v>
      </c>
      <c r="O569">
        <f>Supply_Chain[[#This Row],[Unit_Price]]*Supply_Chain[[#This Row],[Quantity]]</f>
        <v>32018.760000000002</v>
      </c>
      <c r="P569" t="s">
        <v>1364</v>
      </c>
      <c r="Q569" t="s">
        <v>110</v>
      </c>
      <c r="R569" t="s">
        <v>480</v>
      </c>
      <c r="S569" t="s">
        <v>37</v>
      </c>
      <c r="T569" t="s">
        <v>38</v>
      </c>
      <c r="U569" t="s">
        <v>265</v>
      </c>
      <c r="V569">
        <v>3476</v>
      </c>
      <c r="W569">
        <v>59</v>
      </c>
      <c r="X569">
        <v>12</v>
      </c>
      <c r="Y569">
        <v>68.84</v>
      </c>
      <c r="Z569">
        <v>182.15</v>
      </c>
      <c r="AA569" s="9">
        <v>250.99</v>
      </c>
      <c r="AB569" t="s">
        <v>40</v>
      </c>
      <c r="AC569">
        <v>13</v>
      </c>
      <c r="AD569">
        <v>82.61</v>
      </c>
      <c r="AE569">
        <v>330</v>
      </c>
      <c r="AF569">
        <v>372</v>
      </c>
      <c r="AG569" s="11">
        <f>Supply_Chain[[#This Row],[Total_Cost]]/Supply_Chain[[#This Row],[Stock_On_Hand]]</f>
        <v>7.2206559263521292E-2</v>
      </c>
    </row>
    <row r="570" spans="1:33" x14ac:dyDescent="0.25">
      <c r="A570" t="s">
        <v>1726</v>
      </c>
      <c r="B570" t="s">
        <v>1727</v>
      </c>
      <c r="C570" s="1">
        <v>45101</v>
      </c>
      <c r="D570" s="1">
        <v>44262</v>
      </c>
      <c r="E570" t="s">
        <v>43</v>
      </c>
      <c r="F570" t="s">
        <v>115</v>
      </c>
      <c r="G570" t="s">
        <v>45</v>
      </c>
      <c r="H570" t="s">
        <v>57</v>
      </c>
      <c r="I570" s="3" t="s">
        <v>3159</v>
      </c>
      <c r="J570" s="3" t="s">
        <v>3518</v>
      </c>
      <c r="K570" s="3" t="s">
        <v>3525</v>
      </c>
      <c r="L570" s="3" t="s">
        <v>3953</v>
      </c>
      <c r="M570">
        <v>136.81</v>
      </c>
      <c r="N570">
        <v>22</v>
      </c>
      <c r="O570">
        <f>Supply_Chain[[#This Row],[Unit_Price]]*Supply_Chain[[#This Row],[Quantity]]</f>
        <v>3009.82</v>
      </c>
      <c r="P570" t="s">
        <v>1728</v>
      </c>
      <c r="Q570" t="s">
        <v>48</v>
      </c>
      <c r="R570" t="s">
        <v>480</v>
      </c>
      <c r="S570" t="s">
        <v>119</v>
      </c>
      <c r="T570" t="s">
        <v>100</v>
      </c>
      <c r="U570" t="s">
        <v>155</v>
      </c>
      <c r="V570">
        <v>2618</v>
      </c>
      <c r="W570">
        <v>283</v>
      </c>
      <c r="X570">
        <v>5</v>
      </c>
      <c r="Y570">
        <v>829.83</v>
      </c>
      <c r="Z570">
        <v>197.34</v>
      </c>
      <c r="AA570" s="9">
        <v>1027.17</v>
      </c>
      <c r="AB570" t="s">
        <v>52</v>
      </c>
      <c r="AC570">
        <v>0</v>
      </c>
      <c r="AD570">
        <v>98.09</v>
      </c>
      <c r="AE570">
        <v>284</v>
      </c>
      <c r="AF570">
        <v>312</v>
      </c>
      <c r="AG570" s="11">
        <f>Supply_Chain[[#This Row],[Total_Cost]]/Supply_Chain[[#This Row],[Stock_On_Hand]]</f>
        <v>0.39234912146676854</v>
      </c>
    </row>
    <row r="571" spans="1:33" x14ac:dyDescent="0.25">
      <c r="A571" t="s">
        <v>1729</v>
      </c>
      <c r="B571" t="s">
        <v>1730</v>
      </c>
      <c r="C571" s="1">
        <v>44963</v>
      </c>
      <c r="D571" s="1">
        <v>45491</v>
      </c>
      <c r="E571" t="s">
        <v>55</v>
      </c>
      <c r="F571" t="s">
        <v>115</v>
      </c>
      <c r="G571" t="s">
        <v>83</v>
      </c>
      <c r="H571" t="s">
        <v>166</v>
      </c>
      <c r="I571" s="3" t="s">
        <v>3215</v>
      </c>
      <c r="J571" s="3" t="s">
        <v>3518</v>
      </c>
      <c r="K571" s="3" t="s">
        <v>3522</v>
      </c>
      <c r="L571" s="3" t="s">
        <v>4007</v>
      </c>
      <c r="M571">
        <v>95.36</v>
      </c>
      <c r="N571">
        <v>30</v>
      </c>
      <c r="O571">
        <f>Supply_Chain[[#This Row],[Unit_Price]]*Supply_Chain[[#This Row],[Quantity]]</f>
        <v>2860.8</v>
      </c>
      <c r="P571" t="s">
        <v>1405</v>
      </c>
      <c r="Q571" t="s">
        <v>86</v>
      </c>
      <c r="R571" t="s">
        <v>327</v>
      </c>
      <c r="S571" t="s">
        <v>50</v>
      </c>
      <c r="T571" t="s">
        <v>60</v>
      </c>
      <c r="U571" t="s">
        <v>203</v>
      </c>
      <c r="V571">
        <v>2157</v>
      </c>
      <c r="W571">
        <v>353</v>
      </c>
      <c r="X571">
        <v>2</v>
      </c>
      <c r="Y571">
        <v>654.92999999999995</v>
      </c>
      <c r="Z571">
        <v>373.52</v>
      </c>
      <c r="AA571" s="9">
        <v>1028.45</v>
      </c>
      <c r="AB571" t="s">
        <v>52</v>
      </c>
      <c r="AC571">
        <v>0</v>
      </c>
      <c r="AD571">
        <v>96.7</v>
      </c>
      <c r="AE571">
        <v>173</v>
      </c>
      <c r="AF571">
        <v>181</v>
      </c>
      <c r="AG571" s="11">
        <f>Supply_Chain[[#This Row],[Total_Cost]]/Supply_Chain[[#This Row],[Stock_On_Hand]]</f>
        <v>0.47679647658785351</v>
      </c>
    </row>
    <row r="572" spans="1:33" x14ac:dyDescent="0.25">
      <c r="A572" t="s">
        <v>1731</v>
      </c>
      <c r="B572" t="s">
        <v>1732</v>
      </c>
      <c r="C572" s="1">
        <v>45333</v>
      </c>
      <c r="D572" s="1">
        <v>44592</v>
      </c>
      <c r="E572" t="s">
        <v>55</v>
      </c>
      <c r="F572" t="s">
        <v>44</v>
      </c>
      <c r="G572" t="s">
        <v>32</v>
      </c>
      <c r="H572" t="s">
        <v>166</v>
      </c>
      <c r="I572" s="3" t="s">
        <v>2918</v>
      </c>
      <c r="J572" s="3" t="s">
        <v>3518</v>
      </c>
      <c r="K572" s="3" t="s">
        <v>3524</v>
      </c>
      <c r="L572" s="3" t="s">
        <v>3717</v>
      </c>
      <c r="M572">
        <v>149.6</v>
      </c>
      <c r="N572">
        <v>59</v>
      </c>
      <c r="O572">
        <f>Supply_Chain[[#This Row],[Unit_Price]]*Supply_Chain[[#This Row],[Quantity]]</f>
        <v>8826.4</v>
      </c>
      <c r="P572" t="s">
        <v>1733</v>
      </c>
      <c r="Q572" t="s">
        <v>86</v>
      </c>
      <c r="R572" t="s">
        <v>476</v>
      </c>
      <c r="S572" t="s">
        <v>119</v>
      </c>
      <c r="T572" t="s">
        <v>79</v>
      </c>
      <c r="U572" t="s">
        <v>150</v>
      </c>
      <c r="V572">
        <v>2472</v>
      </c>
      <c r="W572">
        <v>464</v>
      </c>
      <c r="X572">
        <v>18</v>
      </c>
      <c r="Y572">
        <v>1570.12</v>
      </c>
      <c r="Z572">
        <v>279.12</v>
      </c>
      <c r="AA572" s="9">
        <v>1849.24</v>
      </c>
      <c r="AB572" t="s">
        <v>52</v>
      </c>
      <c r="AC572">
        <v>0</v>
      </c>
      <c r="AD572">
        <v>90.34</v>
      </c>
      <c r="AE572">
        <v>429</v>
      </c>
      <c r="AF572">
        <v>438</v>
      </c>
      <c r="AG572" s="11">
        <f>Supply_Chain[[#This Row],[Total_Cost]]/Supply_Chain[[#This Row],[Stock_On_Hand]]</f>
        <v>0.74807443365695792</v>
      </c>
    </row>
    <row r="573" spans="1:33" x14ac:dyDescent="0.25">
      <c r="A573" t="s">
        <v>1734</v>
      </c>
      <c r="B573" t="s">
        <v>1735</v>
      </c>
      <c r="C573" s="1">
        <v>43864</v>
      </c>
      <c r="D573" s="1">
        <v>44680</v>
      </c>
      <c r="E573" t="s">
        <v>55</v>
      </c>
      <c r="F573" t="s">
        <v>64</v>
      </c>
      <c r="G573" t="s">
        <v>83</v>
      </c>
      <c r="H573" t="s">
        <v>66</v>
      </c>
      <c r="I573" s="3" t="s">
        <v>3216</v>
      </c>
      <c r="J573" s="3" t="s">
        <v>3519</v>
      </c>
      <c r="K573" s="3" t="s">
        <v>3528</v>
      </c>
      <c r="L573" s="3" t="s">
        <v>4008</v>
      </c>
      <c r="M573">
        <v>110.43</v>
      </c>
      <c r="N573">
        <v>61</v>
      </c>
      <c r="O573">
        <f>Supply_Chain[[#This Row],[Unit_Price]]*Supply_Chain[[#This Row],[Quantity]]</f>
        <v>6736.2300000000005</v>
      </c>
      <c r="P573" t="s">
        <v>1736</v>
      </c>
      <c r="Q573" t="s">
        <v>86</v>
      </c>
      <c r="R573" t="s">
        <v>186</v>
      </c>
      <c r="S573" t="s">
        <v>50</v>
      </c>
      <c r="T573" t="s">
        <v>71</v>
      </c>
      <c r="U573" t="s">
        <v>669</v>
      </c>
      <c r="V573">
        <v>1181</v>
      </c>
      <c r="W573">
        <v>169</v>
      </c>
      <c r="X573">
        <v>2</v>
      </c>
      <c r="Y573">
        <v>823.97</v>
      </c>
      <c r="Z573">
        <v>288.99</v>
      </c>
      <c r="AA573" s="9">
        <v>1112.96</v>
      </c>
      <c r="AB573" t="s">
        <v>52</v>
      </c>
      <c r="AC573">
        <v>0</v>
      </c>
      <c r="AD573">
        <v>81.53</v>
      </c>
      <c r="AE573">
        <v>415</v>
      </c>
      <c r="AF573">
        <v>385</v>
      </c>
      <c r="AG573" s="11">
        <f>Supply_Chain[[#This Row],[Total_Cost]]/Supply_Chain[[#This Row],[Stock_On_Hand]]</f>
        <v>0.9423878069432684</v>
      </c>
    </row>
    <row r="574" spans="1:33" x14ac:dyDescent="0.25">
      <c r="A574" t="s">
        <v>1737</v>
      </c>
      <c r="B574" t="s">
        <v>1738</v>
      </c>
      <c r="C574" s="1">
        <v>43858</v>
      </c>
      <c r="D574" s="1">
        <v>44146</v>
      </c>
      <c r="E574" t="s">
        <v>43</v>
      </c>
      <c r="F574" t="s">
        <v>64</v>
      </c>
      <c r="G574" t="s">
        <v>76</v>
      </c>
      <c r="H574" t="s">
        <v>57</v>
      </c>
      <c r="I574" s="3" t="s">
        <v>3217</v>
      </c>
      <c r="J574" s="3" t="s">
        <v>84</v>
      </c>
      <c r="K574" s="3" t="s">
        <v>3529</v>
      </c>
      <c r="L574" s="3" t="s">
        <v>4009</v>
      </c>
      <c r="M574">
        <v>372</v>
      </c>
      <c r="N574">
        <v>19</v>
      </c>
      <c r="O574">
        <f>Supply_Chain[[#This Row],[Unit_Price]]*Supply_Chain[[#This Row],[Quantity]]</f>
        <v>7068</v>
      </c>
      <c r="P574" t="s">
        <v>1739</v>
      </c>
      <c r="Q574" t="s">
        <v>35</v>
      </c>
      <c r="R574" t="s">
        <v>78</v>
      </c>
      <c r="S574" t="s">
        <v>37</v>
      </c>
      <c r="T574" t="s">
        <v>38</v>
      </c>
      <c r="U574" t="s">
        <v>196</v>
      </c>
      <c r="V574">
        <v>423</v>
      </c>
      <c r="W574">
        <v>74</v>
      </c>
      <c r="X574">
        <v>20</v>
      </c>
      <c r="Y574">
        <v>742.61</v>
      </c>
      <c r="Z574">
        <v>432.23</v>
      </c>
      <c r="AA574" s="9">
        <v>1174.8399999999999</v>
      </c>
      <c r="AB574" t="s">
        <v>52</v>
      </c>
      <c r="AC574">
        <v>0</v>
      </c>
      <c r="AD574">
        <v>70.180000000000007</v>
      </c>
      <c r="AE574">
        <v>437</v>
      </c>
      <c r="AF574">
        <v>484</v>
      </c>
      <c r="AG574" s="11">
        <f>Supply_Chain[[#This Row],[Total_Cost]]/Supply_Chain[[#This Row],[Stock_On_Hand]]</f>
        <v>2.7773995271867609</v>
      </c>
    </row>
    <row r="575" spans="1:33" x14ac:dyDescent="0.25">
      <c r="A575" t="s">
        <v>1740</v>
      </c>
      <c r="B575" t="s">
        <v>1741</v>
      </c>
      <c r="C575" s="1">
        <v>43911</v>
      </c>
      <c r="D575" s="1">
        <v>45529</v>
      </c>
      <c r="E575" t="s">
        <v>55</v>
      </c>
      <c r="F575" t="s">
        <v>64</v>
      </c>
      <c r="G575" t="s">
        <v>247</v>
      </c>
      <c r="H575" t="s">
        <v>128</v>
      </c>
      <c r="I575" s="3" t="s">
        <v>3218</v>
      </c>
      <c r="J575" s="3" t="s">
        <v>84</v>
      </c>
      <c r="K575" s="3" t="s">
        <v>3534</v>
      </c>
      <c r="L575" s="3" t="s">
        <v>3824</v>
      </c>
      <c r="M575">
        <v>347.06</v>
      </c>
      <c r="N575">
        <v>56</v>
      </c>
      <c r="O575">
        <f>Supply_Chain[[#This Row],[Unit_Price]]*Supply_Chain[[#This Row],[Quantity]]</f>
        <v>19435.36</v>
      </c>
      <c r="P575" t="s">
        <v>1742</v>
      </c>
      <c r="Q575" t="s">
        <v>35</v>
      </c>
      <c r="R575" t="s">
        <v>231</v>
      </c>
      <c r="S575" t="s">
        <v>37</v>
      </c>
      <c r="T575" t="s">
        <v>71</v>
      </c>
      <c r="U575" t="s">
        <v>155</v>
      </c>
      <c r="V575">
        <v>2022</v>
      </c>
      <c r="W575">
        <v>159</v>
      </c>
      <c r="X575">
        <v>4</v>
      </c>
      <c r="Y575">
        <v>678.29</v>
      </c>
      <c r="Z575">
        <v>148.77000000000001</v>
      </c>
      <c r="AA575" s="9">
        <v>827.06</v>
      </c>
      <c r="AB575" t="s">
        <v>52</v>
      </c>
      <c r="AC575">
        <v>0</v>
      </c>
      <c r="AD575">
        <v>79.92</v>
      </c>
      <c r="AE575">
        <v>489</v>
      </c>
      <c r="AF575">
        <v>487</v>
      </c>
      <c r="AG575" s="11">
        <f>Supply_Chain[[#This Row],[Total_Cost]]/Supply_Chain[[#This Row],[Stock_On_Hand]]</f>
        <v>0.4090306627101879</v>
      </c>
    </row>
    <row r="576" spans="1:33" x14ac:dyDescent="0.25">
      <c r="A576" t="s">
        <v>1743</v>
      </c>
      <c r="B576" t="s">
        <v>1744</v>
      </c>
      <c r="C576" s="1">
        <v>44203</v>
      </c>
      <c r="D576" s="1">
        <v>44392</v>
      </c>
      <c r="E576" t="s">
        <v>55</v>
      </c>
      <c r="F576" t="s">
        <v>31</v>
      </c>
      <c r="G576" t="s">
        <v>247</v>
      </c>
      <c r="H576" t="s">
        <v>92</v>
      </c>
      <c r="I576" s="3" t="s">
        <v>3219</v>
      </c>
      <c r="J576" s="3" t="s">
        <v>3518</v>
      </c>
      <c r="K576" s="3" t="s">
        <v>3532</v>
      </c>
      <c r="L576" s="3" t="s">
        <v>4010</v>
      </c>
      <c r="M576">
        <v>91.45</v>
      </c>
      <c r="N576">
        <v>66</v>
      </c>
      <c r="O576">
        <f>Supply_Chain[[#This Row],[Unit_Price]]*Supply_Chain[[#This Row],[Quantity]]</f>
        <v>6035.7</v>
      </c>
      <c r="P576" t="s">
        <v>1037</v>
      </c>
      <c r="Q576" t="s">
        <v>68</v>
      </c>
      <c r="R576" t="s">
        <v>327</v>
      </c>
      <c r="S576" t="s">
        <v>50</v>
      </c>
      <c r="T576" t="s">
        <v>100</v>
      </c>
      <c r="U576" t="s">
        <v>219</v>
      </c>
      <c r="V576">
        <v>2882</v>
      </c>
      <c r="W576">
        <v>267</v>
      </c>
      <c r="X576">
        <v>22</v>
      </c>
      <c r="Y576">
        <v>1734.49</v>
      </c>
      <c r="Z576">
        <v>473.92</v>
      </c>
      <c r="AA576" s="9">
        <v>2208.41</v>
      </c>
      <c r="AB576" t="s">
        <v>52</v>
      </c>
      <c r="AC576">
        <v>0</v>
      </c>
      <c r="AD576">
        <v>95.69</v>
      </c>
      <c r="AE576">
        <v>166</v>
      </c>
      <c r="AF576">
        <v>126</v>
      </c>
      <c r="AG576" s="11">
        <f>Supply_Chain[[#This Row],[Total_Cost]]/Supply_Chain[[#This Row],[Stock_On_Hand]]</f>
        <v>0.76627689104788332</v>
      </c>
    </row>
    <row r="577" spans="1:33" x14ac:dyDescent="0.25">
      <c r="A577" t="s">
        <v>1745</v>
      </c>
      <c r="B577" t="s">
        <v>1746</v>
      </c>
      <c r="C577" s="1">
        <v>43945</v>
      </c>
      <c r="D577" s="1">
        <v>45515</v>
      </c>
      <c r="E577" t="s">
        <v>55</v>
      </c>
      <c r="F577" t="s">
        <v>31</v>
      </c>
      <c r="G577" t="s">
        <v>91</v>
      </c>
      <c r="H577" t="s">
        <v>46</v>
      </c>
      <c r="I577" s="3" t="s">
        <v>3220</v>
      </c>
      <c r="J577" s="3" t="s">
        <v>3518</v>
      </c>
      <c r="K577" s="3" t="s">
        <v>3523</v>
      </c>
      <c r="L577" s="3" t="s">
        <v>4011</v>
      </c>
      <c r="M577">
        <v>144.16999999999999</v>
      </c>
      <c r="N577">
        <v>58</v>
      </c>
      <c r="O577">
        <f>Supply_Chain[[#This Row],[Unit_Price]]*Supply_Chain[[#This Row],[Quantity]]</f>
        <v>8361.8599999999988</v>
      </c>
      <c r="P577" t="s">
        <v>1747</v>
      </c>
      <c r="Q577" t="s">
        <v>35</v>
      </c>
      <c r="R577" t="s">
        <v>145</v>
      </c>
      <c r="S577" t="s">
        <v>50</v>
      </c>
      <c r="T577" t="s">
        <v>60</v>
      </c>
      <c r="U577" t="s">
        <v>669</v>
      </c>
      <c r="V577">
        <v>1999</v>
      </c>
      <c r="W577">
        <v>192</v>
      </c>
      <c r="X577">
        <v>19</v>
      </c>
      <c r="Y577">
        <v>328.44</v>
      </c>
      <c r="Z577">
        <v>111.04</v>
      </c>
      <c r="AA577" s="9">
        <v>439.48</v>
      </c>
      <c r="AB577" t="s">
        <v>52</v>
      </c>
      <c r="AC577">
        <v>0</v>
      </c>
      <c r="AD577">
        <v>80.12</v>
      </c>
      <c r="AE577">
        <v>499</v>
      </c>
      <c r="AF577">
        <v>452</v>
      </c>
      <c r="AG577" s="11">
        <f>Supply_Chain[[#This Row],[Total_Cost]]/Supply_Chain[[#This Row],[Stock_On_Hand]]</f>
        <v>0.21984992496248126</v>
      </c>
    </row>
    <row r="578" spans="1:33" x14ac:dyDescent="0.25">
      <c r="A578" t="s">
        <v>1748</v>
      </c>
      <c r="B578" t="s">
        <v>1701</v>
      </c>
      <c r="C578" s="1">
        <v>44932</v>
      </c>
      <c r="D578" s="1">
        <v>45170</v>
      </c>
      <c r="E578" t="s">
        <v>55</v>
      </c>
      <c r="F578" t="s">
        <v>44</v>
      </c>
      <c r="G578" t="s">
        <v>91</v>
      </c>
      <c r="H578" t="s">
        <v>66</v>
      </c>
      <c r="I578" s="3" t="s">
        <v>3099</v>
      </c>
      <c r="J578" s="3" t="s">
        <v>3518</v>
      </c>
      <c r="K578" s="3" t="s">
        <v>3524</v>
      </c>
      <c r="L578" s="3" t="s">
        <v>3894</v>
      </c>
      <c r="M578">
        <v>207.34</v>
      </c>
      <c r="N578">
        <v>44</v>
      </c>
      <c r="O578">
        <f>Supply_Chain[[#This Row],[Unit_Price]]*Supply_Chain[[#This Row],[Quantity]]</f>
        <v>9122.9600000000009</v>
      </c>
      <c r="P578" t="s">
        <v>1749</v>
      </c>
      <c r="Q578" t="s">
        <v>68</v>
      </c>
      <c r="R578" t="s">
        <v>140</v>
      </c>
      <c r="S578" t="s">
        <v>70</v>
      </c>
      <c r="T578" t="s">
        <v>60</v>
      </c>
      <c r="U578" t="s">
        <v>112</v>
      </c>
      <c r="V578">
        <v>952</v>
      </c>
      <c r="W578">
        <v>467</v>
      </c>
      <c r="X578">
        <v>14</v>
      </c>
      <c r="Y578">
        <v>1230.51</v>
      </c>
      <c r="Z578">
        <v>62.64</v>
      </c>
      <c r="AA578" s="9">
        <v>1293.1500000000001</v>
      </c>
      <c r="AB578" t="s">
        <v>52</v>
      </c>
      <c r="AC578">
        <v>0</v>
      </c>
      <c r="AD578">
        <v>79.59</v>
      </c>
      <c r="AE578">
        <v>236</v>
      </c>
      <c r="AF578">
        <v>239</v>
      </c>
      <c r="AG578" s="11">
        <f>Supply_Chain[[#This Row],[Total_Cost]]/Supply_Chain[[#This Row],[Stock_On_Hand]]</f>
        <v>1.3583508403361346</v>
      </c>
    </row>
    <row r="579" spans="1:33" x14ac:dyDescent="0.25">
      <c r="A579" t="s">
        <v>1750</v>
      </c>
      <c r="B579" t="s">
        <v>1751</v>
      </c>
      <c r="C579" s="1">
        <v>44008</v>
      </c>
      <c r="D579" s="1">
        <v>44644</v>
      </c>
      <c r="E579" t="s">
        <v>55</v>
      </c>
      <c r="F579" t="s">
        <v>75</v>
      </c>
      <c r="G579" t="s">
        <v>91</v>
      </c>
      <c r="H579" t="s">
        <v>57</v>
      </c>
      <c r="I579" s="3" t="s">
        <v>3221</v>
      </c>
      <c r="J579" s="3" t="s">
        <v>84</v>
      </c>
      <c r="K579" s="3" t="s">
        <v>3531</v>
      </c>
      <c r="L579" s="3" t="s">
        <v>4012</v>
      </c>
      <c r="M579">
        <v>115.29</v>
      </c>
      <c r="N579">
        <v>80</v>
      </c>
      <c r="O579">
        <f>Supply_Chain[[#This Row],[Unit_Price]]*Supply_Chain[[#This Row],[Quantity]]</f>
        <v>9223.2000000000007</v>
      </c>
      <c r="P579" t="s">
        <v>1752</v>
      </c>
      <c r="Q579" t="s">
        <v>68</v>
      </c>
      <c r="R579" t="s">
        <v>172</v>
      </c>
      <c r="S579" t="s">
        <v>50</v>
      </c>
      <c r="T579" t="s">
        <v>60</v>
      </c>
      <c r="U579" t="s">
        <v>459</v>
      </c>
      <c r="V579">
        <v>1289</v>
      </c>
      <c r="W579">
        <v>279</v>
      </c>
      <c r="X579">
        <v>12</v>
      </c>
      <c r="Y579">
        <v>118.22</v>
      </c>
      <c r="Z579">
        <v>200.93</v>
      </c>
      <c r="AA579" s="9">
        <v>319.14999999999998</v>
      </c>
      <c r="AB579" t="s">
        <v>52</v>
      </c>
      <c r="AC579">
        <v>0</v>
      </c>
      <c r="AD579">
        <v>82.04</v>
      </c>
      <c r="AE579">
        <v>291</v>
      </c>
      <c r="AF579">
        <v>247</v>
      </c>
      <c r="AG579" s="11">
        <f>Supply_Chain[[#This Row],[Total_Cost]]/Supply_Chain[[#This Row],[Stock_On_Hand]]</f>
        <v>0.24759503491078352</v>
      </c>
    </row>
    <row r="580" spans="1:33" x14ac:dyDescent="0.25">
      <c r="A580" t="s">
        <v>1753</v>
      </c>
      <c r="B580" t="s">
        <v>1754</v>
      </c>
      <c r="C580" s="1">
        <v>45231</v>
      </c>
      <c r="D580" s="1">
        <v>44394</v>
      </c>
      <c r="E580" t="s">
        <v>55</v>
      </c>
      <c r="F580" t="s">
        <v>115</v>
      </c>
      <c r="G580" t="s">
        <v>83</v>
      </c>
      <c r="H580" t="s">
        <v>92</v>
      </c>
      <c r="I580" s="3" t="s">
        <v>3084</v>
      </c>
      <c r="J580" s="3" t="s">
        <v>84</v>
      </c>
      <c r="K580" s="3" t="s">
        <v>3529</v>
      </c>
      <c r="L580" s="3" t="s">
        <v>3879</v>
      </c>
      <c r="M580">
        <v>219.84</v>
      </c>
      <c r="N580">
        <v>41</v>
      </c>
      <c r="O580">
        <f>Supply_Chain[[#This Row],[Unit_Price]]*Supply_Chain[[#This Row],[Quantity]]</f>
        <v>9013.44</v>
      </c>
      <c r="P580" t="s">
        <v>1755</v>
      </c>
      <c r="Q580" t="s">
        <v>86</v>
      </c>
      <c r="R580" t="s">
        <v>264</v>
      </c>
      <c r="S580" t="s">
        <v>37</v>
      </c>
      <c r="T580" t="s">
        <v>60</v>
      </c>
      <c r="U580" t="s">
        <v>809</v>
      </c>
      <c r="V580">
        <v>434</v>
      </c>
      <c r="W580">
        <v>269</v>
      </c>
      <c r="X580">
        <v>4</v>
      </c>
      <c r="Y580">
        <v>876.64</v>
      </c>
      <c r="Z580">
        <v>353.86</v>
      </c>
      <c r="AA580" s="9">
        <v>1230.5</v>
      </c>
      <c r="AB580" t="s">
        <v>52</v>
      </c>
      <c r="AC580">
        <v>0</v>
      </c>
      <c r="AD580">
        <v>70.5</v>
      </c>
      <c r="AE580">
        <v>484</v>
      </c>
      <c r="AF580">
        <v>471</v>
      </c>
      <c r="AG580" s="11">
        <f>Supply_Chain[[#This Row],[Total_Cost]]/Supply_Chain[[#This Row],[Stock_On_Hand]]</f>
        <v>2.835253456221198</v>
      </c>
    </row>
    <row r="581" spans="1:33" x14ac:dyDescent="0.25">
      <c r="A581" t="s">
        <v>1756</v>
      </c>
      <c r="B581" t="s">
        <v>1757</v>
      </c>
      <c r="C581" s="1">
        <v>43834</v>
      </c>
      <c r="D581" s="1">
        <v>44687</v>
      </c>
      <c r="E581" t="s">
        <v>30</v>
      </c>
      <c r="F581" t="s">
        <v>115</v>
      </c>
      <c r="G581" t="s">
        <v>56</v>
      </c>
      <c r="H581" t="s">
        <v>33</v>
      </c>
      <c r="I581" s="3" t="s">
        <v>3222</v>
      </c>
      <c r="J581" s="3" t="s">
        <v>84</v>
      </c>
      <c r="K581" s="3" t="s">
        <v>3529</v>
      </c>
      <c r="L581" s="3" t="s">
        <v>4013</v>
      </c>
      <c r="M581">
        <v>330.12</v>
      </c>
      <c r="N581">
        <v>55</v>
      </c>
      <c r="O581">
        <f>Supply_Chain[[#This Row],[Unit_Price]]*Supply_Chain[[#This Row],[Quantity]]</f>
        <v>18156.599999999999</v>
      </c>
      <c r="P581" t="s">
        <v>1758</v>
      </c>
      <c r="Q581" t="s">
        <v>110</v>
      </c>
      <c r="R581" t="s">
        <v>360</v>
      </c>
      <c r="S581" t="s">
        <v>50</v>
      </c>
      <c r="T581" t="s">
        <v>79</v>
      </c>
      <c r="U581" t="s">
        <v>855</v>
      </c>
      <c r="V581">
        <v>1313</v>
      </c>
      <c r="W581">
        <v>380</v>
      </c>
      <c r="X581">
        <v>6</v>
      </c>
      <c r="Y581">
        <v>1390.4</v>
      </c>
      <c r="Z581">
        <v>99.35</v>
      </c>
      <c r="AA581" s="9">
        <v>1489.75</v>
      </c>
      <c r="AB581" t="s">
        <v>52</v>
      </c>
      <c r="AC581">
        <v>0</v>
      </c>
      <c r="AD581">
        <v>89.31</v>
      </c>
      <c r="AE581">
        <v>319</v>
      </c>
      <c r="AF581">
        <v>297</v>
      </c>
      <c r="AG581" s="11">
        <f>Supply_Chain[[#This Row],[Total_Cost]]/Supply_Chain[[#This Row],[Stock_On_Hand]]</f>
        <v>1.1346153846153846</v>
      </c>
    </row>
    <row r="582" spans="1:33" x14ac:dyDescent="0.25">
      <c r="A582" t="s">
        <v>1759</v>
      </c>
      <c r="B582" t="s">
        <v>1760</v>
      </c>
      <c r="C582" s="1">
        <v>44859</v>
      </c>
      <c r="D582" s="1">
        <v>44152</v>
      </c>
      <c r="E582" t="s">
        <v>55</v>
      </c>
      <c r="F582" t="s">
        <v>75</v>
      </c>
      <c r="G582" t="s">
        <v>65</v>
      </c>
      <c r="H582" t="s">
        <v>46</v>
      </c>
      <c r="I582" s="3" t="s">
        <v>3223</v>
      </c>
      <c r="J582" s="3" t="s">
        <v>3518</v>
      </c>
      <c r="K582" s="3" t="s">
        <v>3533</v>
      </c>
      <c r="L582" s="3" t="s">
        <v>4014</v>
      </c>
      <c r="M582">
        <v>297.08</v>
      </c>
      <c r="N582">
        <v>90</v>
      </c>
      <c r="O582">
        <f>Supply_Chain[[#This Row],[Unit_Price]]*Supply_Chain[[#This Row],[Quantity]]</f>
        <v>26737.199999999997</v>
      </c>
      <c r="P582" t="s">
        <v>144</v>
      </c>
      <c r="Q582" t="s">
        <v>48</v>
      </c>
      <c r="R582" t="s">
        <v>69</v>
      </c>
      <c r="S582" t="s">
        <v>70</v>
      </c>
      <c r="T582" t="s">
        <v>79</v>
      </c>
      <c r="U582" t="s">
        <v>187</v>
      </c>
      <c r="V582">
        <v>1237</v>
      </c>
      <c r="W582">
        <v>450</v>
      </c>
      <c r="X582">
        <v>20</v>
      </c>
      <c r="Y582">
        <v>230.38</v>
      </c>
      <c r="Z582">
        <v>352.55</v>
      </c>
      <c r="AA582" s="9">
        <v>582.93000000000006</v>
      </c>
      <c r="AB582" t="s">
        <v>52</v>
      </c>
      <c r="AC582">
        <v>0</v>
      </c>
      <c r="AD582">
        <v>80</v>
      </c>
      <c r="AE582">
        <v>457</v>
      </c>
      <c r="AF582">
        <v>412</v>
      </c>
      <c r="AG582" s="11">
        <f>Supply_Chain[[#This Row],[Total_Cost]]/Supply_Chain[[#This Row],[Stock_On_Hand]]</f>
        <v>0.47124494745351664</v>
      </c>
    </row>
    <row r="583" spans="1:33" x14ac:dyDescent="0.25">
      <c r="A583" t="s">
        <v>1761</v>
      </c>
      <c r="B583" t="s">
        <v>1762</v>
      </c>
      <c r="C583" s="1">
        <v>44092</v>
      </c>
      <c r="D583" s="1">
        <v>45658</v>
      </c>
      <c r="E583" t="s">
        <v>55</v>
      </c>
      <c r="F583" t="s">
        <v>75</v>
      </c>
      <c r="G583" t="s">
        <v>247</v>
      </c>
      <c r="H583" t="s">
        <v>128</v>
      </c>
      <c r="I583" s="3" t="s">
        <v>3224</v>
      </c>
      <c r="J583" s="3" t="s">
        <v>3518</v>
      </c>
      <c r="K583" s="3" t="s">
        <v>3521</v>
      </c>
      <c r="L583" s="3" t="s">
        <v>3913</v>
      </c>
      <c r="M583">
        <v>349.41</v>
      </c>
      <c r="N583">
        <v>42</v>
      </c>
      <c r="O583">
        <f>Supply_Chain[[#This Row],[Unit_Price]]*Supply_Chain[[#This Row],[Quantity]]</f>
        <v>14675.220000000001</v>
      </c>
      <c r="P583" t="s">
        <v>1226</v>
      </c>
      <c r="Q583" t="s">
        <v>86</v>
      </c>
      <c r="R583" t="s">
        <v>264</v>
      </c>
      <c r="S583" t="s">
        <v>70</v>
      </c>
      <c r="T583" t="s">
        <v>71</v>
      </c>
      <c r="U583" t="s">
        <v>106</v>
      </c>
      <c r="V583">
        <v>4458</v>
      </c>
      <c r="W583">
        <v>393</v>
      </c>
      <c r="X583">
        <v>20</v>
      </c>
      <c r="Y583">
        <v>96.34</v>
      </c>
      <c r="Z583">
        <v>300.07</v>
      </c>
      <c r="AA583" s="9">
        <v>396.41</v>
      </c>
      <c r="AB583" t="s">
        <v>52</v>
      </c>
      <c r="AC583">
        <v>0</v>
      </c>
      <c r="AD583">
        <v>83.42</v>
      </c>
      <c r="AE583">
        <v>230</v>
      </c>
      <c r="AF583">
        <v>214</v>
      </c>
      <c r="AG583" s="11">
        <f>Supply_Chain[[#This Row],[Total_Cost]]/Supply_Chain[[#This Row],[Stock_On_Hand]]</f>
        <v>8.8921040825482286E-2</v>
      </c>
    </row>
    <row r="584" spans="1:33" x14ac:dyDescent="0.25">
      <c r="A584" t="s">
        <v>1763</v>
      </c>
      <c r="B584" t="s">
        <v>1764</v>
      </c>
      <c r="C584" s="1">
        <v>45428</v>
      </c>
      <c r="D584" s="1">
        <v>43846</v>
      </c>
      <c r="E584" t="s">
        <v>55</v>
      </c>
      <c r="F584" t="s">
        <v>75</v>
      </c>
      <c r="G584" t="s">
        <v>83</v>
      </c>
      <c r="H584" t="s">
        <v>128</v>
      </c>
      <c r="I584" s="3" t="s">
        <v>3225</v>
      </c>
      <c r="J584" s="3" t="s">
        <v>84</v>
      </c>
      <c r="K584" s="3" t="s">
        <v>3534</v>
      </c>
      <c r="L584" s="3" t="s">
        <v>4015</v>
      </c>
      <c r="M584">
        <v>24.53</v>
      </c>
      <c r="N584">
        <v>43</v>
      </c>
      <c r="O584">
        <f>Supply_Chain[[#This Row],[Unit_Price]]*Supply_Chain[[#This Row],[Quantity]]</f>
        <v>1054.79</v>
      </c>
      <c r="P584" t="s">
        <v>1765</v>
      </c>
      <c r="Q584" t="s">
        <v>35</v>
      </c>
      <c r="R584" t="s">
        <v>301</v>
      </c>
      <c r="S584" t="s">
        <v>119</v>
      </c>
      <c r="T584" t="s">
        <v>100</v>
      </c>
      <c r="U584" t="s">
        <v>223</v>
      </c>
      <c r="V584">
        <v>1184</v>
      </c>
      <c r="W584">
        <v>140</v>
      </c>
      <c r="X584">
        <v>10</v>
      </c>
      <c r="Y584">
        <v>925.54</v>
      </c>
      <c r="Z584">
        <v>305.97000000000003</v>
      </c>
      <c r="AA584" s="9">
        <v>1231.51</v>
      </c>
      <c r="AB584" t="s">
        <v>52</v>
      </c>
      <c r="AC584">
        <v>0</v>
      </c>
      <c r="AD584">
        <v>82.69</v>
      </c>
      <c r="AE584">
        <v>498</v>
      </c>
      <c r="AF584">
        <v>499</v>
      </c>
      <c r="AG584" s="11">
        <f>Supply_Chain[[#This Row],[Total_Cost]]/Supply_Chain[[#This Row],[Stock_On_Hand]]</f>
        <v>1.0401266891891892</v>
      </c>
    </row>
    <row r="585" spans="1:33" x14ac:dyDescent="0.25">
      <c r="A585" t="s">
        <v>1766</v>
      </c>
      <c r="B585" t="s">
        <v>1767</v>
      </c>
      <c r="C585" s="1">
        <v>44098</v>
      </c>
      <c r="D585" s="1">
        <v>45288</v>
      </c>
      <c r="E585" t="s">
        <v>55</v>
      </c>
      <c r="F585" t="s">
        <v>115</v>
      </c>
      <c r="G585" t="s">
        <v>65</v>
      </c>
      <c r="H585" t="s">
        <v>33</v>
      </c>
      <c r="I585" s="3" t="s">
        <v>3226</v>
      </c>
      <c r="J585" s="3" t="s">
        <v>3518</v>
      </c>
      <c r="K585" s="3" t="s">
        <v>3525</v>
      </c>
      <c r="L585" s="3" t="s">
        <v>4016</v>
      </c>
      <c r="M585">
        <v>464.56</v>
      </c>
      <c r="N585">
        <v>91</v>
      </c>
      <c r="O585">
        <f>Supply_Chain[[#This Row],[Unit_Price]]*Supply_Chain[[#This Row],[Quantity]]</f>
        <v>42274.96</v>
      </c>
      <c r="P585" t="s">
        <v>1768</v>
      </c>
      <c r="Q585" t="s">
        <v>68</v>
      </c>
      <c r="R585" t="s">
        <v>154</v>
      </c>
      <c r="S585" t="s">
        <v>50</v>
      </c>
      <c r="T585" t="s">
        <v>79</v>
      </c>
      <c r="U585" t="s">
        <v>310</v>
      </c>
      <c r="V585">
        <v>278</v>
      </c>
      <c r="W585">
        <v>378</v>
      </c>
      <c r="X585">
        <v>27</v>
      </c>
      <c r="Y585">
        <v>1081.01</v>
      </c>
      <c r="Z585">
        <v>148.91</v>
      </c>
      <c r="AA585" s="9">
        <v>1229.92</v>
      </c>
      <c r="AB585" t="s">
        <v>52</v>
      </c>
      <c r="AC585">
        <v>0</v>
      </c>
      <c r="AD585">
        <v>72.489999999999995</v>
      </c>
      <c r="AE585">
        <v>189</v>
      </c>
      <c r="AF585">
        <v>200</v>
      </c>
      <c r="AG585" s="11">
        <f>Supply_Chain[[#This Row],[Total_Cost]]/Supply_Chain[[#This Row],[Stock_On_Hand]]</f>
        <v>4.4241726618705037</v>
      </c>
    </row>
    <row r="586" spans="1:33" x14ac:dyDescent="0.25">
      <c r="A586" t="s">
        <v>1769</v>
      </c>
      <c r="B586" t="s">
        <v>1088</v>
      </c>
      <c r="C586" s="1">
        <v>45589</v>
      </c>
      <c r="D586" s="1">
        <v>44745</v>
      </c>
      <c r="E586" t="s">
        <v>55</v>
      </c>
      <c r="F586" t="s">
        <v>31</v>
      </c>
      <c r="G586" t="s">
        <v>45</v>
      </c>
      <c r="H586" t="s">
        <v>128</v>
      </c>
      <c r="I586" s="3" t="s">
        <v>3227</v>
      </c>
      <c r="J586" s="3" t="s">
        <v>3518</v>
      </c>
      <c r="K586" s="3" t="s">
        <v>3522</v>
      </c>
      <c r="L586" s="3" t="s">
        <v>4017</v>
      </c>
      <c r="M586">
        <v>260.89</v>
      </c>
      <c r="N586">
        <v>84</v>
      </c>
      <c r="O586">
        <f>Supply_Chain[[#This Row],[Unit_Price]]*Supply_Chain[[#This Row],[Quantity]]</f>
        <v>21914.76</v>
      </c>
      <c r="P586" t="s">
        <v>635</v>
      </c>
      <c r="Q586" t="s">
        <v>110</v>
      </c>
      <c r="R586" t="s">
        <v>466</v>
      </c>
      <c r="S586" t="s">
        <v>50</v>
      </c>
      <c r="T586" t="s">
        <v>71</v>
      </c>
      <c r="U586" t="s">
        <v>619</v>
      </c>
      <c r="V586">
        <v>4167</v>
      </c>
      <c r="W586">
        <v>446</v>
      </c>
      <c r="X586">
        <v>29</v>
      </c>
      <c r="Y586">
        <v>188.23</v>
      </c>
      <c r="Z586">
        <v>408.31</v>
      </c>
      <c r="AA586" s="9">
        <v>596.54</v>
      </c>
      <c r="AB586" t="s">
        <v>52</v>
      </c>
      <c r="AC586">
        <v>0</v>
      </c>
      <c r="AD586">
        <v>89.54</v>
      </c>
      <c r="AE586">
        <v>377</v>
      </c>
      <c r="AF586">
        <v>413</v>
      </c>
      <c r="AG586" s="11">
        <f>Supply_Chain[[#This Row],[Total_Cost]]/Supply_Chain[[#This Row],[Stock_On_Hand]]</f>
        <v>0.14315814734821214</v>
      </c>
    </row>
    <row r="587" spans="1:33" x14ac:dyDescent="0.25">
      <c r="A587" t="s">
        <v>1770</v>
      </c>
      <c r="B587" t="s">
        <v>1771</v>
      </c>
      <c r="C587" s="1">
        <v>44043</v>
      </c>
      <c r="D587" s="1">
        <v>45546</v>
      </c>
      <c r="E587" t="s">
        <v>55</v>
      </c>
      <c r="F587" t="s">
        <v>64</v>
      </c>
      <c r="G587" t="s">
        <v>56</v>
      </c>
      <c r="H587" t="s">
        <v>128</v>
      </c>
      <c r="I587" s="3" t="s">
        <v>3029</v>
      </c>
      <c r="J587" s="3" t="s">
        <v>3518</v>
      </c>
      <c r="K587" s="3" t="s">
        <v>3522</v>
      </c>
      <c r="L587" s="3" t="s">
        <v>3826</v>
      </c>
      <c r="M587">
        <v>180.83</v>
      </c>
      <c r="N587">
        <v>87</v>
      </c>
      <c r="O587">
        <f>Supply_Chain[[#This Row],[Unit_Price]]*Supply_Chain[[#This Row],[Quantity]]</f>
        <v>15732.210000000001</v>
      </c>
      <c r="P587" t="s">
        <v>1772</v>
      </c>
      <c r="Q587" t="s">
        <v>68</v>
      </c>
      <c r="R587" t="s">
        <v>301</v>
      </c>
      <c r="S587" t="s">
        <v>37</v>
      </c>
      <c r="T587" t="s">
        <v>71</v>
      </c>
      <c r="U587" t="s">
        <v>489</v>
      </c>
      <c r="V587">
        <v>2560</v>
      </c>
      <c r="W587">
        <v>369</v>
      </c>
      <c r="X587">
        <v>15</v>
      </c>
      <c r="Y587">
        <v>174.17</v>
      </c>
      <c r="Z587">
        <v>387.95</v>
      </c>
      <c r="AA587" s="9">
        <v>562.12</v>
      </c>
      <c r="AB587" t="s">
        <v>40</v>
      </c>
      <c r="AC587">
        <v>5</v>
      </c>
      <c r="AD587">
        <v>86.33</v>
      </c>
      <c r="AE587">
        <v>498</v>
      </c>
      <c r="AF587">
        <v>471</v>
      </c>
      <c r="AG587" s="11">
        <f>Supply_Chain[[#This Row],[Total_Cost]]/Supply_Chain[[#This Row],[Stock_On_Hand]]</f>
        <v>0.21957812500000001</v>
      </c>
    </row>
    <row r="588" spans="1:33" x14ac:dyDescent="0.25">
      <c r="A588" t="s">
        <v>1773</v>
      </c>
      <c r="B588" t="s">
        <v>1774</v>
      </c>
      <c r="C588" s="1">
        <v>45367</v>
      </c>
      <c r="D588" s="1">
        <v>44018</v>
      </c>
      <c r="E588" t="s">
        <v>55</v>
      </c>
      <c r="F588" t="s">
        <v>31</v>
      </c>
      <c r="G588" t="s">
        <v>76</v>
      </c>
      <c r="H588" t="s">
        <v>33</v>
      </c>
      <c r="I588" s="3" t="s">
        <v>3228</v>
      </c>
      <c r="J588" s="3" t="s">
        <v>3518</v>
      </c>
      <c r="K588" s="3" t="s">
        <v>3522</v>
      </c>
      <c r="L588" s="3" t="s">
        <v>4018</v>
      </c>
      <c r="M588">
        <v>82.84</v>
      </c>
      <c r="N588">
        <v>67</v>
      </c>
      <c r="O588">
        <f>Supply_Chain[[#This Row],[Unit_Price]]*Supply_Chain[[#This Row],[Quantity]]</f>
        <v>5550.2800000000007</v>
      </c>
      <c r="P588" t="s">
        <v>867</v>
      </c>
      <c r="Q588" t="s">
        <v>48</v>
      </c>
      <c r="R588" t="s">
        <v>301</v>
      </c>
      <c r="S588" t="s">
        <v>37</v>
      </c>
      <c r="T588" t="s">
        <v>71</v>
      </c>
      <c r="U588" t="s">
        <v>499</v>
      </c>
      <c r="V588">
        <v>3449</v>
      </c>
      <c r="W588">
        <v>268</v>
      </c>
      <c r="X588">
        <v>11</v>
      </c>
      <c r="Y588">
        <v>1736.2</v>
      </c>
      <c r="Z588">
        <v>73.84</v>
      </c>
      <c r="AA588" s="9">
        <v>1810.04</v>
      </c>
      <c r="AB588" t="s">
        <v>52</v>
      </c>
      <c r="AC588">
        <v>0</v>
      </c>
      <c r="AD588">
        <v>78.489999999999995</v>
      </c>
      <c r="AE588">
        <v>147</v>
      </c>
      <c r="AF588">
        <v>128</v>
      </c>
      <c r="AG588" s="11">
        <f>Supply_Chain[[#This Row],[Total_Cost]]/Supply_Chain[[#This Row],[Stock_On_Hand]]</f>
        <v>0.52480139170774132</v>
      </c>
    </row>
    <row r="589" spans="1:33" x14ac:dyDescent="0.25">
      <c r="A589" t="s">
        <v>1775</v>
      </c>
      <c r="B589" t="s">
        <v>1776</v>
      </c>
      <c r="C589" s="1">
        <v>43832</v>
      </c>
      <c r="D589" s="1">
        <v>44292</v>
      </c>
      <c r="E589" t="s">
        <v>55</v>
      </c>
      <c r="F589" t="s">
        <v>115</v>
      </c>
      <c r="G589" t="s">
        <v>32</v>
      </c>
      <c r="H589" t="s">
        <v>33</v>
      </c>
      <c r="I589" s="3" t="s">
        <v>3229</v>
      </c>
      <c r="J589" s="3" t="s">
        <v>3518</v>
      </c>
      <c r="K589" s="3" t="s">
        <v>3532</v>
      </c>
      <c r="L589" s="3" t="s">
        <v>4019</v>
      </c>
      <c r="M589">
        <v>320.68</v>
      </c>
      <c r="N589">
        <v>38</v>
      </c>
      <c r="O589">
        <f>Supply_Chain[[#This Row],[Unit_Price]]*Supply_Chain[[#This Row],[Quantity]]</f>
        <v>12185.84</v>
      </c>
      <c r="P589" t="s">
        <v>1311</v>
      </c>
      <c r="Q589" t="s">
        <v>86</v>
      </c>
      <c r="R589" t="s">
        <v>135</v>
      </c>
      <c r="S589" t="s">
        <v>70</v>
      </c>
      <c r="T589" t="s">
        <v>38</v>
      </c>
      <c r="U589" t="s">
        <v>120</v>
      </c>
      <c r="V589">
        <v>4061</v>
      </c>
      <c r="W589">
        <v>100</v>
      </c>
      <c r="X589">
        <v>13</v>
      </c>
      <c r="Y589">
        <v>1380.71</v>
      </c>
      <c r="Z589">
        <v>326.22000000000003</v>
      </c>
      <c r="AA589" s="9">
        <v>1706.93</v>
      </c>
      <c r="AB589" t="s">
        <v>52</v>
      </c>
      <c r="AC589">
        <v>0</v>
      </c>
      <c r="AD589">
        <v>78.180000000000007</v>
      </c>
      <c r="AE589">
        <v>50</v>
      </c>
      <c r="AF589">
        <v>36</v>
      </c>
      <c r="AG589" s="11">
        <f>Supply_Chain[[#This Row],[Total_Cost]]/Supply_Chain[[#This Row],[Stock_On_Hand]]</f>
        <v>0.42032258064516131</v>
      </c>
    </row>
    <row r="590" spans="1:33" x14ac:dyDescent="0.25">
      <c r="A590" t="s">
        <v>1777</v>
      </c>
      <c r="B590" t="s">
        <v>1778</v>
      </c>
      <c r="C590" s="1">
        <v>43966</v>
      </c>
      <c r="D590" s="1">
        <v>44607</v>
      </c>
      <c r="E590" t="s">
        <v>55</v>
      </c>
      <c r="F590" t="s">
        <v>31</v>
      </c>
      <c r="G590" t="s">
        <v>76</v>
      </c>
      <c r="H590" t="s">
        <v>128</v>
      </c>
      <c r="I590" s="3" t="s">
        <v>2775</v>
      </c>
      <c r="J590" s="3" t="s">
        <v>3518</v>
      </c>
      <c r="K590" s="3" t="s">
        <v>3523</v>
      </c>
      <c r="L590" s="3" t="s">
        <v>3575</v>
      </c>
      <c r="M590">
        <v>201.09</v>
      </c>
      <c r="N590">
        <v>84</v>
      </c>
      <c r="O590">
        <f>Supply_Chain[[#This Row],[Unit_Price]]*Supply_Chain[[#This Row],[Quantity]]</f>
        <v>16891.560000000001</v>
      </c>
      <c r="P590" t="s">
        <v>629</v>
      </c>
      <c r="Q590" t="s">
        <v>86</v>
      </c>
      <c r="R590" t="s">
        <v>277</v>
      </c>
      <c r="S590" t="s">
        <v>50</v>
      </c>
      <c r="T590" t="s">
        <v>38</v>
      </c>
      <c r="U590" t="s">
        <v>310</v>
      </c>
      <c r="V590">
        <v>588</v>
      </c>
      <c r="W590">
        <v>65</v>
      </c>
      <c r="X590">
        <v>20</v>
      </c>
      <c r="Y590">
        <v>259.27</v>
      </c>
      <c r="Z590">
        <v>484.95</v>
      </c>
      <c r="AA590" s="9">
        <v>744.22</v>
      </c>
      <c r="AB590" t="s">
        <v>52</v>
      </c>
      <c r="AC590">
        <v>0</v>
      </c>
      <c r="AD590">
        <v>83.73</v>
      </c>
      <c r="AE590">
        <v>307</v>
      </c>
      <c r="AF590">
        <v>293</v>
      </c>
      <c r="AG590" s="11">
        <f>Supply_Chain[[#This Row],[Total_Cost]]/Supply_Chain[[#This Row],[Stock_On_Hand]]</f>
        <v>1.2656802721088436</v>
      </c>
    </row>
    <row r="591" spans="1:33" x14ac:dyDescent="0.25">
      <c r="A591" t="s">
        <v>1779</v>
      </c>
      <c r="B591" t="s">
        <v>1780</v>
      </c>
      <c r="C591" s="1">
        <v>44549</v>
      </c>
      <c r="D591" s="1">
        <v>44581</v>
      </c>
      <c r="E591" t="s">
        <v>55</v>
      </c>
      <c r="F591" t="s">
        <v>44</v>
      </c>
      <c r="G591" t="s">
        <v>45</v>
      </c>
      <c r="H591" t="s">
        <v>33</v>
      </c>
      <c r="I591" s="3" t="s">
        <v>3179</v>
      </c>
      <c r="J591" s="3" t="s">
        <v>3518</v>
      </c>
      <c r="K591" s="3" t="s">
        <v>3521</v>
      </c>
      <c r="L591" s="3" t="s">
        <v>3971</v>
      </c>
      <c r="M591">
        <v>53.44</v>
      </c>
      <c r="N591">
        <v>13</v>
      </c>
      <c r="O591">
        <f>Supply_Chain[[#This Row],[Unit_Price]]*Supply_Chain[[#This Row],[Quantity]]</f>
        <v>694.72</v>
      </c>
      <c r="P591" t="s">
        <v>1585</v>
      </c>
      <c r="Q591" t="s">
        <v>68</v>
      </c>
      <c r="R591" t="s">
        <v>327</v>
      </c>
      <c r="S591" t="s">
        <v>37</v>
      </c>
      <c r="T591" t="s">
        <v>60</v>
      </c>
      <c r="U591" t="s">
        <v>669</v>
      </c>
      <c r="V591">
        <v>3616</v>
      </c>
      <c r="W591">
        <v>178</v>
      </c>
      <c r="X591">
        <v>24</v>
      </c>
      <c r="Y591">
        <v>1955.65</v>
      </c>
      <c r="Z591">
        <v>473.11</v>
      </c>
      <c r="AA591" s="9">
        <v>2428.7600000000002</v>
      </c>
      <c r="AB591" t="s">
        <v>52</v>
      </c>
      <c r="AC591">
        <v>0</v>
      </c>
      <c r="AD591">
        <v>86.98</v>
      </c>
      <c r="AE591">
        <v>297</v>
      </c>
      <c r="AF591">
        <v>252</v>
      </c>
      <c r="AG591" s="11">
        <f>Supply_Chain[[#This Row],[Total_Cost]]/Supply_Chain[[#This Row],[Stock_On_Hand]]</f>
        <v>0.67167035398230091</v>
      </c>
    </row>
    <row r="592" spans="1:33" x14ac:dyDescent="0.25">
      <c r="A592" t="s">
        <v>1781</v>
      </c>
      <c r="B592" t="s">
        <v>1782</v>
      </c>
      <c r="C592" s="1">
        <v>44938</v>
      </c>
      <c r="D592" s="1">
        <v>44133</v>
      </c>
      <c r="E592" t="s">
        <v>55</v>
      </c>
      <c r="F592" t="s">
        <v>64</v>
      </c>
      <c r="G592" t="s">
        <v>65</v>
      </c>
      <c r="H592" t="s">
        <v>92</v>
      </c>
      <c r="I592" s="3" t="s">
        <v>3230</v>
      </c>
      <c r="J592" s="3" t="s">
        <v>3518</v>
      </c>
      <c r="K592" s="3" t="s">
        <v>3535</v>
      </c>
      <c r="L592" s="3" t="s">
        <v>4020</v>
      </c>
      <c r="M592">
        <v>213.04</v>
      </c>
      <c r="N592">
        <v>9</v>
      </c>
      <c r="O592">
        <f>Supply_Chain[[#This Row],[Unit_Price]]*Supply_Chain[[#This Row],[Quantity]]</f>
        <v>1917.36</v>
      </c>
      <c r="P592" t="s">
        <v>1783</v>
      </c>
      <c r="Q592" t="s">
        <v>86</v>
      </c>
      <c r="R592" t="s">
        <v>610</v>
      </c>
      <c r="S592" t="s">
        <v>50</v>
      </c>
      <c r="T592" t="s">
        <v>71</v>
      </c>
      <c r="U592" t="s">
        <v>619</v>
      </c>
      <c r="V592">
        <v>998</v>
      </c>
      <c r="W592">
        <v>200</v>
      </c>
      <c r="X592">
        <v>18</v>
      </c>
      <c r="Y592">
        <v>1126.2</v>
      </c>
      <c r="Z592">
        <v>140.66999999999999</v>
      </c>
      <c r="AA592" s="9">
        <v>1266.8699999999999</v>
      </c>
      <c r="AB592" t="s">
        <v>52</v>
      </c>
      <c r="AC592">
        <v>0</v>
      </c>
      <c r="AD592">
        <v>78.42</v>
      </c>
      <c r="AE592">
        <v>492</v>
      </c>
      <c r="AF592">
        <v>460</v>
      </c>
      <c r="AG592" s="11">
        <f>Supply_Chain[[#This Row],[Total_Cost]]/Supply_Chain[[#This Row],[Stock_On_Hand]]</f>
        <v>1.2694088176352705</v>
      </c>
    </row>
    <row r="593" spans="1:33" x14ac:dyDescent="0.25">
      <c r="A593" t="s">
        <v>1784</v>
      </c>
      <c r="B593" t="s">
        <v>1785</v>
      </c>
      <c r="C593" s="1">
        <v>43892</v>
      </c>
      <c r="D593" s="1">
        <v>44113</v>
      </c>
      <c r="E593" t="s">
        <v>55</v>
      </c>
      <c r="F593" t="s">
        <v>115</v>
      </c>
      <c r="G593" t="s">
        <v>32</v>
      </c>
      <c r="H593" t="s">
        <v>128</v>
      </c>
      <c r="I593" s="3" t="s">
        <v>3231</v>
      </c>
      <c r="J593" s="3" t="s">
        <v>84</v>
      </c>
      <c r="K593" s="3" t="s">
        <v>3534</v>
      </c>
      <c r="L593" s="3" t="s">
        <v>4021</v>
      </c>
      <c r="M593">
        <v>233.67</v>
      </c>
      <c r="N593">
        <v>92</v>
      </c>
      <c r="O593">
        <f>Supply_Chain[[#This Row],[Unit_Price]]*Supply_Chain[[#This Row],[Quantity]]</f>
        <v>21497.64</v>
      </c>
      <c r="P593" t="s">
        <v>1786</v>
      </c>
      <c r="Q593" t="s">
        <v>110</v>
      </c>
      <c r="R593" t="s">
        <v>99</v>
      </c>
      <c r="S593" t="s">
        <v>70</v>
      </c>
      <c r="T593" t="s">
        <v>38</v>
      </c>
      <c r="U593" t="s">
        <v>61</v>
      </c>
      <c r="V593">
        <v>2991</v>
      </c>
      <c r="W593">
        <v>138</v>
      </c>
      <c r="X593">
        <v>6</v>
      </c>
      <c r="Y593">
        <v>1550.64</v>
      </c>
      <c r="Z593">
        <v>437.51</v>
      </c>
      <c r="AA593" s="9">
        <v>1988.15</v>
      </c>
      <c r="AB593" t="s">
        <v>52</v>
      </c>
      <c r="AC593">
        <v>0</v>
      </c>
      <c r="AD593">
        <v>93.61</v>
      </c>
      <c r="AE593">
        <v>379</v>
      </c>
      <c r="AF593">
        <v>357</v>
      </c>
      <c r="AG593" s="11">
        <f>Supply_Chain[[#This Row],[Total_Cost]]/Supply_Chain[[#This Row],[Stock_On_Hand]]</f>
        <v>0.66471079906385833</v>
      </c>
    </row>
    <row r="594" spans="1:33" x14ac:dyDescent="0.25">
      <c r="A594" t="s">
        <v>1787</v>
      </c>
      <c r="B594" t="s">
        <v>1788</v>
      </c>
      <c r="C594" s="1">
        <v>44307</v>
      </c>
      <c r="D594" s="1">
        <v>45208</v>
      </c>
      <c r="E594" t="s">
        <v>55</v>
      </c>
      <c r="F594" t="s">
        <v>44</v>
      </c>
      <c r="G594" t="s">
        <v>32</v>
      </c>
      <c r="H594" t="s">
        <v>128</v>
      </c>
      <c r="I594" s="3" t="s">
        <v>3228</v>
      </c>
      <c r="J594" s="3" t="s">
        <v>3518</v>
      </c>
      <c r="K594" s="3" t="s">
        <v>3522</v>
      </c>
      <c r="L594" s="3" t="s">
        <v>4018</v>
      </c>
      <c r="M594">
        <v>351.08</v>
      </c>
      <c r="N594">
        <v>48</v>
      </c>
      <c r="O594">
        <f>Supply_Chain[[#This Row],[Unit_Price]]*Supply_Chain[[#This Row],[Quantity]]</f>
        <v>16851.84</v>
      </c>
      <c r="P594" t="s">
        <v>469</v>
      </c>
      <c r="Q594" t="s">
        <v>68</v>
      </c>
      <c r="R594" t="s">
        <v>145</v>
      </c>
      <c r="S594" t="s">
        <v>50</v>
      </c>
      <c r="T594" t="s">
        <v>38</v>
      </c>
      <c r="U594" t="s">
        <v>669</v>
      </c>
      <c r="V594">
        <v>3235</v>
      </c>
      <c r="W594">
        <v>307</v>
      </c>
      <c r="X594">
        <v>29</v>
      </c>
      <c r="Y594">
        <v>522.82000000000005</v>
      </c>
      <c r="Z594">
        <v>460.9</v>
      </c>
      <c r="AA594" s="9">
        <v>983.72</v>
      </c>
      <c r="AB594" t="s">
        <v>52</v>
      </c>
      <c r="AC594">
        <v>0</v>
      </c>
      <c r="AD594">
        <v>88.43</v>
      </c>
      <c r="AE594">
        <v>411</v>
      </c>
      <c r="AF594">
        <v>373</v>
      </c>
      <c r="AG594" s="11">
        <f>Supply_Chain[[#This Row],[Total_Cost]]/Supply_Chain[[#This Row],[Stock_On_Hand]]</f>
        <v>0.30408655332302936</v>
      </c>
    </row>
    <row r="595" spans="1:33" x14ac:dyDescent="0.25">
      <c r="A595" t="s">
        <v>1789</v>
      </c>
      <c r="B595" t="s">
        <v>1790</v>
      </c>
      <c r="C595" s="1">
        <v>44458</v>
      </c>
      <c r="D595" s="1">
        <v>44547</v>
      </c>
      <c r="E595" t="s">
        <v>55</v>
      </c>
      <c r="F595" t="s">
        <v>31</v>
      </c>
      <c r="G595" t="s">
        <v>83</v>
      </c>
      <c r="H595" t="s">
        <v>66</v>
      </c>
      <c r="I595" s="3" t="s">
        <v>3232</v>
      </c>
      <c r="J595" s="3" t="s">
        <v>84</v>
      </c>
      <c r="K595" s="3" t="s">
        <v>3526</v>
      </c>
      <c r="L595" s="3" t="s">
        <v>4022</v>
      </c>
      <c r="M595">
        <v>444.21</v>
      </c>
      <c r="N595">
        <v>21</v>
      </c>
      <c r="O595">
        <f>Supply_Chain[[#This Row],[Unit_Price]]*Supply_Chain[[#This Row],[Quantity]]</f>
        <v>9328.41</v>
      </c>
      <c r="P595" t="s">
        <v>1791</v>
      </c>
      <c r="Q595" t="s">
        <v>48</v>
      </c>
      <c r="R595" t="s">
        <v>186</v>
      </c>
      <c r="S595" t="s">
        <v>50</v>
      </c>
      <c r="T595" t="s">
        <v>100</v>
      </c>
      <c r="U595" t="s">
        <v>120</v>
      </c>
      <c r="V595">
        <v>2720</v>
      </c>
      <c r="W595">
        <v>428</v>
      </c>
      <c r="X595">
        <v>29</v>
      </c>
      <c r="Y595">
        <v>1193.24</v>
      </c>
      <c r="Z595">
        <v>210.97</v>
      </c>
      <c r="AA595" s="9">
        <v>1404.21</v>
      </c>
      <c r="AB595" t="s">
        <v>52</v>
      </c>
      <c r="AC595">
        <v>0</v>
      </c>
      <c r="AD595">
        <v>81.010000000000005</v>
      </c>
      <c r="AE595">
        <v>369</v>
      </c>
      <c r="AF595">
        <v>407</v>
      </c>
      <c r="AG595" s="11">
        <f>Supply_Chain[[#This Row],[Total_Cost]]/Supply_Chain[[#This Row],[Stock_On_Hand]]</f>
        <v>0.51625367647058829</v>
      </c>
    </row>
    <row r="596" spans="1:33" x14ac:dyDescent="0.25">
      <c r="A596" t="s">
        <v>1792</v>
      </c>
      <c r="B596" t="s">
        <v>1793</v>
      </c>
      <c r="C596" s="1">
        <v>45596</v>
      </c>
      <c r="D596" s="1">
        <v>44677</v>
      </c>
      <c r="E596" t="s">
        <v>55</v>
      </c>
      <c r="F596" t="s">
        <v>75</v>
      </c>
      <c r="G596" t="s">
        <v>76</v>
      </c>
      <c r="H596" t="s">
        <v>66</v>
      </c>
      <c r="I596" s="3" t="s">
        <v>3233</v>
      </c>
      <c r="J596" s="3" t="s">
        <v>84</v>
      </c>
      <c r="K596" s="3" t="s">
        <v>3526</v>
      </c>
      <c r="L596" s="3" t="s">
        <v>4023</v>
      </c>
      <c r="M596">
        <v>443.31</v>
      </c>
      <c r="N596">
        <v>72</v>
      </c>
      <c r="O596">
        <f>Supply_Chain[[#This Row],[Unit_Price]]*Supply_Chain[[#This Row],[Quantity]]</f>
        <v>31918.32</v>
      </c>
      <c r="P596" t="s">
        <v>1794</v>
      </c>
      <c r="Q596" t="s">
        <v>48</v>
      </c>
      <c r="R596" t="s">
        <v>172</v>
      </c>
      <c r="S596" t="s">
        <v>50</v>
      </c>
      <c r="T596" t="s">
        <v>79</v>
      </c>
      <c r="U596" t="s">
        <v>223</v>
      </c>
      <c r="V596">
        <v>3288</v>
      </c>
      <c r="W596">
        <v>248</v>
      </c>
      <c r="X596">
        <v>20</v>
      </c>
      <c r="Y596">
        <v>1812.14</v>
      </c>
      <c r="Z596">
        <v>81.28</v>
      </c>
      <c r="AA596" s="9">
        <v>1893.42</v>
      </c>
      <c r="AB596" t="s">
        <v>52</v>
      </c>
      <c r="AC596">
        <v>0</v>
      </c>
      <c r="AD596">
        <v>92.04</v>
      </c>
      <c r="AE596">
        <v>377</v>
      </c>
      <c r="AF596">
        <v>351</v>
      </c>
      <c r="AG596" s="11">
        <f>Supply_Chain[[#This Row],[Total_Cost]]/Supply_Chain[[#This Row],[Stock_On_Hand]]</f>
        <v>0.57585766423357665</v>
      </c>
    </row>
    <row r="597" spans="1:33" x14ac:dyDescent="0.25">
      <c r="A597" t="s">
        <v>1795</v>
      </c>
      <c r="B597" t="s">
        <v>1796</v>
      </c>
      <c r="C597" s="1">
        <v>43974</v>
      </c>
      <c r="D597" s="1">
        <v>45350</v>
      </c>
      <c r="E597" t="s">
        <v>43</v>
      </c>
      <c r="F597" t="s">
        <v>64</v>
      </c>
      <c r="G597" t="s">
        <v>247</v>
      </c>
      <c r="H597" t="s">
        <v>166</v>
      </c>
      <c r="I597" s="3" t="s">
        <v>3194</v>
      </c>
      <c r="J597" s="3" t="s">
        <v>3518</v>
      </c>
      <c r="K597" s="3" t="s">
        <v>3522</v>
      </c>
      <c r="L597" s="3" t="s">
        <v>3986</v>
      </c>
      <c r="M597">
        <v>355.75</v>
      </c>
      <c r="N597">
        <v>75</v>
      </c>
      <c r="O597">
        <f>Supply_Chain[[#This Row],[Unit_Price]]*Supply_Chain[[#This Row],[Quantity]]</f>
        <v>26681.25</v>
      </c>
      <c r="P597" t="s">
        <v>1797</v>
      </c>
      <c r="Q597" t="s">
        <v>86</v>
      </c>
      <c r="R597" t="s">
        <v>301</v>
      </c>
      <c r="S597" t="s">
        <v>37</v>
      </c>
      <c r="T597" t="s">
        <v>100</v>
      </c>
      <c r="U597" t="s">
        <v>446</v>
      </c>
      <c r="V597">
        <v>1110</v>
      </c>
      <c r="W597">
        <v>466</v>
      </c>
      <c r="X597">
        <v>16</v>
      </c>
      <c r="Y597">
        <v>1713.69</v>
      </c>
      <c r="Z597">
        <v>177.14</v>
      </c>
      <c r="AA597" s="9">
        <v>1890.83</v>
      </c>
      <c r="AB597" t="s">
        <v>52</v>
      </c>
      <c r="AC597">
        <v>0</v>
      </c>
      <c r="AD597">
        <v>80.69</v>
      </c>
      <c r="AE597">
        <v>308</v>
      </c>
      <c r="AF597">
        <v>332</v>
      </c>
      <c r="AG597" s="11">
        <f>Supply_Chain[[#This Row],[Total_Cost]]/Supply_Chain[[#This Row],[Stock_On_Hand]]</f>
        <v>1.7034504504504504</v>
      </c>
    </row>
    <row r="598" spans="1:33" x14ac:dyDescent="0.25">
      <c r="A598" t="s">
        <v>1798</v>
      </c>
      <c r="B598" t="s">
        <v>1799</v>
      </c>
      <c r="C598" s="1">
        <v>44179</v>
      </c>
      <c r="D598" s="1">
        <v>44731</v>
      </c>
      <c r="E598" t="s">
        <v>55</v>
      </c>
      <c r="F598" t="s">
        <v>64</v>
      </c>
      <c r="G598" t="s">
        <v>76</v>
      </c>
      <c r="H598" t="s">
        <v>57</v>
      </c>
      <c r="I598" s="3" t="s">
        <v>3234</v>
      </c>
      <c r="J598" s="3" t="s">
        <v>3518</v>
      </c>
      <c r="K598" s="3" t="s">
        <v>3524</v>
      </c>
      <c r="L598" s="3" t="s">
        <v>4024</v>
      </c>
      <c r="M598">
        <v>22.14</v>
      </c>
      <c r="N598">
        <v>49</v>
      </c>
      <c r="O598">
        <f>Supply_Chain[[#This Row],[Unit_Price]]*Supply_Chain[[#This Row],[Quantity]]</f>
        <v>1084.8600000000001</v>
      </c>
      <c r="P598" t="s">
        <v>1800</v>
      </c>
      <c r="Q598" t="s">
        <v>48</v>
      </c>
      <c r="R598" t="s">
        <v>181</v>
      </c>
      <c r="S598" t="s">
        <v>70</v>
      </c>
      <c r="T598" t="s">
        <v>79</v>
      </c>
      <c r="U598" t="s">
        <v>270</v>
      </c>
      <c r="V598">
        <v>1296</v>
      </c>
      <c r="W598">
        <v>491</v>
      </c>
      <c r="X598">
        <v>20</v>
      </c>
      <c r="Y598">
        <v>805.51</v>
      </c>
      <c r="Z598">
        <v>318.81</v>
      </c>
      <c r="AA598" s="9">
        <v>1124.32</v>
      </c>
      <c r="AB598" t="s">
        <v>52</v>
      </c>
      <c r="AC598">
        <v>0</v>
      </c>
      <c r="AD598">
        <v>72.66</v>
      </c>
      <c r="AE598">
        <v>140</v>
      </c>
      <c r="AF598">
        <v>151</v>
      </c>
      <c r="AG598" s="11">
        <f>Supply_Chain[[#This Row],[Total_Cost]]/Supply_Chain[[#This Row],[Stock_On_Hand]]</f>
        <v>0.86753086419753078</v>
      </c>
    </row>
    <row r="599" spans="1:33" x14ac:dyDescent="0.25">
      <c r="A599" t="s">
        <v>1801</v>
      </c>
      <c r="B599" t="s">
        <v>1802</v>
      </c>
      <c r="C599" s="1">
        <v>45618</v>
      </c>
      <c r="D599" s="1">
        <v>43893</v>
      </c>
      <c r="E599" t="s">
        <v>55</v>
      </c>
      <c r="F599" t="s">
        <v>75</v>
      </c>
      <c r="G599" t="s">
        <v>32</v>
      </c>
      <c r="H599" t="s">
        <v>33</v>
      </c>
      <c r="I599" s="3" t="s">
        <v>3235</v>
      </c>
      <c r="J599" s="3" t="s">
        <v>84</v>
      </c>
      <c r="K599" s="3" t="s">
        <v>3529</v>
      </c>
      <c r="L599" s="3" t="s">
        <v>4025</v>
      </c>
      <c r="M599">
        <v>428.35</v>
      </c>
      <c r="N599">
        <v>14</v>
      </c>
      <c r="O599">
        <f>Supply_Chain[[#This Row],[Unit_Price]]*Supply_Chain[[#This Row],[Quantity]]</f>
        <v>5996.9000000000005</v>
      </c>
      <c r="P599" t="s">
        <v>1803</v>
      </c>
      <c r="Q599" t="s">
        <v>35</v>
      </c>
      <c r="R599" t="s">
        <v>306</v>
      </c>
      <c r="S599" t="s">
        <v>37</v>
      </c>
      <c r="T599" t="s">
        <v>38</v>
      </c>
      <c r="U599" t="s">
        <v>331</v>
      </c>
      <c r="V599">
        <v>3003</v>
      </c>
      <c r="W599">
        <v>391</v>
      </c>
      <c r="X599">
        <v>14</v>
      </c>
      <c r="Y599">
        <v>936.68</v>
      </c>
      <c r="Z599">
        <v>96.66</v>
      </c>
      <c r="AA599" s="9">
        <v>1033.3399999999999</v>
      </c>
      <c r="AB599" t="s">
        <v>52</v>
      </c>
      <c r="AC599">
        <v>0</v>
      </c>
      <c r="AD599">
        <v>75.48</v>
      </c>
      <c r="AE599">
        <v>93</v>
      </c>
      <c r="AF599">
        <v>130</v>
      </c>
      <c r="AG599" s="11">
        <f>Supply_Chain[[#This Row],[Total_Cost]]/Supply_Chain[[#This Row],[Stock_On_Hand]]</f>
        <v>0.34410256410256407</v>
      </c>
    </row>
    <row r="600" spans="1:33" x14ac:dyDescent="0.25">
      <c r="A600" t="s">
        <v>1804</v>
      </c>
      <c r="B600" t="s">
        <v>1805</v>
      </c>
      <c r="C600" s="1">
        <v>44079</v>
      </c>
      <c r="D600" s="1">
        <v>45309</v>
      </c>
      <c r="E600" t="s">
        <v>43</v>
      </c>
      <c r="F600" t="s">
        <v>44</v>
      </c>
      <c r="G600" t="s">
        <v>32</v>
      </c>
      <c r="H600" t="s">
        <v>66</v>
      </c>
      <c r="I600" s="3" t="s">
        <v>3236</v>
      </c>
      <c r="J600" s="3" t="s">
        <v>84</v>
      </c>
      <c r="K600" s="3" t="s">
        <v>3529</v>
      </c>
      <c r="L600" s="3" t="s">
        <v>4026</v>
      </c>
      <c r="M600">
        <v>229</v>
      </c>
      <c r="N600">
        <v>48</v>
      </c>
      <c r="O600">
        <f>Supply_Chain[[#This Row],[Unit_Price]]*Supply_Chain[[#This Row],[Quantity]]</f>
        <v>10992</v>
      </c>
      <c r="P600" t="s">
        <v>562</v>
      </c>
      <c r="Q600" t="s">
        <v>110</v>
      </c>
      <c r="R600" t="s">
        <v>49</v>
      </c>
      <c r="S600" t="s">
        <v>70</v>
      </c>
      <c r="T600" t="s">
        <v>38</v>
      </c>
      <c r="U600" t="s">
        <v>440</v>
      </c>
      <c r="V600">
        <v>3989</v>
      </c>
      <c r="W600">
        <v>137</v>
      </c>
      <c r="X600">
        <v>8</v>
      </c>
      <c r="Y600">
        <v>1937.1</v>
      </c>
      <c r="Z600">
        <v>407.39</v>
      </c>
      <c r="AA600" s="9">
        <v>2344.4899999999998</v>
      </c>
      <c r="AB600" t="s">
        <v>52</v>
      </c>
      <c r="AC600">
        <v>0</v>
      </c>
      <c r="AD600">
        <v>70.78</v>
      </c>
      <c r="AE600">
        <v>489</v>
      </c>
      <c r="AF600">
        <v>494</v>
      </c>
      <c r="AG600" s="11">
        <f>Supply_Chain[[#This Row],[Total_Cost]]/Supply_Chain[[#This Row],[Stock_On_Hand]]</f>
        <v>0.58773878164953619</v>
      </c>
    </row>
    <row r="601" spans="1:33" x14ac:dyDescent="0.25">
      <c r="A601" t="s">
        <v>1806</v>
      </c>
      <c r="B601" t="s">
        <v>1807</v>
      </c>
      <c r="C601" s="1">
        <v>45043</v>
      </c>
      <c r="D601" s="1">
        <v>44705</v>
      </c>
      <c r="E601" t="s">
        <v>55</v>
      </c>
      <c r="F601" t="s">
        <v>75</v>
      </c>
      <c r="G601" t="s">
        <v>45</v>
      </c>
      <c r="H601" t="s">
        <v>66</v>
      </c>
      <c r="I601" s="3" t="s">
        <v>3196</v>
      </c>
      <c r="J601" s="3" t="s">
        <v>84</v>
      </c>
      <c r="K601" s="3" t="s">
        <v>3534</v>
      </c>
      <c r="L601" s="3" t="s">
        <v>3988</v>
      </c>
      <c r="M601">
        <v>97.46</v>
      </c>
      <c r="N601">
        <v>43</v>
      </c>
      <c r="O601">
        <f>Supply_Chain[[#This Row],[Unit_Price]]*Supply_Chain[[#This Row],[Quantity]]</f>
        <v>4190.78</v>
      </c>
      <c r="P601" t="s">
        <v>1808</v>
      </c>
      <c r="Q601" t="s">
        <v>110</v>
      </c>
      <c r="R601" t="s">
        <v>162</v>
      </c>
      <c r="S601" t="s">
        <v>37</v>
      </c>
      <c r="T601" t="s">
        <v>38</v>
      </c>
      <c r="U601" t="s">
        <v>232</v>
      </c>
      <c r="V601">
        <v>4631</v>
      </c>
      <c r="W601">
        <v>66</v>
      </c>
      <c r="X601">
        <v>4</v>
      </c>
      <c r="Y601">
        <v>515.74</v>
      </c>
      <c r="Z601">
        <v>117.92</v>
      </c>
      <c r="AA601" s="9">
        <v>633.66</v>
      </c>
      <c r="AB601" t="s">
        <v>52</v>
      </c>
      <c r="AC601">
        <v>0</v>
      </c>
      <c r="AD601">
        <v>95.07</v>
      </c>
      <c r="AE601">
        <v>258</v>
      </c>
      <c r="AF601">
        <v>260</v>
      </c>
      <c r="AG601" s="11">
        <f>Supply_Chain[[#This Row],[Total_Cost]]/Supply_Chain[[#This Row],[Stock_On_Hand]]</f>
        <v>0.13683005830274239</v>
      </c>
    </row>
    <row r="602" spans="1:33" x14ac:dyDescent="0.25">
      <c r="A602" t="s">
        <v>1809</v>
      </c>
      <c r="B602" t="s">
        <v>1810</v>
      </c>
      <c r="C602" s="1">
        <v>44301</v>
      </c>
      <c r="D602" s="1">
        <v>44233</v>
      </c>
      <c r="E602" t="s">
        <v>55</v>
      </c>
      <c r="F602" t="s">
        <v>115</v>
      </c>
      <c r="G602" t="s">
        <v>76</v>
      </c>
      <c r="H602" t="s">
        <v>66</v>
      </c>
      <c r="I602" s="3" t="s">
        <v>3237</v>
      </c>
      <c r="J602" s="3" t="s">
        <v>84</v>
      </c>
      <c r="K602" s="3" t="s">
        <v>3534</v>
      </c>
      <c r="L602" s="3" t="s">
        <v>4027</v>
      </c>
      <c r="M602">
        <v>149.5</v>
      </c>
      <c r="N602">
        <v>57</v>
      </c>
      <c r="O602">
        <f>Supply_Chain[[#This Row],[Unit_Price]]*Supply_Chain[[#This Row],[Quantity]]</f>
        <v>8521.5</v>
      </c>
      <c r="P602" t="s">
        <v>678</v>
      </c>
      <c r="Q602" t="s">
        <v>86</v>
      </c>
      <c r="R602" t="s">
        <v>377</v>
      </c>
      <c r="S602" t="s">
        <v>119</v>
      </c>
      <c r="T602" t="s">
        <v>60</v>
      </c>
      <c r="U602" t="s">
        <v>297</v>
      </c>
      <c r="V602">
        <v>620</v>
      </c>
      <c r="W602">
        <v>260</v>
      </c>
      <c r="X602">
        <v>22</v>
      </c>
      <c r="Y602">
        <v>1490.06</v>
      </c>
      <c r="Z602">
        <v>281.45999999999998</v>
      </c>
      <c r="AA602" s="9">
        <v>1771.52</v>
      </c>
      <c r="AB602" t="s">
        <v>52</v>
      </c>
      <c r="AC602">
        <v>0</v>
      </c>
      <c r="AD602">
        <v>99.32</v>
      </c>
      <c r="AE602">
        <v>215</v>
      </c>
      <c r="AF602">
        <v>235</v>
      </c>
      <c r="AG602" s="11">
        <f>Supply_Chain[[#This Row],[Total_Cost]]/Supply_Chain[[#This Row],[Stock_On_Hand]]</f>
        <v>2.8572903225806452</v>
      </c>
    </row>
    <row r="603" spans="1:33" x14ac:dyDescent="0.25">
      <c r="A603" t="s">
        <v>1811</v>
      </c>
      <c r="B603" t="s">
        <v>1812</v>
      </c>
      <c r="C603" s="1">
        <v>44396</v>
      </c>
      <c r="D603" s="1">
        <v>44775</v>
      </c>
      <c r="E603" t="s">
        <v>43</v>
      </c>
      <c r="F603" t="s">
        <v>64</v>
      </c>
      <c r="G603" t="s">
        <v>83</v>
      </c>
      <c r="H603" t="s">
        <v>46</v>
      </c>
      <c r="I603" s="3" t="s">
        <v>3238</v>
      </c>
      <c r="J603" s="3" t="s">
        <v>3518</v>
      </c>
      <c r="K603" s="3" t="s">
        <v>3533</v>
      </c>
      <c r="L603" s="3" t="s">
        <v>4028</v>
      </c>
      <c r="M603">
        <v>209.49</v>
      </c>
      <c r="N603">
        <v>90</v>
      </c>
      <c r="O603">
        <f>Supply_Chain[[#This Row],[Unit_Price]]*Supply_Chain[[#This Row],[Quantity]]</f>
        <v>18854.100000000002</v>
      </c>
      <c r="P603" t="s">
        <v>1570</v>
      </c>
      <c r="Q603" t="s">
        <v>86</v>
      </c>
      <c r="R603" t="s">
        <v>419</v>
      </c>
      <c r="S603" t="s">
        <v>119</v>
      </c>
      <c r="T603" t="s">
        <v>38</v>
      </c>
      <c r="U603" t="s">
        <v>489</v>
      </c>
      <c r="V603">
        <v>419</v>
      </c>
      <c r="W603">
        <v>191</v>
      </c>
      <c r="X603">
        <v>28</v>
      </c>
      <c r="Y603">
        <v>1375.56</v>
      </c>
      <c r="Z603">
        <v>316.98</v>
      </c>
      <c r="AA603" s="9">
        <v>1692.54</v>
      </c>
      <c r="AB603" t="s">
        <v>52</v>
      </c>
      <c r="AC603">
        <v>0</v>
      </c>
      <c r="AD603">
        <v>97.94</v>
      </c>
      <c r="AE603">
        <v>177</v>
      </c>
      <c r="AF603">
        <v>201</v>
      </c>
      <c r="AG603" s="11">
        <f>Supply_Chain[[#This Row],[Total_Cost]]/Supply_Chain[[#This Row],[Stock_On_Hand]]</f>
        <v>4.039474940334129</v>
      </c>
    </row>
    <row r="604" spans="1:33" x14ac:dyDescent="0.25">
      <c r="A604" t="s">
        <v>1813</v>
      </c>
      <c r="B604" t="s">
        <v>1814</v>
      </c>
      <c r="C604" s="1">
        <v>45555</v>
      </c>
      <c r="D604" s="1">
        <v>45066</v>
      </c>
      <c r="E604" t="s">
        <v>55</v>
      </c>
      <c r="F604" t="s">
        <v>44</v>
      </c>
      <c r="G604" t="s">
        <v>76</v>
      </c>
      <c r="H604" t="s">
        <v>128</v>
      </c>
      <c r="I604" s="3" t="s">
        <v>3239</v>
      </c>
      <c r="J604" s="3" t="s">
        <v>3518</v>
      </c>
      <c r="K604" s="3" t="s">
        <v>3525</v>
      </c>
      <c r="L604" s="3" t="s">
        <v>4029</v>
      </c>
      <c r="M604">
        <v>229.42</v>
      </c>
      <c r="N604">
        <v>27</v>
      </c>
      <c r="O604">
        <f>Supply_Chain[[#This Row],[Unit_Price]]*Supply_Chain[[#This Row],[Quantity]]</f>
        <v>6194.3399999999992</v>
      </c>
      <c r="P604" t="s">
        <v>1815</v>
      </c>
      <c r="Q604" t="s">
        <v>110</v>
      </c>
      <c r="R604" t="s">
        <v>99</v>
      </c>
      <c r="S604" t="s">
        <v>37</v>
      </c>
      <c r="T604" t="s">
        <v>79</v>
      </c>
      <c r="U604" t="s">
        <v>106</v>
      </c>
      <c r="V604">
        <v>4634</v>
      </c>
      <c r="W604">
        <v>293</v>
      </c>
      <c r="X604">
        <v>7</v>
      </c>
      <c r="Y604">
        <v>243.92</v>
      </c>
      <c r="Z604">
        <v>377.27</v>
      </c>
      <c r="AA604" s="9">
        <v>621.18999999999994</v>
      </c>
      <c r="AB604" t="s">
        <v>52</v>
      </c>
      <c r="AC604">
        <v>0</v>
      </c>
      <c r="AD604">
        <v>94.05</v>
      </c>
      <c r="AE604">
        <v>190</v>
      </c>
      <c r="AF604">
        <v>145</v>
      </c>
      <c r="AG604" s="11">
        <f>Supply_Chain[[#This Row],[Total_Cost]]/Supply_Chain[[#This Row],[Stock_On_Hand]]</f>
        <v>0.1340504963314631</v>
      </c>
    </row>
    <row r="605" spans="1:33" x14ac:dyDescent="0.25">
      <c r="A605" t="s">
        <v>1816</v>
      </c>
      <c r="B605" t="s">
        <v>1817</v>
      </c>
      <c r="C605" s="1">
        <v>44488</v>
      </c>
      <c r="D605" s="1">
        <v>44236</v>
      </c>
      <c r="E605" t="s">
        <v>43</v>
      </c>
      <c r="F605" t="s">
        <v>44</v>
      </c>
      <c r="G605" t="s">
        <v>76</v>
      </c>
      <c r="H605" t="s">
        <v>116</v>
      </c>
      <c r="I605" s="3" t="s">
        <v>3240</v>
      </c>
      <c r="J605" s="3" t="s">
        <v>3518</v>
      </c>
      <c r="K605" s="3" t="s">
        <v>3525</v>
      </c>
      <c r="L605" s="3" t="s">
        <v>4030</v>
      </c>
      <c r="M605">
        <v>497.85</v>
      </c>
      <c r="N605">
        <v>68</v>
      </c>
      <c r="O605">
        <f>Supply_Chain[[#This Row],[Unit_Price]]*Supply_Chain[[#This Row],[Quantity]]</f>
        <v>33853.800000000003</v>
      </c>
      <c r="P605" t="s">
        <v>1818</v>
      </c>
      <c r="Q605" t="s">
        <v>35</v>
      </c>
      <c r="R605" t="s">
        <v>231</v>
      </c>
      <c r="S605" t="s">
        <v>37</v>
      </c>
      <c r="T605" t="s">
        <v>79</v>
      </c>
      <c r="U605" t="s">
        <v>106</v>
      </c>
      <c r="V605">
        <v>2094</v>
      </c>
      <c r="W605">
        <v>227</v>
      </c>
      <c r="X605">
        <v>10</v>
      </c>
      <c r="Y605">
        <v>133.31</v>
      </c>
      <c r="Z605">
        <v>242.46</v>
      </c>
      <c r="AA605" s="9">
        <v>375.77</v>
      </c>
      <c r="AB605" t="s">
        <v>40</v>
      </c>
      <c r="AC605">
        <v>9</v>
      </c>
      <c r="AD605">
        <v>94.28</v>
      </c>
      <c r="AE605">
        <v>433</v>
      </c>
      <c r="AF605">
        <v>397</v>
      </c>
      <c r="AG605" s="11">
        <f>Supply_Chain[[#This Row],[Total_Cost]]/Supply_Chain[[#This Row],[Stock_On_Hand]]</f>
        <v>0.17945081184336198</v>
      </c>
    </row>
    <row r="606" spans="1:33" x14ac:dyDescent="0.25">
      <c r="A606" t="s">
        <v>1819</v>
      </c>
      <c r="B606" t="s">
        <v>1820</v>
      </c>
      <c r="C606" s="1">
        <v>44753</v>
      </c>
      <c r="D606" s="1">
        <v>45418</v>
      </c>
      <c r="E606" t="s">
        <v>55</v>
      </c>
      <c r="F606" t="s">
        <v>31</v>
      </c>
      <c r="G606" t="s">
        <v>45</v>
      </c>
      <c r="H606" t="s">
        <v>116</v>
      </c>
      <c r="I606" s="3" t="s">
        <v>3241</v>
      </c>
      <c r="J606" s="3" t="s">
        <v>3518</v>
      </c>
      <c r="K606" s="3" t="s">
        <v>3525</v>
      </c>
      <c r="L606" s="3" t="s">
        <v>4031</v>
      </c>
      <c r="M606">
        <v>305.91000000000003</v>
      </c>
      <c r="N606">
        <v>12</v>
      </c>
      <c r="O606">
        <f>Supply_Chain[[#This Row],[Unit_Price]]*Supply_Chain[[#This Row],[Quantity]]</f>
        <v>3670.92</v>
      </c>
      <c r="P606" t="s">
        <v>1821</v>
      </c>
      <c r="Q606" t="s">
        <v>86</v>
      </c>
      <c r="R606" t="s">
        <v>124</v>
      </c>
      <c r="S606" t="s">
        <v>37</v>
      </c>
      <c r="T606" t="s">
        <v>60</v>
      </c>
      <c r="U606" t="s">
        <v>80</v>
      </c>
      <c r="V606">
        <v>4524</v>
      </c>
      <c r="W606">
        <v>75</v>
      </c>
      <c r="X606">
        <v>22</v>
      </c>
      <c r="Y606">
        <v>813.48</v>
      </c>
      <c r="Z606">
        <v>273.63</v>
      </c>
      <c r="AA606" s="9">
        <v>1087.1099999999999</v>
      </c>
      <c r="AB606" t="s">
        <v>52</v>
      </c>
      <c r="AC606">
        <v>0</v>
      </c>
      <c r="AD606">
        <v>79.099999999999994</v>
      </c>
      <c r="AE606">
        <v>406</v>
      </c>
      <c r="AF606">
        <v>380</v>
      </c>
      <c r="AG606" s="11">
        <f>Supply_Chain[[#This Row],[Total_Cost]]/Supply_Chain[[#This Row],[Stock_On_Hand]]</f>
        <v>0.24029840848806364</v>
      </c>
    </row>
    <row r="607" spans="1:33" x14ac:dyDescent="0.25">
      <c r="A607" t="s">
        <v>1822</v>
      </c>
      <c r="B607" t="s">
        <v>1823</v>
      </c>
      <c r="C607" s="1">
        <v>44688</v>
      </c>
      <c r="D607" s="1">
        <v>44858</v>
      </c>
      <c r="E607" t="s">
        <v>55</v>
      </c>
      <c r="F607" t="s">
        <v>44</v>
      </c>
      <c r="G607" t="s">
        <v>65</v>
      </c>
      <c r="H607" t="s">
        <v>46</v>
      </c>
      <c r="I607" s="3" t="s">
        <v>3242</v>
      </c>
      <c r="J607" s="3" t="s">
        <v>3518</v>
      </c>
      <c r="K607" s="3" t="s">
        <v>3525</v>
      </c>
      <c r="L607" s="3" t="s">
        <v>4032</v>
      </c>
      <c r="M607">
        <v>43.87</v>
      </c>
      <c r="N607">
        <v>62</v>
      </c>
      <c r="O607">
        <f>Supply_Chain[[#This Row],[Unit_Price]]*Supply_Chain[[#This Row],[Quantity]]</f>
        <v>2719.94</v>
      </c>
      <c r="P607" t="s">
        <v>1824</v>
      </c>
      <c r="Q607" t="s">
        <v>110</v>
      </c>
      <c r="R607" t="s">
        <v>369</v>
      </c>
      <c r="S607" t="s">
        <v>37</v>
      </c>
      <c r="T607" t="s">
        <v>71</v>
      </c>
      <c r="U607" t="s">
        <v>615</v>
      </c>
      <c r="V607">
        <v>3857</v>
      </c>
      <c r="W607">
        <v>80</v>
      </c>
      <c r="X607">
        <v>14</v>
      </c>
      <c r="Y607">
        <v>669.28</v>
      </c>
      <c r="Z607">
        <v>251.11</v>
      </c>
      <c r="AA607" s="9">
        <v>920.39</v>
      </c>
      <c r="AB607" t="s">
        <v>52</v>
      </c>
      <c r="AC607">
        <v>0</v>
      </c>
      <c r="AD607">
        <v>96.16</v>
      </c>
      <c r="AE607">
        <v>174</v>
      </c>
      <c r="AF607">
        <v>218</v>
      </c>
      <c r="AG607" s="11">
        <f>Supply_Chain[[#This Row],[Total_Cost]]/Supply_Chain[[#This Row],[Stock_On_Hand]]</f>
        <v>0.23862846772102669</v>
      </c>
    </row>
    <row r="608" spans="1:33" x14ac:dyDescent="0.25">
      <c r="A608" t="s">
        <v>1825</v>
      </c>
      <c r="B608" t="s">
        <v>1826</v>
      </c>
      <c r="C608" s="1">
        <v>43934</v>
      </c>
      <c r="D608" s="1">
        <v>44687</v>
      </c>
      <c r="E608" t="s">
        <v>43</v>
      </c>
      <c r="F608" t="s">
        <v>31</v>
      </c>
      <c r="G608" t="s">
        <v>65</v>
      </c>
      <c r="H608" t="s">
        <v>57</v>
      </c>
      <c r="I608" s="3" t="s">
        <v>3243</v>
      </c>
      <c r="J608" s="3" t="s">
        <v>3518</v>
      </c>
      <c r="K608" s="3" t="s">
        <v>3522</v>
      </c>
      <c r="L608" s="3" t="s">
        <v>4033</v>
      </c>
      <c r="M608">
        <v>414.23</v>
      </c>
      <c r="N608">
        <v>57</v>
      </c>
      <c r="O608">
        <f>Supply_Chain[[#This Row],[Unit_Price]]*Supply_Chain[[#This Row],[Quantity]]</f>
        <v>23611.11</v>
      </c>
      <c r="P608" t="s">
        <v>1827</v>
      </c>
      <c r="Q608" t="s">
        <v>110</v>
      </c>
      <c r="R608" t="s">
        <v>176</v>
      </c>
      <c r="S608" t="s">
        <v>37</v>
      </c>
      <c r="T608" t="s">
        <v>79</v>
      </c>
      <c r="U608" t="s">
        <v>331</v>
      </c>
      <c r="V608">
        <v>3817</v>
      </c>
      <c r="W608">
        <v>346</v>
      </c>
      <c r="X608">
        <v>7</v>
      </c>
      <c r="Y608">
        <v>163.04</v>
      </c>
      <c r="Z608">
        <v>88.47</v>
      </c>
      <c r="AA608" s="9">
        <v>251.51</v>
      </c>
      <c r="AB608" t="s">
        <v>40</v>
      </c>
      <c r="AC608">
        <v>14</v>
      </c>
      <c r="AD608">
        <v>81.53</v>
      </c>
      <c r="AE608">
        <v>207</v>
      </c>
      <c r="AF608">
        <v>220</v>
      </c>
      <c r="AG608" s="11">
        <f>Supply_Chain[[#This Row],[Total_Cost]]/Supply_Chain[[#This Row],[Stock_On_Hand]]</f>
        <v>6.5892061828661252E-2</v>
      </c>
    </row>
    <row r="609" spans="1:33" x14ac:dyDescent="0.25">
      <c r="A609" t="s">
        <v>1828</v>
      </c>
      <c r="B609" t="s">
        <v>1829</v>
      </c>
      <c r="C609" s="1">
        <v>44784</v>
      </c>
      <c r="D609" s="1">
        <v>44144</v>
      </c>
      <c r="E609" t="s">
        <v>55</v>
      </c>
      <c r="F609" t="s">
        <v>75</v>
      </c>
      <c r="G609" t="s">
        <v>56</v>
      </c>
      <c r="H609" t="s">
        <v>92</v>
      </c>
      <c r="I609" s="3" t="s">
        <v>2935</v>
      </c>
      <c r="J609" s="3" t="s">
        <v>3518</v>
      </c>
      <c r="K609" s="3" t="s">
        <v>3521</v>
      </c>
      <c r="L609" s="3" t="s">
        <v>3734</v>
      </c>
      <c r="M609">
        <v>306.69</v>
      </c>
      <c r="N609">
        <v>81</v>
      </c>
      <c r="O609">
        <f>Supply_Chain[[#This Row],[Unit_Price]]*Supply_Chain[[#This Row],[Quantity]]</f>
        <v>24841.89</v>
      </c>
      <c r="P609" t="s">
        <v>1830</v>
      </c>
      <c r="Q609" t="s">
        <v>110</v>
      </c>
      <c r="R609" t="s">
        <v>344</v>
      </c>
      <c r="S609" t="s">
        <v>70</v>
      </c>
      <c r="T609" t="s">
        <v>71</v>
      </c>
      <c r="U609" t="s">
        <v>232</v>
      </c>
      <c r="V609">
        <v>3443</v>
      </c>
      <c r="W609">
        <v>180</v>
      </c>
      <c r="X609">
        <v>11</v>
      </c>
      <c r="Y609">
        <v>597.44000000000005</v>
      </c>
      <c r="Z609">
        <v>461.89</v>
      </c>
      <c r="AA609" s="9">
        <v>1059.33</v>
      </c>
      <c r="AB609" t="s">
        <v>40</v>
      </c>
      <c r="AC609">
        <v>3</v>
      </c>
      <c r="AD609">
        <v>93.54</v>
      </c>
      <c r="AE609">
        <v>259</v>
      </c>
      <c r="AF609">
        <v>219</v>
      </c>
      <c r="AG609" s="11">
        <f>Supply_Chain[[#This Row],[Total_Cost]]/Supply_Chain[[#This Row],[Stock_On_Hand]]</f>
        <v>0.30767644496079</v>
      </c>
    </row>
    <row r="610" spans="1:33" x14ac:dyDescent="0.25">
      <c r="A610" t="s">
        <v>1831</v>
      </c>
      <c r="B610" t="s">
        <v>1832</v>
      </c>
      <c r="C610" s="1">
        <v>45114</v>
      </c>
      <c r="D610" s="1">
        <v>44518</v>
      </c>
      <c r="E610" t="s">
        <v>55</v>
      </c>
      <c r="F610" t="s">
        <v>31</v>
      </c>
      <c r="G610" t="s">
        <v>76</v>
      </c>
      <c r="H610" t="s">
        <v>166</v>
      </c>
      <c r="I610" s="3" t="s">
        <v>3244</v>
      </c>
      <c r="J610" s="3" t="s">
        <v>3518</v>
      </c>
      <c r="K610" s="3" t="s">
        <v>3535</v>
      </c>
      <c r="L610" s="3" t="s">
        <v>4034</v>
      </c>
      <c r="M610">
        <v>140.33000000000001</v>
      </c>
      <c r="N610">
        <v>89</v>
      </c>
      <c r="O610">
        <f>Supply_Chain[[#This Row],[Unit_Price]]*Supply_Chain[[#This Row],[Quantity]]</f>
        <v>12489.37</v>
      </c>
      <c r="P610" t="s">
        <v>1833</v>
      </c>
      <c r="Q610" t="s">
        <v>35</v>
      </c>
      <c r="R610" t="s">
        <v>476</v>
      </c>
      <c r="S610" t="s">
        <v>37</v>
      </c>
      <c r="T610" t="s">
        <v>71</v>
      </c>
      <c r="U610" t="s">
        <v>499</v>
      </c>
      <c r="V610">
        <v>4427</v>
      </c>
      <c r="W610">
        <v>81</v>
      </c>
      <c r="X610">
        <v>27</v>
      </c>
      <c r="Y610">
        <v>991.65</v>
      </c>
      <c r="Z610">
        <v>99.12</v>
      </c>
      <c r="AA610" s="9">
        <v>1090.77</v>
      </c>
      <c r="AB610" t="s">
        <v>40</v>
      </c>
      <c r="AC610">
        <v>1</v>
      </c>
      <c r="AD610">
        <v>93.64</v>
      </c>
      <c r="AE610">
        <v>56</v>
      </c>
      <c r="AF610">
        <v>75</v>
      </c>
      <c r="AG610" s="11">
        <f>Supply_Chain[[#This Row],[Total_Cost]]/Supply_Chain[[#This Row],[Stock_On_Hand]]</f>
        <v>0.24639033205330924</v>
      </c>
    </row>
    <row r="611" spans="1:33" x14ac:dyDescent="0.25">
      <c r="A611" t="s">
        <v>1834</v>
      </c>
      <c r="B611" t="s">
        <v>1835</v>
      </c>
      <c r="C611" s="1">
        <v>44743</v>
      </c>
      <c r="D611" s="1">
        <v>45343</v>
      </c>
      <c r="E611" t="s">
        <v>43</v>
      </c>
      <c r="F611" t="s">
        <v>64</v>
      </c>
      <c r="G611" t="s">
        <v>76</v>
      </c>
      <c r="H611" t="s">
        <v>46</v>
      </c>
      <c r="I611" s="3" t="s">
        <v>3245</v>
      </c>
      <c r="J611" s="3" t="s">
        <v>3519</v>
      </c>
      <c r="K611" s="3" t="s">
        <v>3530</v>
      </c>
      <c r="L611" s="3" t="s">
        <v>4035</v>
      </c>
      <c r="M611">
        <v>27.57</v>
      </c>
      <c r="N611">
        <v>57</v>
      </c>
      <c r="O611">
        <f>Supply_Chain[[#This Row],[Unit_Price]]*Supply_Chain[[#This Row],[Quantity]]</f>
        <v>1571.49</v>
      </c>
      <c r="P611" t="s">
        <v>1836</v>
      </c>
      <c r="Q611" t="s">
        <v>35</v>
      </c>
      <c r="R611" t="s">
        <v>111</v>
      </c>
      <c r="S611" t="s">
        <v>37</v>
      </c>
      <c r="T611" t="s">
        <v>60</v>
      </c>
      <c r="U611" t="s">
        <v>51</v>
      </c>
      <c r="V611">
        <v>3271</v>
      </c>
      <c r="W611">
        <v>220</v>
      </c>
      <c r="X611">
        <v>9</v>
      </c>
      <c r="Y611">
        <v>114.79</v>
      </c>
      <c r="Z611">
        <v>188.11</v>
      </c>
      <c r="AA611" s="9">
        <v>302.89999999999998</v>
      </c>
      <c r="AB611" t="s">
        <v>40</v>
      </c>
      <c r="AC611">
        <v>10</v>
      </c>
      <c r="AD611">
        <v>73.25</v>
      </c>
      <c r="AE611">
        <v>159</v>
      </c>
      <c r="AF611">
        <v>184</v>
      </c>
      <c r="AG611" s="11">
        <f>Supply_Chain[[#This Row],[Total_Cost]]/Supply_Chain[[#This Row],[Stock_On_Hand]]</f>
        <v>9.260165087129317E-2</v>
      </c>
    </row>
    <row r="612" spans="1:33" x14ac:dyDescent="0.25">
      <c r="A612" t="s">
        <v>1837</v>
      </c>
      <c r="B612" t="s">
        <v>1838</v>
      </c>
      <c r="C612" s="1">
        <v>44257</v>
      </c>
      <c r="D612" s="1">
        <v>44903</v>
      </c>
      <c r="E612" t="s">
        <v>43</v>
      </c>
      <c r="F612" t="s">
        <v>75</v>
      </c>
      <c r="G612" t="s">
        <v>247</v>
      </c>
      <c r="H612" t="s">
        <v>33</v>
      </c>
      <c r="I612" s="3" t="s">
        <v>3106</v>
      </c>
      <c r="J612" s="3" t="s">
        <v>3519</v>
      </c>
      <c r="K612" s="3" t="s">
        <v>3528</v>
      </c>
      <c r="L612" s="3" t="s">
        <v>3901</v>
      </c>
      <c r="M612">
        <v>354.17</v>
      </c>
      <c r="N612">
        <v>49</v>
      </c>
      <c r="O612">
        <f>Supply_Chain[[#This Row],[Unit_Price]]*Supply_Chain[[#This Row],[Quantity]]</f>
        <v>17354.330000000002</v>
      </c>
      <c r="P612" t="s">
        <v>1839</v>
      </c>
      <c r="Q612" t="s">
        <v>68</v>
      </c>
      <c r="R612" t="s">
        <v>466</v>
      </c>
      <c r="S612" t="s">
        <v>70</v>
      </c>
      <c r="T612" t="s">
        <v>79</v>
      </c>
      <c r="U612" t="s">
        <v>120</v>
      </c>
      <c r="V612">
        <v>4332</v>
      </c>
      <c r="W612">
        <v>324</v>
      </c>
      <c r="X612">
        <v>8</v>
      </c>
      <c r="Y612">
        <v>706.6</v>
      </c>
      <c r="Z612">
        <v>407.2</v>
      </c>
      <c r="AA612" s="9">
        <v>1113.8</v>
      </c>
      <c r="AB612" t="s">
        <v>52</v>
      </c>
      <c r="AC612">
        <v>0</v>
      </c>
      <c r="AD612">
        <v>91.76</v>
      </c>
      <c r="AE612">
        <v>440</v>
      </c>
      <c r="AF612">
        <v>431</v>
      </c>
      <c r="AG612" s="11">
        <f>Supply_Chain[[#This Row],[Total_Cost]]/Supply_Chain[[#This Row],[Stock_On_Hand]]</f>
        <v>0.25710987996306556</v>
      </c>
    </row>
    <row r="613" spans="1:33" x14ac:dyDescent="0.25">
      <c r="A613" t="s">
        <v>1840</v>
      </c>
      <c r="B613" t="s">
        <v>1841</v>
      </c>
      <c r="C613" s="1">
        <v>45658</v>
      </c>
      <c r="D613" s="1">
        <v>44510</v>
      </c>
      <c r="E613" t="s">
        <v>43</v>
      </c>
      <c r="F613" t="s">
        <v>31</v>
      </c>
      <c r="G613" t="s">
        <v>65</v>
      </c>
      <c r="H613" t="s">
        <v>66</v>
      </c>
      <c r="I613" s="3" t="s">
        <v>3246</v>
      </c>
      <c r="J613" s="3" t="s">
        <v>3519</v>
      </c>
      <c r="K613" s="3" t="s">
        <v>3528</v>
      </c>
      <c r="L613" s="3" t="s">
        <v>4036</v>
      </c>
      <c r="M613">
        <v>430.5</v>
      </c>
      <c r="N613">
        <v>10</v>
      </c>
      <c r="O613">
        <f>Supply_Chain[[#This Row],[Unit_Price]]*Supply_Chain[[#This Row],[Quantity]]</f>
        <v>4305</v>
      </c>
      <c r="P613" t="s">
        <v>1842</v>
      </c>
      <c r="Q613" t="s">
        <v>68</v>
      </c>
      <c r="R613" t="s">
        <v>214</v>
      </c>
      <c r="S613" t="s">
        <v>70</v>
      </c>
      <c r="T613" t="s">
        <v>100</v>
      </c>
      <c r="U613" t="s">
        <v>545</v>
      </c>
      <c r="V613">
        <v>167</v>
      </c>
      <c r="W613">
        <v>219</v>
      </c>
      <c r="X613">
        <v>2</v>
      </c>
      <c r="Y613">
        <v>1203.4000000000001</v>
      </c>
      <c r="Z613">
        <v>264.05</v>
      </c>
      <c r="AA613" s="9">
        <v>1467.45</v>
      </c>
      <c r="AB613" t="s">
        <v>52</v>
      </c>
      <c r="AC613">
        <v>0</v>
      </c>
      <c r="AD613">
        <v>71.13</v>
      </c>
      <c r="AE613">
        <v>55</v>
      </c>
      <c r="AF613">
        <v>91</v>
      </c>
      <c r="AG613" s="11">
        <f>Supply_Chain[[#This Row],[Total_Cost]]/Supply_Chain[[#This Row],[Stock_On_Hand]]</f>
        <v>8.7871257485029943</v>
      </c>
    </row>
    <row r="614" spans="1:33" x14ac:dyDescent="0.25">
      <c r="A614" t="s">
        <v>1843</v>
      </c>
      <c r="B614" t="s">
        <v>1844</v>
      </c>
      <c r="C614" s="1">
        <v>44350</v>
      </c>
      <c r="D614" s="1">
        <v>44677</v>
      </c>
      <c r="E614" t="s">
        <v>43</v>
      </c>
      <c r="F614" t="s">
        <v>75</v>
      </c>
      <c r="G614" t="s">
        <v>247</v>
      </c>
      <c r="H614" t="s">
        <v>66</v>
      </c>
      <c r="I614" s="3" t="s">
        <v>3247</v>
      </c>
      <c r="J614" s="3" t="s">
        <v>3519</v>
      </c>
      <c r="K614" s="3" t="s">
        <v>3528</v>
      </c>
      <c r="L614" s="3" t="s">
        <v>4037</v>
      </c>
      <c r="M614">
        <v>288.39</v>
      </c>
      <c r="N614">
        <v>2</v>
      </c>
      <c r="O614">
        <f>Supply_Chain[[#This Row],[Unit_Price]]*Supply_Chain[[#This Row],[Quantity]]</f>
        <v>576.78</v>
      </c>
      <c r="P614" t="s">
        <v>1845</v>
      </c>
      <c r="Q614" t="s">
        <v>68</v>
      </c>
      <c r="R614" t="s">
        <v>145</v>
      </c>
      <c r="S614" t="s">
        <v>37</v>
      </c>
      <c r="T614" t="s">
        <v>60</v>
      </c>
      <c r="U614" t="s">
        <v>389</v>
      </c>
      <c r="V614">
        <v>1277</v>
      </c>
      <c r="W614">
        <v>321</v>
      </c>
      <c r="X614">
        <v>2</v>
      </c>
      <c r="Y614">
        <v>358.93</v>
      </c>
      <c r="Z614">
        <v>278.32</v>
      </c>
      <c r="AA614" s="9">
        <v>637.25</v>
      </c>
      <c r="AB614" t="s">
        <v>52</v>
      </c>
      <c r="AC614">
        <v>0</v>
      </c>
      <c r="AD614">
        <v>74</v>
      </c>
      <c r="AE614">
        <v>68</v>
      </c>
      <c r="AF614">
        <v>36</v>
      </c>
      <c r="AG614" s="11">
        <f>Supply_Chain[[#This Row],[Total_Cost]]/Supply_Chain[[#This Row],[Stock_On_Hand]]</f>
        <v>0.49902114330462022</v>
      </c>
    </row>
    <row r="615" spans="1:33" x14ac:dyDescent="0.25">
      <c r="A615" t="s">
        <v>1846</v>
      </c>
      <c r="B615" t="s">
        <v>1847</v>
      </c>
      <c r="C615" s="1">
        <v>44160</v>
      </c>
      <c r="D615" s="1">
        <v>44532</v>
      </c>
      <c r="E615" t="s">
        <v>43</v>
      </c>
      <c r="F615" t="s">
        <v>31</v>
      </c>
      <c r="G615" t="s">
        <v>32</v>
      </c>
      <c r="H615" t="s">
        <v>66</v>
      </c>
      <c r="I615" s="3" t="s">
        <v>3248</v>
      </c>
      <c r="J615" s="3" t="s">
        <v>3518</v>
      </c>
      <c r="K615" s="3" t="s">
        <v>3523</v>
      </c>
      <c r="L615" s="3" t="s">
        <v>4038</v>
      </c>
      <c r="M615">
        <v>36.25</v>
      </c>
      <c r="N615">
        <v>91</v>
      </c>
      <c r="O615">
        <f>Supply_Chain[[#This Row],[Unit_Price]]*Supply_Chain[[#This Row],[Quantity]]</f>
        <v>3298.75</v>
      </c>
      <c r="P615" t="s">
        <v>930</v>
      </c>
      <c r="Q615" t="s">
        <v>68</v>
      </c>
      <c r="R615" t="s">
        <v>323</v>
      </c>
      <c r="S615" t="s">
        <v>119</v>
      </c>
      <c r="T615" t="s">
        <v>71</v>
      </c>
      <c r="U615" t="s">
        <v>615</v>
      </c>
      <c r="V615">
        <v>88</v>
      </c>
      <c r="W615">
        <v>379</v>
      </c>
      <c r="X615">
        <v>21</v>
      </c>
      <c r="Y615">
        <v>220.7</v>
      </c>
      <c r="Z615">
        <v>329.61</v>
      </c>
      <c r="AA615" s="9">
        <v>550.30999999999995</v>
      </c>
      <c r="AB615" t="s">
        <v>52</v>
      </c>
      <c r="AC615">
        <v>0</v>
      </c>
      <c r="AD615">
        <v>91.7</v>
      </c>
      <c r="AE615">
        <v>103</v>
      </c>
      <c r="AF615">
        <v>75</v>
      </c>
      <c r="AG615" s="11">
        <f>Supply_Chain[[#This Row],[Total_Cost]]/Supply_Chain[[#This Row],[Stock_On_Hand]]</f>
        <v>6.2535227272727267</v>
      </c>
    </row>
    <row r="616" spans="1:33" x14ac:dyDescent="0.25">
      <c r="A616" t="s">
        <v>1848</v>
      </c>
      <c r="B616" t="s">
        <v>1849</v>
      </c>
      <c r="C616" s="1">
        <v>43840</v>
      </c>
      <c r="D616" s="1">
        <v>44364</v>
      </c>
      <c r="E616" t="s">
        <v>30</v>
      </c>
      <c r="F616" t="s">
        <v>44</v>
      </c>
      <c r="G616" t="s">
        <v>83</v>
      </c>
      <c r="H616" t="s">
        <v>46</v>
      </c>
      <c r="I616" s="3" t="s">
        <v>2853</v>
      </c>
      <c r="J616" s="3" t="s">
        <v>3518</v>
      </c>
      <c r="K616" s="3" t="s">
        <v>3525</v>
      </c>
      <c r="L616" s="3" t="s">
        <v>3652</v>
      </c>
      <c r="M616">
        <v>314.7</v>
      </c>
      <c r="N616">
        <v>52</v>
      </c>
      <c r="O616">
        <f>Supply_Chain[[#This Row],[Unit_Price]]*Supply_Chain[[#This Row],[Quantity]]</f>
        <v>16364.4</v>
      </c>
      <c r="P616" t="s">
        <v>352</v>
      </c>
      <c r="Q616" t="s">
        <v>68</v>
      </c>
      <c r="R616" t="s">
        <v>59</v>
      </c>
      <c r="S616" t="s">
        <v>119</v>
      </c>
      <c r="T616" t="s">
        <v>38</v>
      </c>
      <c r="U616" t="s">
        <v>72</v>
      </c>
      <c r="V616">
        <v>3008</v>
      </c>
      <c r="W616">
        <v>389</v>
      </c>
      <c r="X616">
        <v>4</v>
      </c>
      <c r="Y616">
        <v>593.33000000000004</v>
      </c>
      <c r="Z616">
        <v>483.39</v>
      </c>
      <c r="AA616" s="9">
        <v>1076.72</v>
      </c>
      <c r="AB616" t="s">
        <v>40</v>
      </c>
      <c r="AC616">
        <v>14</v>
      </c>
      <c r="AD616">
        <v>92.9</v>
      </c>
      <c r="AE616">
        <v>78</v>
      </c>
      <c r="AF616">
        <v>56</v>
      </c>
      <c r="AG616" s="11">
        <f>Supply_Chain[[#This Row],[Total_Cost]]/Supply_Chain[[#This Row],[Stock_On_Hand]]</f>
        <v>0.35795212765957446</v>
      </c>
    </row>
    <row r="617" spans="1:33" x14ac:dyDescent="0.25">
      <c r="A617" t="s">
        <v>1850</v>
      </c>
      <c r="B617" t="s">
        <v>1851</v>
      </c>
      <c r="C617" s="1">
        <v>45008</v>
      </c>
      <c r="D617" s="1">
        <v>45382</v>
      </c>
      <c r="E617" t="s">
        <v>55</v>
      </c>
      <c r="F617" t="s">
        <v>75</v>
      </c>
      <c r="G617" t="s">
        <v>32</v>
      </c>
      <c r="H617" t="s">
        <v>166</v>
      </c>
      <c r="I617" s="3" t="s">
        <v>3249</v>
      </c>
      <c r="J617" s="3" t="s">
        <v>84</v>
      </c>
      <c r="K617" s="3" t="s">
        <v>3531</v>
      </c>
      <c r="L617" s="3" t="s">
        <v>4039</v>
      </c>
      <c r="M617">
        <v>399.57</v>
      </c>
      <c r="N617">
        <v>92</v>
      </c>
      <c r="O617">
        <f>Supply_Chain[[#This Row],[Unit_Price]]*Supply_Chain[[#This Row],[Quantity]]</f>
        <v>36760.44</v>
      </c>
      <c r="P617" t="s">
        <v>1852</v>
      </c>
      <c r="Q617" t="s">
        <v>86</v>
      </c>
      <c r="R617" t="s">
        <v>135</v>
      </c>
      <c r="S617" t="s">
        <v>37</v>
      </c>
      <c r="T617" t="s">
        <v>79</v>
      </c>
      <c r="U617" t="s">
        <v>182</v>
      </c>
      <c r="V617">
        <v>675</v>
      </c>
      <c r="W617">
        <v>492</v>
      </c>
      <c r="X617">
        <v>21</v>
      </c>
      <c r="Y617">
        <v>1408</v>
      </c>
      <c r="Z617">
        <v>257.52999999999997</v>
      </c>
      <c r="AA617" s="9">
        <v>1665.53</v>
      </c>
      <c r="AB617" t="s">
        <v>40</v>
      </c>
      <c r="AC617">
        <v>8</v>
      </c>
      <c r="AD617">
        <v>72.58</v>
      </c>
      <c r="AE617">
        <v>181</v>
      </c>
      <c r="AF617">
        <v>228</v>
      </c>
      <c r="AG617" s="11">
        <f>Supply_Chain[[#This Row],[Total_Cost]]/Supply_Chain[[#This Row],[Stock_On_Hand]]</f>
        <v>2.4674518518518518</v>
      </c>
    </row>
    <row r="618" spans="1:33" x14ac:dyDescent="0.25">
      <c r="A618" t="s">
        <v>1853</v>
      </c>
      <c r="B618" t="s">
        <v>1854</v>
      </c>
      <c r="C618" s="1">
        <v>44407</v>
      </c>
      <c r="D618" s="1">
        <v>45300</v>
      </c>
      <c r="E618" t="s">
        <v>55</v>
      </c>
      <c r="F618" t="s">
        <v>64</v>
      </c>
      <c r="G618" t="s">
        <v>32</v>
      </c>
      <c r="H618" t="s">
        <v>116</v>
      </c>
      <c r="I618" s="3" t="s">
        <v>2905</v>
      </c>
      <c r="J618" s="3" t="s">
        <v>84</v>
      </c>
      <c r="K618" s="3" t="s">
        <v>3526</v>
      </c>
      <c r="L618" s="3" t="s">
        <v>3704</v>
      </c>
      <c r="M618">
        <v>330.73</v>
      </c>
      <c r="N618">
        <v>10</v>
      </c>
      <c r="O618">
        <f>Supply_Chain[[#This Row],[Unit_Price]]*Supply_Chain[[#This Row],[Quantity]]</f>
        <v>3307.3</v>
      </c>
      <c r="P618" t="s">
        <v>1855</v>
      </c>
      <c r="Q618" t="s">
        <v>68</v>
      </c>
      <c r="R618" t="s">
        <v>59</v>
      </c>
      <c r="S618" t="s">
        <v>70</v>
      </c>
      <c r="T618" t="s">
        <v>60</v>
      </c>
      <c r="U618" t="s">
        <v>95</v>
      </c>
      <c r="V618">
        <v>3698</v>
      </c>
      <c r="W618">
        <v>233</v>
      </c>
      <c r="X618">
        <v>18</v>
      </c>
      <c r="Y618">
        <v>323.38</v>
      </c>
      <c r="Z618">
        <v>401.74</v>
      </c>
      <c r="AA618" s="9">
        <v>725.12</v>
      </c>
      <c r="AB618" t="s">
        <v>52</v>
      </c>
      <c r="AC618">
        <v>0</v>
      </c>
      <c r="AD618">
        <v>85.95</v>
      </c>
      <c r="AE618">
        <v>192</v>
      </c>
      <c r="AF618">
        <v>177</v>
      </c>
      <c r="AG618" s="11">
        <f>Supply_Chain[[#This Row],[Total_Cost]]/Supply_Chain[[#This Row],[Stock_On_Hand]]</f>
        <v>0.19608436992969172</v>
      </c>
    </row>
    <row r="619" spans="1:33" x14ac:dyDescent="0.25">
      <c r="A619" t="s">
        <v>1856</v>
      </c>
      <c r="B619" t="s">
        <v>1857</v>
      </c>
      <c r="C619" s="1">
        <v>44486</v>
      </c>
      <c r="D619" s="1">
        <v>44265</v>
      </c>
      <c r="E619" t="s">
        <v>55</v>
      </c>
      <c r="F619" t="s">
        <v>64</v>
      </c>
      <c r="G619" t="s">
        <v>247</v>
      </c>
      <c r="H619" t="s">
        <v>46</v>
      </c>
      <c r="I619" s="3" t="s">
        <v>3250</v>
      </c>
      <c r="J619" s="3" t="s">
        <v>84</v>
      </c>
      <c r="K619" s="3" t="s">
        <v>3534</v>
      </c>
      <c r="L619" s="3" t="s">
        <v>4040</v>
      </c>
      <c r="M619">
        <v>498.76</v>
      </c>
      <c r="N619">
        <v>4</v>
      </c>
      <c r="O619">
        <f>Supply_Chain[[#This Row],[Unit_Price]]*Supply_Chain[[#This Row],[Quantity]]</f>
        <v>1995.04</v>
      </c>
      <c r="P619" t="s">
        <v>1858</v>
      </c>
      <c r="Q619" t="s">
        <v>48</v>
      </c>
      <c r="R619" t="s">
        <v>214</v>
      </c>
      <c r="S619" t="s">
        <v>119</v>
      </c>
      <c r="T619" t="s">
        <v>79</v>
      </c>
      <c r="U619" t="s">
        <v>101</v>
      </c>
      <c r="V619">
        <v>477</v>
      </c>
      <c r="W619">
        <v>480</v>
      </c>
      <c r="X619">
        <v>23</v>
      </c>
      <c r="Y619">
        <v>1439.43</v>
      </c>
      <c r="Z619">
        <v>245.99</v>
      </c>
      <c r="AA619" s="9">
        <v>1685.42</v>
      </c>
      <c r="AB619" t="s">
        <v>52</v>
      </c>
      <c r="AC619">
        <v>0</v>
      </c>
      <c r="AD619">
        <v>94.31</v>
      </c>
      <c r="AE619">
        <v>169</v>
      </c>
      <c r="AF619">
        <v>170</v>
      </c>
      <c r="AG619" s="11">
        <f>Supply_Chain[[#This Row],[Total_Cost]]/Supply_Chain[[#This Row],[Stock_On_Hand]]</f>
        <v>3.5333752620545074</v>
      </c>
    </row>
    <row r="620" spans="1:33" x14ac:dyDescent="0.25">
      <c r="A620" t="s">
        <v>1859</v>
      </c>
      <c r="B620" t="s">
        <v>1860</v>
      </c>
      <c r="C620" s="1">
        <v>45210</v>
      </c>
      <c r="D620" s="1">
        <v>45067</v>
      </c>
      <c r="E620" t="s">
        <v>55</v>
      </c>
      <c r="F620" t="s">
        <v>44</v>
      </c>
      <c r="G620" t="s">
        <v>247</v>
      </c>
      <c r="H620" t="s">
        <v>66</v>
      </c>
      <c r="I620" s="3" t="s">
        <v>3251</v>
      </c>
      <c r="J620" s="3" t="s">
        <v>3518</v>
      </c>
      <c r="K620" s="3" t="s">
        <v>3522</v>
      </c>
      <c r="L620" s="3" t="s">
        <v>4041</v>
      </c>
      <c r="M620">
        <v>362.55</v>
      </c>
      <c r="N620">
        <v>28</v>
      </c>
      <c r="O620">
        <f>Supply_Chain[[#This Row],[Unit_Price]]*Supply_Chain[[#This Row],[Quantity]]</f>
        <v>10151.4</v>
      </c>
      <c r="P620" t="s">
        <v>1861</v>
      </c>
      <c r="Q620" t="s">
        <v>48</v>
      </c>
      <c r="R620" t="s">
        <v>78</v>
      </c>
      <c r="S620" t="s">
        <v>37</v>
      </c>
      <c r="T620" t="s">
        <v>60</v>
      </c>
      <c r="U620" t="s">
        <v>203</v>
      </c>
      <c r="V620">
        <v>4088</v>
      </c>
      <c r="W620">
        <v>128</v>
      </c>
      <c r="X620">
        <v>11</v>
      </c>
      <c r="Y620">
        <v>1385.25</v>
      </c>
      <c r="Z620">
        <v>486.06</v>
      </c>
      <c r="AA620" s="9">
        <v>1871.31</v>
      </c>
      <c r="AB620" t="s">
        <v>40</v>
      </c>
      <c r="AC620">
        <v>14</v>
      </c>
      <c r="AD620">
        <v>92.79</v>
      </c>
      <c r="AE620">
        <v>406</v>
      </c>
      <c r="AF620">
        <v>369</v>
      </c>
      <c r="AG620" s="11">
        <f>Supply_Chain[[#This Row],[Total_Cost]]/Supply_Chain[[#This Row],[Stock_On_Hand]]</f>
        <v>0.45775684931506849</v>
      </c>
    </row>
    <row r="621" spans="1:33" x14ac:dyDescent="0.25">
      <c r="A621" t="s">
        <v>1862</v>
      </c>
      <c r="B621" t="s">
        <v>920</v>
      </c>
      <c r="C621" s="1">
        <v>45230</v>
      </c>
      <c r="D621" s="1">
        <v>44529</v>
      </c>
      <c r="E621" t="s">
        <v>30</v>
      </c>
      <c r="F621" t="s">
        <v>64</v>
      </c>
      <c r="G621" t="s">
        <v>83</v>
      </c>
      <c r="H621" t="s">
        <v>57</v>
      </c>
      <c r="I621" s="3" t="s">
        <v>3252</v>
      </c>
      <c r="J621" s="3" t="s">
        <v>3518</v>
      </c>
      <c r="K621" s="3" t="s">
        <v>3521</v>
      </c>
      <c r="L621" s="3" t="s">
        <v>4042</v>
      </c>
      <c r="M621">
        <v>161.61000000000001</v>
      </c>
      <c r="N621">
        <v>11</v>
      </c>
      <c r="O621">
        <f>Supply_Chain[[#This Row],[Unit_Price]]*Supply_Chain[[#This Row],[Quantity]]</f>
        <v>1777.71</v>
      </c>
      <c r="P621" t="s">
        <v>1863</v>
      </c>
      <c r="Q621" t="s">
        <v>86</v>
      </c>
      <c r="R621" t="s">
        <v>231</v>
      </c>
      <c r="S621" t="s">
        <v>119</v>
      </c>
      <c r="T621" t="s">
        <v>71</v>
      </c>
      <c r="U621" t="s">
        <v>338</v>
      </c>
      <c r="V621">
        <v>4758</v>
      </c>
      <c r="W621">
        <v>129</v>
      </c>
      <c r="X621">
        <v>22</v>
      </c>
      <c r="Y621">
        <v>1929.56</v>
      </c>
      <c r="Z621">
        <v>266.43</v>
      </c>
      <c r="AA621" s="9">
        <v>2195.9899999999998</v>
      </c>
      <c r="AB621" t="s">
        <v>52</v>
      </c>
      <c r="AC621">
        <v>0</v>
      </c>
      <c r="AD621">
        <v>88.77</v>
      </c>
      <c r="AE621">
        <v>452</v>
      </c>
      <c r="AF621">
        <v>463</v>
      </c>
      <c r="AG621" s="11">
        <f>Supply_Chain[[#This Row],[Total_Cost]]/Supply_Chain[[#This Row],[Stock_On_Hand]]</f>
        <v>0.46153635981504831</v>
      </c>
    </row>
    <row r="622" spans="1:33" x14ac:dyDescent="0.25">
      <c r="A622" t="s">
        <v>1864</v>
      </c>
      <c r="B622" t="s">
        <v>1865</v>
      </c>
      <c r="C622" s="1">
        <v>43962</v>
      </c>
      <c r="D622" s="1">
        <v>44630</v>
      </c>
      <c r="E622" t="s">
        <v>55</v>
      </c>
      <c r="F622" t="s">
        <v>75</v>
      </c>
      <c r="G622" t="s">
        <v>45</v>
      </c>
      <c r="H622" t="s">
        <v>128</v>
      </c>
      <c r="I622" s="3" t="s">
        <v>2845</v>
      </c>
      <c r="J622" s="3" t="s">
        <v>84</v>
      </c>
      <c r="K622" s="3" t="s">
        <v>3526</v>
      </c>
      <c r="L622" s="3" t="s">
        <v>3644</v>
      </c>
      <c r="M622">
        <v>29.23</v>
      </c>
      <c r="N622">
        <v>32</v>
      </c>
      <c r="O622">
        <f>Supply_Chain[[#This Row],[Unit_Price]]*Supply_Chain[[#This Row],[Quantity]]</f>
        <v>935.36</v>
      </c>
      <c r="P622" t="s">
        <v>1866</v>
      </c>
      <c r="Q622" t="s">
        <v>48</v>
      </c>
      <c r="R622" t="s">
        <v>94</v>
      </c>
      <c r="S622" t="s">
        <v>70</v>
      </c>
      <c r="T622" t="s">
        <v>60</v>
      </c>
      <c r="U622" t="s">
        <v>182</v>
      </c>
      <c r="V622">
        <v>206</v>
      </c>
      <c r="W622">
        <v>235</v>
      </c>
      <c r="X622">
        <v>10</v>
      </c>
      <c r="Y622">
        <v>1074.4000000000001</v>
      </c>
      <c r="Z622">
        <v>158.57</v>
      </c>
      <c r="AA622" s="9">
        <v>1232.97</v>
      </c>
      <c r="AB622" t="s">
        <v>40</v>
      </c>
      <c r="AC622">
        <v>13</v>
      </c>
      <c r="AD622">
        <v>99.48</v>
      </c>
      <c r="AE622">
        <v>100</v>
      </c>
      <c r="AF622">
        <v>145</v>
      </c>
      <c r="AG622" s="11">
        <f>Supply_Chain[[#This Row],[Total_Cost]]/Supply_Chain[[#This Row],[Stock_On_Hand]]</f>
        <v>5.9852912621359229</v>
      </c>
    </row>
    <row r="623" spans="1:33" x14ac:dyDescent="0.25">
      <c r="A623" t="s">
        <v>1867</v>
      </c>
      <c r="B623" t="s">
        <v>1868</v>
      </c>
      <c r="C623" s="1">
        <v>45638</v>
      </c>
      <c r="D623" s="1">
        <v>45479</v>
      </c>
      <c r="E623" t="s">
        <v>30</v>
      </c>
      <c r="F623" t="s">
        <v>44</v>
      </c>
      <c r="G623" t="s">
        <v>45</v>
      </c>
      <c r="H623" t="s">
        <v>166</v>
      </c>
      <c r="I623" s="3" t="s">
        <v>3253</v>
      </c>
      <c r="J623" s="3" t="s">
        <v>3518</v>
      </c>
      <c r="K623" s="3" t="s">
        <v>3525</v>
      </c>
      <c r="L623" s="3" t="s">
        <v>4043</v>
      </c>
      <c r="M623">
        <v>456.5</v>
      </c>
      <c r="N623">
        <v>56</v>
      </c>
      <c r="O623">
        <f>Supply_Chain[[#This Row],[Unit_Price]]*Supply_Chain[[#This Row],[Quantity]]</f>
        <v>25564</v>
      </c>
      <c r="P623" t="s">
        <v>462</v>
      </c>
      <c r="Q623" t="s">
        <v>68</v>
      </c>
      <c r="R623" t="s">
        <v>306</v>
      </c>
      <c r="S623" t="s">
        <v>37</v>
      </c>
      <c r="T623" t="s">
        <v>71</v>
      </c>
      <c r="U623" t="s">
        <v>146</v>
      </c>
      <c r="V623">
        <v>2772</v>
      </c>
      <c r="W623">
        <v>52</v>
      </c>
      <c r="X623">
        <v>28</v>
      </c>
      <c r="Y623">
        <v>1032.74</v>
      </c>
      <c r="Z623">
        <v>372.69</v>
      </c>
      <c r="AA623" s="9">
        <v>1405.43</v>
      </c>
      <c r="AB623" t="s">
        <v>52</v>
      </c>
      <c r="AC623">
        <v>0</v>
      </c>
      <c r="AD623">
        <v>72.59</v>
      </c>
      <c r="AE623">
        <v>307</v>
      </c>
      <c r="AF623">
        <v>267</v>
      </c>
      <c r="AG623" s="11">
        <f>Supply_Chain[[#This Row],[Total_Cost]]/Supply_Chain[[#This Row],[Stock_On_Hand]]</f>
        <v>0.50700937950937952</v>
      </c>
    </row>
    <row r="624" spans="1:33" x14ac:dyDescent="0.25">
      <c r="A624" t="s">
        <v>1869</v>
      </c>
      <c r="B624" t="s">
        <v>1870</v>
      </c>
      <c r="C624" s="1">
        <v>44655</v>
      </c>
      <c r="D624" s="1">
        <v>44212</v>
      </c>
      <c r="E624" t="s">
        <v>55</v>
      </c>
      <c r="F624" t="s">
        <v>31</v>
      </c>
      <c r="G624" t="s">
        <v>91</v>
      </c>
      <c r="H624" t="s">
        <v>57</v>
      </c>
      <c r="I624" s="3" t="s">
        <v>3018</v>
      </c>
      <c r="J624" s="3" t="s">
        <v>3518</v>
      </c>
      <c r="K624" s="3" t="s">
        <v>3522</v>
      </c>
      <c r="L624" s="3" t="s">
        <v>3815</v>
      </c>
      <c r="M624">
        <v>136.74</v>
      </c>
      <c r="N624">
        <v>89</v>
      </c>
      <c r="O624">
        <f>Supply_Chain[[#This Row],[Unit_Price]]*Supply_Chain[[#This Row],[Quantity]]</f>
        <v>12169.86</v>
      </c>
      <c r="P624" t="s">
        <v>1417</v>
      </c>
      <c r="Q624" t="s">
        <v>86</v>
      </c>
      <c r="R624" t="s">
        <v>118</v>
      </c>
      <c r="S624" t="s">
        <v>119</v>
      </c>
      <c r="T624" t="s">
        <v>38</v>
      </c>
      <c r="U624" t="s">
        <v>196</v>
      </c>
      <c r="V624">
        <v>729</v>
      </c>
      <c r="W624">
        <v>440</v>
      </c>
      <c r="X624">
        <v>13</v>
      </c>
      <c r="Y624">
        <v>1054.8599999999999</v>
      </c>
      <c r="Z624">
        <v>388.22</v>
      </c>
      <c r="AA624" s="9">
        <v>1443.08</v>
      </c>
      <c r="AB624" t="s">
        <v>52</v>
      </c>
      <c r="AC624">
        <v>0</v>
      </c>
      <c r="AD624">
        <v>95.51</v>
      </c>
      <c r="AE624">
        <v>469</v>
      </c>
      <c r="AF624">
        <v>484</v>
      </c>
      <c r="AG624" s="11">
        <f>Supply_Chain[[#This Row],[Total_Cost]]/Supply_Chain[[#This Row],[Stock_On_Hand]]</f>
        <v>1.9795336076817558</v>
      </c>
    </row>
    <row r="625" spans="1:33" x14ac:dyDescent="0.25">
      <c r="A625" t="s">
        <v>1871</v>
      </c>
      <c r="B625" t="s">
        <v>1872</v>
      </c>
      <c r="C625" s="1">
        <v>45140</v>
      </c>
      <c r="D625" s="1">
        <v>45291</v>
      </c>
      <c r="E625" t="s">
        <v>55</v>
      </c>
      <c r="F625" t="s">
        <v>44</v>
      </c>
      <c r="G625" t="s">
        <v>76</v>
      </c>
      <c r="H625" t="s">
        <v>116</v>
      </c>
      <c r="I625" s="3" t="s">
        <v>3254</v>
      </c>
      <c r="J625" s="3" t="s">
        <v>3518</v>
      </c>
      <c r="K625" s="3" t="s">
        <v>3532</v>
      </c>
      <c r="L625" s="3" t="s">
        <v>3566</v>
      </c>
      <c r="M625">
        <v>213.73</v>
      </c>
      <c r="N625">
        <v>75</v>
      </c>
      <c r="O625">
        <f>Supply_Chain[[#This Row],[Unit_Price]]*Supply_Chain[[#This Row],[Quantity]]</f>
        <v>16029.75</v>
      </c>
      <c r="P625" t="s">
        <v>659</v>
      </c>
      <c r="Q625" t="s">
        <v>86</v>
      </c>
      <c r="R625" t="s">
        <v>819</v>
      </c>
      <c r="S625" t="s">
        <v>37</v>
      </c>
      <c r="T625" t="s">
        <v>100</v>
      </c>
      <c r="U625" t="s">
        <v>131</v>
      </c>
      <c r="V625">
        <v>2155</v>
      </c>
      <c r="W625">
        <v>397</v>
      </c>
      <c r="X625">
        <v>7</v>
      </c>
      <c r="Y625">
        <v>378.03</v>
      </c>
      <c r="Z625">
        <v>411.83</v>
      </c>
      <c r="AA625" s="9">
        <v>789.8599999999999</v>
      </c>
      <c r="AB625" t="s">
        <v>52</v>
      </c>
      <c r="AC625">
        <v>0</v>
      </c>
      <c r="AD625">
        <v>71.05</v>
      </c>
      <c r="AE625">
        <v>479</v>
      </c>
      <c r="AF625">
        <v>490</v>
      </c>
      <c r="AG625" s="11">
        <f>Supply_Chain[[#This Row],[Total_Cost]]/Supply_Chain[[#This Row],[Stock_On_Hand]]</f>
        <v>0.36652436194895588</v>
      </c>
    </row>
    <row r="626" spans="1:33" x14ac:dyDescent="0.25">
      <c r="A626" t="s">
        <v>1873</v>
      </c>
      <c r="B626" t="s">
        <v>1874</v>
      </c>
      <c r="C626" s="1">
        <v>44489</v>
      </c>
      <c r="D626" s="1">
        <v>44700</v>
      </c>
      <c r="E626" t="s">
        <v>55</v>
      </c>
      <c r="F626" t="s">
        <v>44</v>
      </c>
      <c r="G626" t="s">
        <v>65</v>
      </c>
      <c r="H626" t="s">
        <v>92</v>
      </c>
      <c r="I626" s="3" t="s">
        <v>2897</v>
      </c>
      <c r="J626" s="3" t="s">
        <v>84</v>
      </c>
      <c r="K626" s="3" t="s">
        <v>3529</v>
      </c>
      <c r="L626" s="3" t="s">
        <v>3696</v>
      </c>
      <c r="M626">
        <v>34.35</v>
      </c>
      <c r="N626">
        <v>46</v>
      </c>
      <c r="O626">
        <f>Supply_Chain[[#This Row],[Unit_Price]]*Supply_Chain[[#This Row],[Quantity]]</f>
        <v>1580.1000000000001</v>
      </c>
      <c r="P626" t="s">
        <v>1875</v>
      </c>
      <c r="Q626" t="s">
        <v>35</v>
      </c>
      <c r="R626" t="s">
        <v>49</v>
      </c>
      <c r="S626" t="s">
        <v>37</v>
      </c>
      <c r="T626" t="s">
        <v>79</v>
      </c>
      <c r="U626" t="s">
        <v>331</v>
      </c>
      <c r="V626">
        <v>215</v>
      </c>
      <c r="W626">
        <v>456</v>
      </c>
      <c r="X626">
        <v>29</v>
      </c>
      <c r="Y626">
        <v>385.04</v>
      </c>
      <c r="Z626">
        <v>285.83999999999997</v>
      </c>
      <c r="AA626" s="9">
        <v>670.88</v>
      </c>
      <c r="AB626" t="s">
        <v>52</v>
      </c>
      <c r="AC626">
        <v>0</v>
      </c>
      <c r="AD626">
        <v>70.91</v>
      </c>
      <c r="AE626">
        <v>82</v>
      </c>
      <c r="AF626">
        <v>126</v>
      </c>
      <c r="AG626" s="11">
        <f>Supply_Chain[[#This Row],[Total_Cost]]/Supply_Chain[[#This Row],[Stock_On_Hand]]</f>
        <v>3.1203720930232559</v>
      </c>
    </row>
    <row r="627" spans="1:33" x14ac:dyDescent="0.25">
      <c r="A627" t="s">
        <v>1876</v>
      </c>
      <c r="B627" t="s">
        <v>1877</v>
      </c>
      <c r="C627" s="1">
        <v>44278</v>
      </c>
      <c r="D627" s="1">
        <v>45516</v>
      </c>
      <c r="E627" t="s">
        <v>55</v>
      </c>
      <c r="F627" t="s">
        <v>44</v>
      </c>
      <c r="G627" t="s">
        <v>76</v>
      </c>
      <c r="H627" t="s">
        <v>166</v>
      </c>
      <c r="I627" s="3" t="s">
        <v>3255</v>
      </c>
      <c r="J627" s="3" t="s">
        <v>3518</v>
      </c>
      <c r="K627" s="3" t="s">
        <v>3522</v>
      </c>
      <c r="L627" s="3" t="s">
        <v>4044</v>
      </c>
      <c r="M627">
        <v>66.680000000000007</v>
      </c>
      <c r="N627">
        <v>26</v>
      </c>
      <c r="O627">
        <f>Supply_Chain[[#This Row],[Unit_Price]]*Supply_Chain[[#This Row],[Quantity]]</f>
        <v>1733.6800000000003</v>
      </c>
      <c r="P627" t="s">
        <v>1125</v>
      </c>
      <c r="Q627" t="s">
        <v>35</v>
      </c>
      <c r="R627" t="s">
        <v>653</v>
      </c>
      <c r="S627" t="s">
        <v>37</v>
      </c>
      <c r="T627" t="s">
        <v>38</v>
      </c>
      <c r="U627" t="s">
        <v>669</v>
      </c>
      <c r="V627">
        <v>4080</v>
      </c>
      <c r="W627">
        <v>147</v>
      </c>
      <c r="X627">
        <v>6</v>
      </c>
      <c r="Y627">
        <v>98.66</v>
      </c>
      <c r="Z627">
        <v>492.83</v>
      </c>
      <c r="AA627" s="9">
        <v>591.49</v>
      </c>
      <c r="AB627" t="s">
        <v>52</v>
      </c>
      <c r="AC627">
        <v>0</v>
      </c>
      <c r="AD627">
        <v>98.42</v>
      </c>
      <c r="AE627">
        <v>100</v>
      </c>
      <c r="AF627">
        <v>67</v>
      </c>
      <c r="AG627" s="11">
        <f>Supply_Chain[[#This Row],[Total_Cost]]/Supply_Chain[[#This Row],[Stock_On_Hand]]</f>
        <v>0.14497303921568627</v>
      </c>
    </row>
    <row r="628" spans="1:33" x14ac:dyDescent="0.25">
      <c r="A628" t="s">
        <v>1878</v>
      </c>
      <c r="B628" t="s">
        <v>1083</v>
      </c>
      <c r="C628" s="1">
        <v>44644</v>
      </c>
      <c r="D628" s="1">
        <v>45284</v>
      </c>
      <c r="E628" t="s">
        <v>43</v>
      </c>
      <c r="F628" t="s">
        <v>44</v>
      </c>
      <c r="G628" t="s">
        <v>91</v>
      </c>
      <c r="H628" t="s">
        <v>57</v>
      </c>
      <c r="I628" s="3" t="s">
        <v>3256</v>
      </c>
      <c r="J628" s="3" t="s">
        <v>3518</v>
      </c>
      <c r="K628" s="3" t="s">
        <v>3527</v>
      </c>
      <c r="L628" s="3" t="s">
        <v>4045</v>
      </c>
      <c r="M628">
        <v>27.69</v>
      </c>
      <c r="N628">
        <v>55</v>
      </c>
      <c r="O628">
        <f>Supply_Chain[[#This Row],[Unit_Price]]*Supply_Chain[[#This Row],[Quantity]]</f>
        <v>1522.95</v>
      </c>
      <c r="P628" t="s">
        <v>1879</v>
      </c>
      <c r="Q628" t="s">
        <v>68</v>
      </c>
      <c r="R628" t="s">
        <v>480</v>
      </c>
      <c r="S628" t="s">
        <v>50</v>
      </c>
      <c r="T628" t="s">
        <v>71</v>
      </c>
      <c r="U628" t="s">
        <v>219</v>
      </c>
      <c r="V628">
        <v>2962</v>
      </c>
      <c r="W628">
        <v>233</v>
      </c>
      <c r="X628">
        <v>2</v>
      </c>
      <c r="Y628">
        <v>1220.95</v>
      </c>
      <c r="Z628">
        <v>354.45</v>
      </c>
      <c r="AA628" s="9">
        <v>1575.4</v>
      </c>
      <c r="AB628" t="s">
        <v>52</v>
      </c>
      <c r="AC628">
        <v>0</v>
      </c>
      <c r="AD628">
        <v>83.47</v>
      </c>
      <c r="AE628">
        <v>329</v>
      </c>
      <c r="AF628">
        <v>351</v>
      </c>
      <c r="AG628" s="11">
        <f>Supply_Chain[[#This Row],[Total_Cost]]/Supply_Chain[[#This Row],[Stock_On_Hand]]</f>
        <v>0.53187035786630654</v>
      </c>
    </row>
    <row r="629" spans="1:33" x14ac:dyDescent="0.25">
      <c r="A629" t="s">
        <v>1880</v>
      </c>
      <c r="B629" t="s">
        <v>1881</v>
      </c>
      <c r="C629" s="1">
        <v>44890</v>
      </c>
      <c r="D629" s="1">
        <v>45538</v>
      </c>
      <c r="E629" t="s">
        <v>55</v>
      </c>
      <c r="F629" t="s">
        <v>31</v>
      </c>
      <c r="G629" t="s">
        <v>91</v>
      </c>
      <c r="H629" t="s">
        <v>46</v>
      </c>
      <c r="I629" s="3" t="s">
        <v>3257</v>
      </c>
      <c r="J629" s="3" t="s">
        <v>3518</v>
      </c>
      <c r="K629" s="3" t="s">
        <v>3521</v>
      </c>
      <c r="L629" s="3" t="s">
        <v>4046</v>
      </c>
      <c r="M629">
        <v>266.5</v>
      </c>
      <c r="N629">
        <v>89</v>
      </c>
      <c r="O629">
        <f>Supply_Chain[[#This Row],[Unit_Price]]*Supply_Chain[[#This Row],[Quantity]]</f>
        <v>23718.5</v>
      </c>
      <c r="P629" t="s">
        <v>1882</v>
      </c>
      <c r="Q629" t="s">
        <v>68</v>
      </c>
      <c r="R629" t="s">
        <v>36</v>
      </c>
      <c r="S629" t="s">
        <v>70</v>
      </c>
      <c r="T629" t="s">
        <v>60</v>
      </c>
      <c r="U629" t="s">
        <v>163</v>
      </c>
      <c r="V629">
        <v>4591</v>
      </c>
      <c r="W629">
        <v>221</v>
      </c>
      <c r="X629">
        <v>13</v>
      </c>
      <c r="Y629">
        <v>630.46</v>
      </c>
      <c r="Z629">
        <v>336</v>
      </c>
      <c r="AA629" s="9">
        <v>966.46</v>
      </c>
      <c r="AB629" t="s">
        <v>52</v>
      </c>
      <c r="AC629">
        <v>0</v>
      </c>
      <c r="AD629">
        <v>73.88</v>
      </c>
      <c r="AE629">
        <v>391</v>
      </c>
      <c r="AF629">
        <v>378</v>
      </c>
      <c r="AG629" s="11">
        <f>Supply_Chain[[#This Row],[Total_Cost]]/Supply_Chain[[#This Row],[Stock_On_Hand]]</f>
        <v>0.21051187105205837</v>
      </c>
    </row>
    <row r="630" spans="1:33" x14ac:dyDescent="0.25">
      <c r="A630" t="s">
        <v>1883</v>
      </c>
      <c r="B630" t="s">
        <v>1884</v>
      </c>
      <c r="C630" s="1">
        <v>45389</v>
      </c>
      <c r="D630" s="1">
        <v>44566</v>
      </c>
      <c r="E630" t="s">
        <v>55</v>
      </c>
      <c r="F630" t="s">
        <v>115</v>
      </c>
      <c r="G630" t="s">
        <v>247</v>
      </c>
      <c r="H630" t="s">
        <v>66</v>
      </c>
      <c r="I630" s="3" t="s">
        <v>3258</v>
      </c>
      <c r="J630" s="3" t="s">
        <v>3519</v>
      </c>
      <c r="K630" s="3" t="s">
        <v>3536</v>
      </c>
      <c r="L630" s="3" t="s">
        <v>4047</v>
      </c>
      <c r="M630">
        <v>430.34</v>
      </c>
      <c r="N630">
        <v>88</v>
      </c>
      <c r="O630">
        <f>Supply_Chain[[#This Row],[Unit_Price]]*Supply_Chain[[#This Row],[Quantity]]</f>
        <v>37869.919999999998</v>
      </c>
      <c r="P630" t="s">
        <v>153</v>
      </c>
      <c r="Q630" t="s">
        <v>110</v>
      </c>
      <c r="R630" t="s">
        <v>118</v>
      </c>
      <c r="S630" t="s">
        <v>50</v>
      </c>
      <c r="T630" t="s">
        <v>79</v>
      </c>
      <c r="U630" t="s">
        <v>227</v>
      </c>
      <c r="V630">
        <v>4201</v>
      </c>
      <c r="W630">
        <v>449</v>
      </c>
      <c r="X630">
        <v>28</v>
      </c>
      <c r="Y630">
        <v>1860.87</v>
      </c>
      <c r="Z630">
        <v>438.96</v>
      </c>
      <c r="AA630" s="9">
        <v>2299.83</v>
      </c>
      <c r="AB630" t="s">
        <v>52</v>
      </c>
      <c r="AC630">
        <v>0</v>
      </c>
      <c r="AD630">
        <v>97.06</v>
      </c>
      <c r="AE630">
        <v>242</v>
      </c>
      <c r="AF630">
        <v>216</v>
      </c>
      <c r="AG630" s="11">
        <f>Supply_Chain[[#This Row],[Total_Cost]]/Supply_Chain[[#This Row],[Stock_On_Hand]]</f>
        <v>0.5474482266127112</v>
      </c>
    </row>
    <row r="631" spans="1:33" x14ac:dyDescent="0.25">
      <c r="A631" t="s">
        <v>1885</v>
      </c>
      <c r="B631" t="s">
        <v>1886</v>
      </c>
      <c r="C631" s="1">
        <v>44914</v>
      </c>
      <c r="D631" s="1">
        <v>45304</v>
      </c>
      <c r="E631" t="s">
        <v>43</v>
      </c>
      <c r="F631" t="s">
        <v>75</v>
      </c>
      <c r="G631" t="s">
        <v>247</v>
      </c>
      <c r="H631" t="s">
        <v>128</v>
      </c>
      <c r="I631" s="3" t="s">
        <v>3259</v>
      </c>
      <c r="J631" s="3" t="s">
        <v>3519</v>
      </c>
      <c r="K631" s="3" t="s">
        <v>3528</v>
      </c>
      <c r="L631" s="3" t="s">
        <v>4048</v>
      </c>
      <c r="M631">
        <v>213.44</v>
      </c>
      <c r="N631">
        <v>6</v>
      </c>
      <c r="O631">
        <f>Supply_Chain[[#This Row],[Unit_Price]]*Supply_Chain[[#This Row],[Quantity]]</f>
        <v>1280.6399999999999</v>
      </c>
      <c r="P631" t="s">
        <v>1120</v>
      </c>
      <c r="Q631" t="s">
        <v>68</v>
      </c>
      <c r="R631" t="s">
        <v>186</v>
      </c>
      <c r="S631" t="s">
        <v>50</v>
      </c>
      <c r="T631" t="s">
        <v>71</v>
      </c>
      <c r="U631" t="s">
        <v>101</v>
      </c>
      <c r="V631">
        <v>3590</v>
      </c>
      <c r="W631">
        <v>216</v>
      </c>
      <c r="X631">
        <v>10</v>
      </c>
      <c r="Y631">
        <v>277.41000000000003</v>
      </c>
      <c r="Z631">
        <v>42.56</v>
      </c>
      <c r="AA631" s="9">
        <v>319.97000000000003</v>
      </c>
      <c r="AB631" t="s">
        <v>52</v>
      </c>
      <c r="AC631">
        <v>0</v>
      </c>
      <c r="AD631">
        <v>86.74</v>
      </c>
      <c r="AE631">
        <v>82</v>
      </c>
      <c r="AF631">
        <v>81</v>
      </c>
      <c r="AG631" s="11">
        <f>Supply_Chain[[#This Row],[Total_Cost]]/Supply_Chain[[#This Row],[Stock_On_Hand]]</f>
        <v>8.9128133704735379E-2</v>
      </c>
    </row>
    <row r="632" spans="1:33" x14ac:dyDescent="0.25">
      <c r="A632" t="s">
        <v>1887</v>
      </c>
      <c r="B632" t="s">
        <v>1888</v>
      </c>
      <c r="C632" s="1">
        <v>44549</v>
      </c>
      <c r="D632" s="1">
        <v>44419</v>
      </c>
      <c r="E632" t="s">
        <v>55</v>
      </c>
      <c r="F632" t="s">
        <v>75</v>
      </c>
      <c r="G632" t="s">
        <v>76</v>
      </c>
      <c r="H632" t="s">
        <v>46</v>
      </c>
      <c r="I632" s="5" t="s">
        <v>3260</v>
      </c>
      <c r="J632" s="5" t="s">
        <v>3518</v>
      </c>
      <c r="K632" s="5" t="s">
        <v>3521</v>
      </c>
      <c r="L632" s="5" t="s">
        <v>4049</v>
      </c>
      <c r="M632">
        <v>28.94</v>
      </c>
      <c r="N632">
        <v>68</v>
      </c>
      <c r="O632">
        <f>Supply_Chain[[#This Row],[Unit_Price]]*Supply_Chain[[#This Row],[Quantity]]</f>
        <v>1967.92</v>
      </c>
      <c r="P632" t="s">
        <v>222</v>
      </c>
      <c r="Q632" t="s">
        <v>35</v>
      </c>
      <c r="R632" t="s">
        <v>94</v>
      </c>
      <c r="S632" t="s">
        <v>70</v>
      </c>
      <c r="T632" t="s">
        <v>60</v>
      </c>
      <c r="U632" t="s">
        <v>855</v>
      </c>
      <c r="V632">
        <v>300</v>
      </c>
      <c r="W632">
        <v>369</v>
      </c>
      <c r="X632">
        <v>20</v>
      </c>
      <c r="Y632">
        <v>85.79</v>
      </c>
      <c r="Z632">
        <v>132.22999999999999</v>
      </c>
      <c r="AA632" s="9">
        <v>218.02</v>
      </c>
      <c r="AB632" t="s">
        <v>52</v>
      </c>
      <c r="AC632">
        <v>0</v>
      </c>
      <c r="AD632">
        <v>73.12</v>
      </c>
      <c r="AE632">
        <v>382</v>
      </c>
      <c r="AF632">
        <v>371</v>
      </c>
      <c r="AG632" s="11">
        <f>Supply_Chain[[#This Row],[Total_Cost]]/Supply_Chain[[#This Row],[Stock_On_Hand]]</f>
        <v>0.72673333333333334</v>
      </c>
    </row>
    <row r="633" spans="1:33" x14ac:dyDescent="0.25">
      <c r="A633" t="s">
        <v>1889</v>
      </c>
      <c r="B633" t="s">
        <v>1890</v>
      </c>
      <c r="C633" s="1">
        <v>44924</v>
      </c>
      <c r="D633" s="1">
        <v>44747</v>
      </c>
      <c r="E633" t="s">
        <v>55</v>
      </c>
      <c r="F633" t="s">
        <v>75</v>
      </c>
      <c r="G633" t="s">
        <v>45</v>
      </c>
      <c r="H633" t="s">
        <v>166</v>
      </c>
      <c r="I633" s="3" t="s">
        <v>3261</v>
      </c>
      <c r="J633" s="3" t="s">
        <v>84</v>
      </c>
      <c r="K633" s="3" t="s">
        <v>3531</v>
      </c>
      <c r="L633" s="3" t="s">
        <v>4050</v>
      </c>
      <c r="M633">
        <v>33.56</v>
      </c>
      <c r="N633">
        <v>6</v>
      </c>
      <c r="O633">
        <f>Supply_Chain[[#This Row],[Unit_Price]]*Supply_Chain[[#This Row],[Quantity]]</f>
        <v>201.36</v>
      </c>
      <c r="P633" t="s">
        <v>226</v>
      </c>
      <c r="Q633" t="s">
        <v>86</v>
      </c>
      <c r="R633" t="s">
        <v>344</v>
      </c>
      <c r="S633" t="s">
        <v>37</v>
      </c>
      <c r="T633" t="s">
        <v>79</v>
      </c>
      <c r="U633" t="s">
        <v>88</v>
      </c>
      <c r="V633">
        <v>1726</v>
      </c>
      <c r="W633">
        <v>410</v>
      </c>
      <c r="X633">
        <v>17</v>
      </c>
      <c r="Y633">
        <v>1830.13</v>
      </c>
      <c r="Z633">
        <v>419.98</v>
      </c>
      <c r="AA633" s="9">
        <v>2250.11</v>
      </c>
      <c r="AB633" t="s">
        <v>52</v>
      </c>
      <c r="AC633">
        <v>0</v>
      </c>
      <c r="AD633">
        <v>76.489999999999995</v>
      </c>
      <c r="AE633">
        <v>168</v>
      </c>
      <c r="AF633">
        <v>136</v>
      </c>
      <c r="AG633" s="11">
        <f>Supply_Chain[[#This Row],[Total_Cost]]/Supply_Chain[[#This Row],[Stock_On_Hand]]</f>
        <v>1.3036558516801855</v>
      </c>
    </row>
    <row r="634" spans="1:33" x14ac:dyDescent="0.25">
      <c r="A634" t="s">
        <v>1891</v>
      </c>
      <c r="B634" t="s">
        <v>1134</v>
      </c>
      <c r="C634" s="1">
        <v>44748</v>
      </c>
      <c r="D634" s="1">
        <v>45195</v>
      </c>
      <c r="E634" t="s">
        <v>55</v>
      </c>
      <c r="F634" t="s">
        <v>31</v>
      </c>
      <c r="G634" t="s">
        <v>247</v>
      </c>
      <c r="H634" t="s">
        <v>46</v>
      </c>
      <c r="I634" s="3" t="s">
        <v>3197</v>
      </c>
      <c r="J634" s="3" t="s">
        <v>3518</v>
      </c>
      <c r="K634" s="3" t="s">
        <v>3533</v>
      </c>
      <c r="L634" s="3" t="s">
        <v>3989</v>
      </c>
      <c r="M634">
        <v>37.409999999999997</v>
      </c>
      <c r="N634">
        <v>77</v>
      </c>
      <c r="O634">
        <f>Supply_Chain[[#This Row],[Unit_Price]]*Supply_Chain[[#This Row],[Quantity]]</f>
        <v>2880.5699999999997</v>
      </c>
      <c r="P634" t="s">
        <v>218</v>
      </c>
      <c r="Q634" t="s">
        <v>110</v>
      </c>
      <c r="R634" t="s">
        <v>306</v>
      </c>
      <c r="S634" t="s">
        <v>119</v>
      </c>
      <c r="T634" t="s">
        <v>38</v>
      </c>
      <c r="U634" t="s">
        <v>855</v>
      </c>
      <c r="V634">
        <v>1717</v>
      </c>
      <c r="W634">
        <v>80</v>
      </c>
      <c r="X634">
        <v>2</v>
      </c>
      <c r="Y634">
        <v>628.51</v>
      </c>
      <c r="Z634">
        <v>100.25</v>
      </c>
      <c r="AA634" s="9">
        <v>728.76</v>
      </c>
      <c r="AB634" t="s">
        <v>52</v>
      </c>
      <c r="AC634">
        <v>0</v>
      </c>
      <c r="AD634">
        <v>91.99</v>
      </c>
      <c r="AE634">
        <v>225</v>
      </c>
      <c r="AF634">
        <v>197</v>
      </c>
      <c r="AG634" s="11">
        <f>Supply_Chain[[#This Row],[Total_Cost]]/Supply_Chain[[#This Row],[Stock_On_Hand]]</f>
        <v>0.42443797320908561</v>
      </c>
    </row>
    <row r="635" spans="1:33" x14ac:dyDescent="0.25">
      <c r="A635" t="s">
        <v>1892</v>
      </c>
      <c r="B635" t="s">
        <v>1893</v>
      </c>
      <c r="C635" s="1">
        <v>45411</v>
      </c>
      <c r="D635" s="1">
        <v>45399</v>
      </c>
      <c r="E635" t="s">
        <v>30</v>
      </c>
      <c r="F635" t="s">
        <v>115</v>
      </c>
      <c r="G635" t="s">
        <v>32</v>
      </c>
      <c r="H635" t="s">
        <v>46</v>
      </c>
      <c r="I635" s="3" t="s">
        <v>3262</v>
      </c>
      <c r="J635" s="3" t="s">
        <v>3518</v>
      </c>
      <c r="K635" s="3" t="s">
        <v>3525</v>
      </c>
      <c r="L635" s="3" t="s">
        <v>4051</v>
      </c>
      <c r="M635">
        <v>321.05</v>
      </c>
      <c r="N635">
        <v>80</v>
      </c>
      <c r="O635">
        <f>Supply_Chain[[#This Row],[Unit_Price]]*Supply_Chain[[#This Row],[Quantity]]</f>
        <v>25684</v>
      </c>
      <c r="P635" t="s">
        <v>1595</v>
      </c>
      <c r="Q635" t="s">
        <v>68</v>
      </c>
      <c r="R635" t="s">
        <v>231</v>
      </c>
      <c r="S635" t="s">
        <v>37</v>
      </c>
      <c r="T635" t="s">
        <v>79</v>
      </c>
      <c r="U635" t="s">
        <v>436</v>
      </c>
      <c r="V635">
        <v>1568</v>
      </c>
      <c r="W635">
        <v>447</v>
      </c>
      <c r="X635">
        <v>3</v>
      </c>
      <c r="Y635">
        <v>509.65</v>
      </c>
      <c r="Z635">
        <v>218.12</v>
      </c>
      <c r="AA635" s="9">
        <v>727.77</v>
      </c>
      <c r="AB635" t="s">
        <v>52</v>
      </c>
      <c r="AC635">
        <v>0</v>
      </c>
      <c r="AD635">
        <v>90.88</v>
      </c>
      <c r="AE635">
        <v>485</v>
      </c>
      <c r="AF635">
        <v>512</v>
      </c>
      <c r="AG635" s="11">
        <f>Supply_Chain[[#This Row],[Total_Cost]]/Supply_Chain[[#This Row],[Stock_On_Hand]]</f>
        <v>0.46413903061224487</v>
      </c>
    </row>
    <row r="636" spans="1:33" x14ac:dyDescent="0.25">
      <c r="A636" t="s">
        <v>1894</v>
      </c>
      <c r="B636" t="s">
        <v>1895</v>
      </c>
      <c r="C636" s="1">
        <v>43848</v>
      </c>
      <c r="D636" s="1">
        <v>44158</v>
      </c>
      <c r="E636" t="s">
        <v>55</v>
      </c>
      <c r="F636" t="s">
        <v>75</v>
      </c>
      <c r="G636" t="s">
        <v>32</v>
      </c>
      <c r="H636" t="s">
        <v>46</v>
      </c>
      <c r="I636" s="3" t="s">
        <v>3263</v>
      </c>
      <c r="J636" s="3" t="s">
        <v>3518</v>
      </c>
      <c r="K636" s="3" t="s">
        <v>3522</v>
      </c>
      <c r="L636" s="3" t="s">
        <v>4052</v>
      </c>
      <c r="M636">
        <v>396.34</v>
      </c>
      <c r="N636">
        <v>31</v>
      </c>
      <c r="O636">
        <f>Supply_Chain[[#This Row],[Unit_Price]]*Supply_Chain[[#This Row],[Quantity]]</f>
        <v>12286.539999999999</v>
      </c>
      <c r="P636" t="s">
        <v>588</v>
      </c>
      <c r="Q636" t="s">
        <v>68</v>
      </c>
      <c r="R636" t="s">
        <v>301</v>
      </c>
      <c r="S636" t="s">
        <v>119</v>
      </c>
      <c r="T636" t="s">
        <v>100</v>
      </c>
      <c r="U636" t="s">
        <v>191</v>
      </c>
      <c r="V636">
        <v>4475</v>
      </c>
      <c r="W636">
        <v>303</v>
      </c>
      <c r="X636">
        <v>18</v>
      </c>
      <c r="Y636">
        <v>619.54999999999995</v>
      </c>
      <c r="Z636">
        <v>403.03</v>
      </c>
      <c r="AA636" s="9">
        <v>1022.58</v>
      </c>
      <c r="AB636" t="s">
        <v>52</v>
      </c>
      <c r="AC636">
        <v>0</v>
      </c>
      <c r="AD636">
        <v>92.62</v>
      </c>
      <c r="AE636">
        <v>416</v>
      </c>
      <c r="AF636">
        <v>445</v>
      </c>
      <c r="AG636" s="11">
        <f>Supply_Chain[[#This Row],[Total_Cost]]/Supply_Chain[[#This Row],[Stock_On_Hand]]</f>
        <v>0.22850949720670391</v>
      </c>
    </row>
    <row r="637" spans="1:33" x14ac:dyDescent="0.25">
      <c r="A637" t="s">
        <v>1896</v>
      </c>
      <c r="B637" t="s">
        <v>1897</v>
      </c>
      <c r="C637" s="1">
        <v>44903</v>
      </c>
      <c r="D637" s="1">
        <v>44050</v>
      </c>
      <c r="E637" t="s">
        <v>55</v>
      </c>
      <c r="F637" t="s">
        <v>44</v>
      </c>
      <c r="G637" t="s">
        <v>32</v>
      </c>
      <c r="H637" t="s">
        <v>57</v>
      </c>
      <c r="I637" s="3" t="s">
        <v>2872</v>
      </c>
      <c r="J637" s="3" t="s">
        <v>3518</v>
      </c>
      <c r="K637" s="3" t="s">
        <v>3521</v>
      </c>
      <c r="L637" s="3" t="s">
        <v>3671</v>
      </c>
      <c r="M637">
        <v>378.94</v>
      </c>
      <c r="N637">
        <v>82</v>
      </c>
      <c r="O637">
        <f>Supply_Chain[[#This Row],[Unit_Price]]*Supply_Chain[[#This Row],[Quantity]]</f>
        <v>31073.079999999998</v>
      </c>
      <c r="P637" t="s">
        <v>1898</v>
      </c>
      <c r="Q637" t="s">
        <v>68</v>
      </c>
      <c r="R637" t="s">
        <v>214</v>
      </c>
      <c r="S637" t="s">
        <v>37</v>
      </c>
      <c r="T637" t="s">
        <v>60</v>
      </c>
      <c r="U637" t="s">
        <v>356</v>
      </c>
      <c r="V637">
        <v>2027</v>
      </c>
      <c r="W637">
        <v>376</v>
      </c>
      <c r="X637">
        <v>25</v>
      </c>
      <c r="Y637">
        <v>713.29</v>
      </c>
      <c r="Z637">
        <v>119.9</v>
      </c>
      <c r="AA637" s="9">
        <v>833.18999999999994</v>
      </c>
      <c r="AB637" t="s">
        <v>52</v>
      </c>
      <c r="AC637">
        <v>0</v>
      </c>
      <c r="AD637">
        <v>95.91</v>
      </c>
      <c r="AE637">
        <v>356</v>
      </c>
      <c r="AF637">
        <v>330</v>
      </c>
      <c r="AG637" s="11">
        <f>Supply_Chain[[#This Row],[Total_Cost]]/Supply_Chain[[#This Row],[Stock_On_Hand]]</f>
        <v>0.41104588061174147</v>
      </c>
    </row>
    <row r="638" spans="1:33" x14ac:dyDescent="0.25">
      <c r="A638" t="s">
        <v>1899</v>
      </c>
      <c r="B638" t="s">
        <v>1572</v>
      </c>
      <c r="C638" s="1">
        <v>44927</v>
      </c>
      <c r="D638" s="1">
        <v>44304</v>
      </c>
      <c r="E638" t="s">
        <v>43</v>
      </c>
      <c r="F638" t="s">
        <v>75</v>
      </c>
      <c r="G638" t="s">
        <v>56</v>
      </c>
      <c r="H638" t="s">
        <v>166</v>
      </c>
      <c r="I638" s="3" t="s">
        <v>3264</v>
      </c>
      <c r="J638" s="3" t="s">
        <v>3518</v>
      </c>
      <c r="K638" s="3" t="s">
        <v>3521</v>
      </c>
      <c r="L638" s="3" t="s">
        <v>4053</v>
      </c>
      <c r="M638">
        <v>119.51</v>
      </c>
      <c r="N638">
        <v>11</v>
      </c>
      <c r="O638">
        <f>Supply_Chain[[#This Row],[Unit_Price]]*Supply_Chain[[#This Row],[Quantity]]</f>
        <v>1314.6100000000001</v>
      </c>
      <c r="P638" t="s">
        <v>1900</v>
      </c>
      <c r="Q638" t="s">
        <v>48</v>
      </c>
      <c r="R638" t="s">
        <v>306</v>
      </c>
      <c r="S638" t="s">
        <v>50</v>
      </c>
      <c r="T638" t="s">
        <v>38</v>
      </c>
      <c r="U638" t="s">
        <v>95</v>
      </c>
      <c r="V638">
        <v>3425</v>
      </c>
      <c r="W638">
        <v>340</v>
      </c>
      <c r="X638">
        <v>19</v>
      </c>
      <c r="Y638">
        <v>1008.06</v>
      </c>
      <c r="Z638">
        <v>152.47</v>
      </c>
      <c r="AA638" s="9">
        <v>1160.53</v>
      </c>
      <c r="AB638" t="s">
        <v>52</v>
      </c>
      <c r="AC638">
        <v>0</v>
      </c>
      <c r="AD638">
        <v>84.44</v>
      </c>
      <c r="AE638">
        <v>176</v>
      </c>
      <c r="AF638">
        <v>172</v>
      </c>
      <c r="AG638" s="11">
        <f>Supply_Chain[[#This Row],[Total_Cost]]/Supply_Chain[[#This Row],[Stock_On_Hand]]</f>
        <v>0.33884087591240875</v>
      </c>
    </row>
    <row r="639" spans="1:33" x14ac:dyDescent="0.25">
      <c r="A639" t="s">
        <v>1901</v>
      </c>
      <c r="B639" t="s">
        <v>1902</v>
      </c>
      <c r="C639" s="1">
        <v>45656</v>
      </c>
      <c r="D639" s="1">
        <v>44867</v>
      </c>
      <c r="E639" t="s">
        <v>43</v>
      </c>
      <c r="F639" t="s">
        <v>64</v>
      </c>
      <c r="G639" t="s">
        <v>65</v>
      </c>
      <c r="H639" t="s">
        <v>57</v>
      </c>
      <c r="I639" s="3" t="s">
        <v>3265</v>
      </c>
      <c r="J639" s="3" t="s">
        <v>3518</v>
      </c>
      <c r="K639" s="3" t="s">
        <v>3524</v>
      </c>
      <c r="L639" s="3" t="s">
        <v>4054</v>
      </c>
      <c r="M639">
        <v>405.96</v>
      </c>
      <c r="N639">
        <v>56</v>
      </c>
      <c r="O639">
        <f>Supply_Chain[[#This Row],[Unit_Price]]*Supply_Chain[[#This Row],[Quantity]]</f>
        <v>22733.759999999998</v>
      </c>
      <c r="P639" t="s">
        <v>244</v>
      </c>
      <c r="Q639" t="s">
        <v>110</v>
      </c>
      <c r="R639" t="s">
        <v>360</v>
      </c>
      <c r="S639" t="s">
        <v>119</v>
      </c>
      <c r="T639" t="s">
        <v>100</v>
      </c>
      <c r="U639" t="s">
        <v>141</v>
      </c>
      <c r="V639">
        <v>2396</v>
      </c>
      <c r="W639">
        <v>375</v>
      </c>
      <c r="X639">
        <v>19</v>
      </c>
      <c r="Y639">
        <v>1966.33</v>
      </c>
      <c r="Z639">
        <v>125.53</v>
      </c>
      <c r="AA639" s="9">
        <v>2091.86</v>
      </c>
      <c r="AB639" t="s">
        <v>52</v>
      </c>
      <c r="AC639">
        <v>0</v>
      </c>
      <c r="AD639">
        <v>90.54</v>
      </c>
      <c r="AE639">
        <v>358</v>
      </c>
      <c r="AF639">
        <v>356</v>
      </c>
      <c r="AG639" s="11">
        <f>Supply_Chain[[#This Row],[Total_Cost]]/Supply_Chain[[#This Row],[Stock_On_Hand]]</f>
        <v>0.87306343906510853</v>
      </c>
    </row>
    <row r="640" spans="1:33" x14ac:dyDescent="0.25">
      <c r="A640" t="s">
        <v>1903</v>
      </c>
      <c r="B640" t="s">
        <v>1904</v>
      </c>
      <c r="C640" s="1">
        <v>45421</v>
      </c>
      <c r="D640" s="1">
        <v>45562</v>
      </c>
      <c r="E640" t="s">
        <v>43</v>
      </c>
      <c r="F640" t="s">
        <v>31</v>
      </c>
      <c r="G640" t="s">
        <v>56</v>
      </c>
      <c r="H640" t="s">
        <v>46</v>
      </c>
      <c r="I640" s="3" t="s">
        <v>3266</v>
      </c>
      <c r="J640" s="3" t="s">
        <v>3519</v>
      </c>
      <c r="K640" s="3" t="s">
        <v>3536</v>
      </c>
      <c r="L640" s="3" t="s">
        <v>4055</v>
      </c>
      <c r="M640">
        <v>29.84</v>
      </c>
      <c r="N640">
        <v>49</v>
      </c>
      <c r="O640">
        <f>Supply_Chain[[#This Row],[Unit_Price]]*Supply_Chain[[#This Row],[Quantity]]</f>
        <v>1462.16</v>
      </c>
      <c r="P640" t="s">
        <v>629</v>
      </c>
      <c r="Q640" t="s">
        <v>68</v>
      </c>
      <c r="R640" t="s">
        <v>130</v>
      </c>
      <c r="S640" t="s">
        <v>50</v>
      </c>
      <c r="T640" t="s">
        <v>38</v>
      </c>
      <c r="U640" t="s">
        <v>155</v>
      </c>
      <c r="V640">
        <v>1520</v>
      </c>
      <c r="W640">
        <v>246</v>
      </c>
      <c r="X640">
        <v>17</v>
      </c>
      <c r="Y640">
        <v>1910.21</v>
      </c>
      <c r="Z640">
        <v>136.76</v>
      </c>
      <c r="AA640" s="9">
        <v>2046.97</v>
      </c>
      <c r="AB640" t="s">
        <v>40</v>
      </c>
      <c r="AC640">
        <v>11</v>
      </c>
      <c r="AD640">
        <v>89.92</v>
      </c>
      <c r="AE640">
        <v>171</v>
      </c>
      <c r="AF640">
        <v>204</v>
      </c>
      <c r="AG640" s="11">
        <f>Supply_Chain[[#This Row],[Total_Cost]]/Supply_Chain[[#This Row],[Stock_On_Hand]]</f>
        <v>1.3466907894736841</v>
      </c>
    </row>
    <row r="641" spans="1:33" x14ac:dyDescent="0.25">
      <c r="A641" t="s">
        <v>1905</v>
      </c>
      <c r="B641" t="s">
        <v>1906</v>
      </c>
      <c r="C641" s="1">
        <v>43916</v>
      </c>
      <c r="D641" s="1">
        <v>45365</v>
      </c>
      <c r="E641" t="s">
        <v>55</v>
      </c>
      <c r="F641" t="s">
        <v>115</v>
      </c>
      <c r="G641" t="s">
        <v>32</v>
      </c>
      <c r="H641" t="s">
        <v>92</v>
      </c>
      <c r="I641" s="3" t="s">
        <v>3267</v>
      </c>
      <c r="J641" s="3" t="s">
        <v>3519</v>
      </c>
      <c r="K641" s="3" t="s">
        <v>3528</v>
      </c>
      <c r="L641" s="3" t="s">
        <v>4056</v>
      </c>
      <c r="M641">
        <v>75.489999999999995</v>
      </c>
      <c r="N641">
        <v>43</v>
      </c>
      <c r="O641">
        <f>Supply_Chain[[#This Row],[Unit_Price]]*Supply_Chain[[#This Row],[Quantity]]</f>
        <v>3246.0699999999997</v>
      </c>
      <c r="P641" t="s">
        <v>1907</v>
      </c>
      <c r="Q641" t="s">
        <v>110</v>
      </c>
      <c r="R641" t="s">
        <v>327</v>
      </c>
      <c r="S641" t="s">
        <v>70</v>
      </c>
      <c r="T641" t="s">
        <v>60</v>
      </c>
      <c r="U641" t="s">
        <v>389</v>
      </c>
      <c r="V641">
        <v>1155</v>
      </c>
      <c r="W641">
        <v>360</v>
      </c>
      <c r="X641">
        <v>15</v>
      </c>
      <c r="Y641">
        <v>1953.5</v>
      </c>
      <c r="Z641">
        <v>337.27</v>
      </c>
      <c r="AA641" s="9">
        <v>2290.77</v>
      </c>
      <c r="AB641" t="s">
        <v>52</v>
      </c>
      <c r="AC641">
        <v>0</v>
      </c>
      <c r="AD641">
        <v>88.37</v>
      </c>
      <c r="AE641">
        <v>151</v>
      </c>
      <c r="AF641">
        <v>129</v>
      </c>
      <c r="AG641" s="11">
        <f>Supply_Chain[[#This Row],[Total_Cost]]/Supply_Chain[[#This Row],[Stock_On_Hand]]</f>
        <v>1.9833506493506494</v>
      </c>
    </row>
    <row r="642" spans="1:33" x14ac:dyDescent="0.25">
      <c r="A642" t="s">
        <v>1908</v>
      </c>
      <c r="B642" t="s">
        <v>1909</v>
      </c>
      <c r="C642" s="1">
        <v>44133</v>
      </c>
      <c r="D642" s="1">
        <v>44235</v>
      </c>
      <c r="E642" t="s">
        <v>55</v>
      </c>
      <c r="F642" t="s">
        <v>115</v>
      </c>
      <c r="G642" t="s">
        <v>91</v>
      </c>
      <c r="H642" t="s">
        <v>128</v>
      </c>
      <c r="I642" s="3" t="s">
        <v>3268</v>
      </c>
      <c r="J642" s="3" t="s">
        <v>84</v>
      </c>
      <c r="K642" s="3" t="s">
        <v>3529</v>
      </c>
      <c r="L642" s="3" t="s">
        <v>4057</v>
      </c>
      <c r="M642">
        <v>275.60000000000002</v>
      </c>
      <c r="N642">
        <v>67</v>
      </c>
      <c r="O642">
        <f>Supply_Chain[[#This Row],[Unit_Price]]*Supply_Chain[[#This Row],[Quantity]]</f>
        <v>18465.2</v>
      </c>
      <c r="P642" t="s">
        <v>1910</v>
      </c>
      <c r="Q642" t="s">
        <v>86</v>
      </c>
      <c r="R642" t="s">
        <v>99</v>
      </c>
      <c r="S642" t="s">
        <v>37</v>
      </c>
      <c r="T642" t="s">
        <v>100</v>
      </c>
      <c r="U642" t="s">
        <v>446</v>
      </c>
      <c r="V642">
        <v>811</v>
      </c>
      <c r="W642">
        <v>319</v>
      </c>
      <c r="X642">
        <v>29</v>
      </c>
      <c r="Y642">
        <v>1751.11</v>
      </c>
      <c r="Z642">
        <v>301.08</v>
      </c>
      <c r="AA642" s="9">
        <v>2052.19</v>
      </c>
      <c r="AB642" t="s">
        <v>52</v>
      </c>
      <c r="AC642">
        <v>0</v>
      </c>
      <c r="AD642">
        <v>81.77</v>
      </c>
      <c r="AE642">
        <v>129</v>
      </c>
      <c r="AF642">
        <v>93</v>
      </c>
      <c r="AG642" s="11">
        <f>Supply_Chain[[#This Row],[Total_Cost]]/Supply_Chain[[#This Row],[Stock_On_Hand]]</f>
        <v>2.5304438964241678</v>
      </c>
    </row>
    <row r="643" spans="1:33" x14ac:dyDescent="0.25">
      <c r="A643" t="s">
        <v>1911</v>
      </c>
      <c r="B643" t="s">
        <v>1912</v>
      </c>
      <c r="C643" s="1">
        <v>44986</v>
      </c>
      <c r="D643" s="1">
        <v>44869</v>
      </c>
      <c r="E643" t="s">
        <v>55</v>
      </c>
      <c r="F643" t="s">
        <v>115</v>
      </c>
      <c r="G643" t="s">
        <v>56</v>
      </c>
      <c r="H643" t="s">
        <v>57</v>
      </c>
      <c r="I643" s="3" t="s">
        <v>3269</v>
      </c>
      <c r="J643" s="3" t="s">
        <v>84</v>
      </c>
      <c r="K643" s="3" t="s">
        <v>3529</v>
      </c>
      <c r="L643" s="3" t="s">
        <v>4058</v>
      </c>
      <c r="M643">
        <v>203.98</v>
      </c>
      <c r="N643">
        <v>71</v>
      </c>
      <c r="O643">
        <f>Supply_Chain[[#This Row],[Unit_Price]]*Supply_Chain[[#This Row],[Quantity]]</f>
        <v>14482.58</v>
      </c>
      <c r="P643" t="s">
        <v>710</v>
      </c>
      <c r="Q643" t="s">
        <v>110</v>
      </c>
      <c r="R643" t="s">
        <v>480</v>
      </c>
      <c r="S643" t="s">
        <v>119</v>
      </c>
      <c r="T643" t="s">
        <v>38</v>
      </c>
      <c r="U643" t="s">
        <v>150</v>
      </c>
      <c r="V643">
        <v>742</v>
      </c>
      <c r="W643">
        <v>416</v>
      </c>
      <c r="X643">
        <v>21</v>
      </c>
      <c r="Y643">
        <v>1950.98</v>
      </c>
      <c r="Z643">
        <v>187.82</v>
      </c>
      <c r="AA643" s="9">
        <v>2138.8000000000002</v>
      </c>
      <c r="AB643" t="s">
        <v>52</v>
      </c>
      <c r="AC643">
        <v>0</v>
      </c>
      <c r="AD643">
        <v>98.06</v>
      </c>
      <c r="AE643">
        <v>458</v>
      </c>
      <c r="AF643">
        <v>453</v>
      </c>
      <c r="AG643" s="11">
        <f>Supply_Chain[[#This Row],[Total_Cost]]/Supply_Chain[[#This Row],[Stock_On_Hand]]</f>
        <v>2.882479784366577</v>
      </c>
    </row>
    <row r="644" spans="1:33" x14ac:dyDescent="0.25">
      <c r="A644" t="s">
        <v>1913</v>
      </c>
      <c r="B644" t="s">
        <v>1914</v>
      </c>
      <c r="C644" s="1">
        <v>45314</v>
      </c>
      <c r="D644" s="1">
        <v>45171</v>
      </c>
      <c r="E644" t="s">
        <v>55</v>
      </c>
      <c r="F644" t="s">
        <v>64</v>
      </c>
      <c r="G644" t="s">
        <v>32</v>
      </c>
      <c r="H644" t="s">
        <v>66</v>
      </c>
      <c r="I644" s="3" t="s">
        <v>2851</v>
      </c>
      <c r="J644" s="3" t="s">
        <v>3518</v>
      </c>
      <c r="K644" s="3" t="s">
        <v>3533</v>
      </c>
      <c r="L644" s="3" t="s">
        <v>3650</v>
      </c>
      <c r="M644">
        <v>45.22</v>
      </c>
      <c r="N644">
        <v>27</v>
      </c>
      <c r="O644">
        <f>Supply_Chain[[#This Row],[Unit_Price]]*Supply_Chain[[#This Row],[Quantity]]</f>
        <v>1220.94</v>
      </c>
      <c r="P644" t="s">
        <v>1536</v>
      </c>
      <c r="Q644" t="s">
        <v>110</v>
      </c>
      <c r="R644" t="s">
        <v>124</v>
      </c>
      <c r="S644" t="s">
        <v>37</v>
      </c>
      <c r="T644" t="s">
        <v>60</v>
      </c>
      <c r="U644" t="s">
        <v>141</v>
      </c>
      <c r="V644">
        <v>2622</v>
      </c>
      <c r="W644">
        <v>224</v>
      </c>
      <c r="X644">
        <v>19</v>
      </c>
      <c r="Y644">
        <v>1078.24</v>
      </c>
      <c r="Z644">
        <v>70.180000000000007</v>
      </c>
      <c r="AA644" s="9">
        <v>1148.42</v>
      </c>
      <c r="AB644" t="s">
        <v>52</v>
      </c>
      <c r="AC644">
        <v>0</v>
      </c>
      <c r="AD644">
        <v>78.150000000000006</v>
      </c>
      <c r="AE644">
        <v>171</v>
      </c>
      <c r="AF644">
        <v>164</v>
      </c>
      <c r="AG644" s="11">
        <f>Supply_Chain[[#This Row],[Total_Cost]]/Supply_Chain[[#This Row],[Stock_On_Hand]]</f>
        <v>0.43799389778794817</v>
      </c>
    </row>
    <row r="645" spans="1:33" x14ac:dyDescent="0.25">
      <c r="A645" t="s">
        <v>1915</v>
      </c>
      <c r="B645" t="s">
        <v>1916</v>
      </c>
      <c r="C645" s="1">
        <v>44858</v>
      </c>
      <c r="D645" s="1">
        <v>45326</v>
      </c>
      <c r="E645" t="s">
        <v>30</v>
      </c>
      <c r="F645" t="s">
        <v>44</v>
      </c>
      <c r="G645" t="s">
        <v>45</v>
      </c>
      <c r="H645" t="s">
        <v>116</v>
      </c>
      <c r="I645" s="3" t="s">
        <v>3270</v>
      </c>
      <c r="J645" s="3" t="s">
        <v>3518</v>
      </c>
      <c r="K645" s="3" t="s">
        <v>3533</v>
      </c>
      <c r="L645" s="3" t="s">
        <v>4059</v>
      </c>
      <c r="M645">
        <v>57.33</v>
      </c>
      <c r="N645">
        <v>54</v>
      </c>
      <c r="O645">
        <f>Supply_Chain[[#This Row],[Unit_Price]]*Supply_Chain[[#This Row],[Quantity]]</f>
        <v>3095.8199999999997</v>
      </c>
      <c r="P645" t="s">
        <v>1917</v>
      </c>
      <c r="Q645" t="s">
        <v>68</v>
      </c>
      <c r="R645" t="s">
        <v>236</v>
      </c>
      <c r="S645" t="s">
        <v>70</v>
      </c>
      <c r="T645" t="s">
        <v>38</v>
      </c>
      <c r="U645" t="s">
        <v>196</v>
      </c>
      <c r="V645">
        <v>2261</v>
      </c>
      <c r="W645">
        <v>262</v>
      </c>
      <c r="X645">
        <v>1</v>
      </c>
      <c r="Y645">
        <v>628.4</v>
      </c>
      <c r="Z645">
        <v>26.92</v>
      </c>
      <c r="AA645" s="9">
        <v>655.31999999999994</v>
      </c>
      <c r="AB645" t="s">
        <v>52</v>
      </c>
      <c r="AC645">
        <v>0</v>
      </c>
      <c r="AD645">
        <v>84.54</v>
      </c>
      <c r="AE645">
        <v>307</v>
      </c>
      <c r="AF645">
        <v>269</v>
      </c>
      <c r="AG645" s="11">
        <f>Supply_Chain[[#This Row],[Total_Cost]]/Supply_Chain[[#This Row],[Stock_On_Hand]]</f>
        <v>0.28983635559486948</v>
      </c>
    </row>
    <row r="646" spans="1:33" x14ac:dyDescent="0.25">
      <c r="A646" t="s">
        <v>1918</v>
      </c>
      <c r="B646" t="s">
        <v>1919</v>
      </c>
      <c r="C646" s="1">
        <v>44110</v>
      </c>
      <c r="D646" s="1">
        <v>44366</v>
      </c>
      <c r="E646" t="s">
        <v>55</v>
      </c>
      <c r="F646" t="s">
        <v>75</v>
      </c>
      <c r="G646" t="s">
        <v>83</v>
      </c>
      <c r="H646" t="s">
        <v>92</v>
      </c>
      <c r="I646" s="3" t="s">
        <v>3271</v>
      </c>
      <c r="J646" s="3" t="s">
        <v>3518</v>
      </c>
      <c r="K646" s="3" t="s">
        <v>3525</v>
      </c>
      <c r="L646" s="3" t="s">
        <v>4060</v>
      </c>
      <c r="M646">
        <v>64.17</v>
      </c>
      <c r="N646">
        <v>35</v>
      </c>
      <c r="O646">
        <f>Supply_Chain[[#This Row],[Unit_Price]]*Supply_Chain[[#This Row],[Quantity]]</f>
        <v>2245.9500000000003</v>
      </c>
      <c r="P646" t="s">
        <v>1920</v>
      </c>
      <c r="Q646" t="s">
        <v>35</v>
      </c>
      <c r="R646" t="s">
        <v>111</v>
      </c>
      <c r="S646" t="s">
        <v>37</v>
      </c>
      <c r="T646" t="s">
        <v>79</v>
      </c>
      <c r="U646" t="s">
        <v>291</v>
      </c>
      <c r="V646">
        <v>4749</v>
      </c>
      <c r="W646">
        <v>62</v>
      </c>
      <c r="X646">
        <v>21</v>
      </c>
      <c r="Y646">
        <v>852.42</v>
      </c>
      <c r="Z646">
        <v>38.75</v>
      </c>
      <c r="AA646" s="9">
        <v>891.17</v>
      </c>
      <c r="AB646" t="s">
        <v>52</v>
      </c>
      <c r="AC646">
        <v>0</v>
      </c>
      <c r="AD646">
        <v>80.47</v>
      </c>
      <c r="AE646">
        <v>356</v>
      </c>
      <c r="AF646">
        <v>337</v>
      </c>
      <c r="AG646" s="11">
        <f>Supply_Chain[[#This Row],[Total_Cost]]/Supply_Chain[[#This Row],[Stock_On_Hand]]</f>
        <v>0.18765424299852598</v>
      </c>
    </row>
    <row r="647" spans="1:33" x14ac:dyDescent="0.25">
      <c r="A647" t="s">
        <v>1921</v>
      </c>
      <c r="B647" t="s">
        <v>1922</v>
      </c>
      <c r="C647" s="1">
        <v>44887</v>
      </c>
      <c r="D647" s="1">
        <v>44527</v>
      </c>
      <c r="E647" t="s">
        <v>55</v>
      </c>
      <c r="F647" t="s">
        <v>44</v>
      </c>
      <c r="G647" t="s">
        <v>56</v>
      </c>
      <c r="H647" t="s">
        <v>57</v>
      </c>
      <c r="I647" s="3" t="s">
        <v>3272</v>
      </c>
      <c r="J647" s="3" t="s">
        <v>3518</v>
      </c>
      <c r="K647" s="3" t="s">
        <v>3525</v>
      </c>
      <c r="L647" s="3" t="s">
        <v>4061</v>
      </c>
      <c r="M647">
        <v>269.12</v>
      </c>
      <c r="N647">
        <v>28</v>
      </c>
      <c r="O647">
        <f>Supply_Chain[[#This Row],[Unit_Price]]*Supply_Chain[[#This Row],[Quantity]]</f>
        <v>7535.3600000000006</v>
      </c>
      <c r="P647" t="s">
        <v>1923</v>
      </c>
      <c r="Q647" t="s">
        <v>35</v>
      </c>
      <c r="R647" t="s">
        <v>162</v>
      </c>
      <c r="S647" t="s">
        <v>50</v>
      </c>
      <c r="T647" t="s">
        <v>79</v>
      </c>
      <c r="U647" t="s">
        <v>125</v>
      </c>
      <c r="V647">
        <v>4118</v>
      </c>
      <c r="W647">
        <v>192</v>
      </c>
      <c r="X647">
        <v>21</v>
      </c>
      <c r="Y647">
        <v>1128.6099999999999</v>
      </c>
      <c r="Z647">
        <v>30.65</v>
      </c>
      <c r="AA647" s="9">
        <v>1159.26</v>
      </c>
      <c r="AB647" t="s">
        <v>52</v>
      </c>
      <c r="AC647">
        <v>0</v>
      </c>
      <c r="AD647">
        <v>99.39</v>
      </c>
      <c r="AE647">
        <v>79</v>
      </c>
      <c r="AF647">
        <v>45</v>
      </c>
      <c r="AG647" s="11">
        <f>Supply_Chain[[#This Row],[Total_Cost]]/Supply_Chain[[#This Row],[Stock_On_Hand]]</f>
        <v>0.28151044196211755</v>
      </c>
    </row>
    <row r="648" spans="1:33" x14ac:dyDescent="0.25">
      <c r="A648" t="s">
        <v>1924</v>
      </c>
      <c r="B648" t="s">
        <v>1925</v>
      </c>
      <c r="C648" s="1">
        <v>44783</v>
      </c>
      <c r="D648" s="1">
        <v>45282</v>
      </c>
      <c r="E648" t="s">
        <v>43</v>
      </c>
      <c r="F648" t="s">
        <v>44</v>
      </c>
      <c r="G648" t="s">
        <v>83</v>
      </c>
      <c r="H648" t="s">
        <v>33</v>
      </c>
      <c r="I648" s="3" t="s">
        <v>3273</v>
      </c>
      <c r="J648" s="3" t="s">
        <v>3518</v>
      </c>
      <c r="K648" s="3" t="s">
        <v>3522</v>
      </c>
      <c r="L648" s="3" t="s">
        <v>4062</v>
      </c>
      <c r="M648">
        <v>125.26</v>
      </c>
      <c r="N648">
        <v>55</v>
      </c>
      <c r="O648">
        <f>Supply_Chain[[#This Row],[Unit_Price]]*Supply_Chain[[#This Row],[Quantity]]</f>
        <v>6889.3</v>
      </c>
      <c r="P648" t="s">
        <v>681</v>
      </c>
      <c r="Q648" t="s">
        <v>48</v>
      </c>
      <c r="R648" t="s">
        <v>99</v>
      </c>
      <c r="S648" t="s">
        <v>37</v>
      </c>
      <c r="T648" t="s">
        <v>79</v>
      </c>
      <c r="U648" t="s">
        <v>177</v>
      </c>
      <c r="V648">
        <v>2441</v>
      </c>
      <c r="W648">
        <v>133</v>
      </c>
      <c r="X648">
        <v>27</v>
      </c>
      <c r="Y648">
        <v>767.99</v>
      </c>
      <c r="Z648">
        <v>422.62</v>
      </c>
      <c r="AA648" s="9">
        <v>1190.6099999999999</v>
      </c>
      <c r="AB648" t="s">
        <v>52</v>
      </c>
      <c r="AC648">
        <v>0</v>
      </c>
      <c r="AD648">
        <v>92.57</v>
      </c>
      <c r="AE648">
        <v>314</v>
      </c>
      <c r="AF648">
        <v>279</v>
      </c>
      <c r="AG648" s="11">
        <f>Supply_Chain[[#This Row],[Total_Cost]]/Supply_Chain[[#This Row],[Stock_On_Hand]]</f>
        <v>0.48775501843506758</v>
      </c>
    </row>
    <row r="649" spans="1:33" x14ac:dyDescent="0.25">
      <c r="A649" t="s">
        <v>1926</v>
      </c>
      <c r="B649" t="s">
        <v>1927</v>
      </c>
      <c r="C649" s="1">
        <v>44917</v>
      </c>
      <c r="D649" s="1">
        <v>44342</v>
      </c>
      <c r="E649" t="s">
        <v>55</v>
      </c>
      <c r="F649" t="s">
        <v>64</v>
      </c>
      <c r="G649" t="s">
        <v>56</v>
      </c>
      <c r="H649" t="s">
        <v>33</v>
      </c>
      <c r="I649" s="3" t="s">
        <v>3274</v>
      </c>
      <c r="J649" s="3" t="s">
        <v>3518</v>
      </c>
      <c r="K649" s="3" t="s">
        <v>3522</v>
      </c>
      <c r="L649" s="3" t="s">
        <v>4063</v>
      </c>
      <c r="M649">
        <v>399.09</v>
      </c>
      <c r="N649">
        <v>70</v>
      </c>
      <c r="O649">
        <f>Supply_Chain[[#This Row],[Unit_Price]]*Supply_Chain[[#This Row],[Quantity]]</f>
        <v>27936.3</v>
      </c>
      <c r="P649" t="s">
        <v>1928</v>
      </c>
      <c r="Q649" t="s">
        <v>86</v>
      </c>
      <c r="R649" t="s">
        <v>240</v>
      </c>
      <c r="S649" t="s">
        <v>50</v>
      </c>
      <c r="T649" t="s">
        <v>79</v>
      </c>
      <c r="U649" t="s">
        <v>131</v>
      </c>
      <c r="V649">
        <v>1493</v>
      </c>
      <c r="W649">
        <v>418</v>
      </c>
      <c r="X649">
        <v>21</v>
      </c>
      <c r="Y649">
        <v>1592.27</v>
      </c>
      <c r="Z649">
        <v>320.58999999999997</v>
      </c>
      <c r="AA649" s="9">
        <v>1912.86</v>
      </c>
      <c r="AB649" t="s">
        <v>52</v>
      </c>
      <c r="AC649">
        <v>0</v>
      </c>
      <c r="AD649">
        <v>98.08</v>
      </c>
      <c r="AE649">
        <v>480</v>
      </c>
      <c r="AF649">
        <v>471</v>
      </c>
      <c r="AG649" s="11">
        <f>Supply_Chain[[#This Row],[Total_Cost]]/Supply_Chain[[#This Row],[Stock_On_Hand]]</f>
        <v>1.2812190221031479</v>
      </c>
    </row>
    <row r="650" spans="1:33" x14ac:dyDescent="0.25">
      <c r="A650" t="s">
        <v>1929</v>
      </c>
      <c r="B650" t="s">
        <v>1930</v>
      </c>
      <c r="C650" s="1">
        <v>45003</v>
      </c>
      <c r="D650" s="1">
        <v>45511</v>
      </c>
      <c r="E650" t="s">
        <v>30</v>
      </c>
      <c r="F650" t="s">
        <v>115</v>
      </c>
      <c r="G650" t="s">
        <v>65</v>
      </c>
      <c r="H650" t="s">
        <v>166</v>
      </c>
      <c r="I650" s="3" t="s">
        <v>3275</v>
      </c>
      <c r="J650" s="3" t="s">
        <v>3518</v>
      </c>
      <c r="K650" s="3" t="s">
        <v>3522</v>
      </c>
      <c r="L650" s="3" t="s">
        <v>4064</v>
      </c>
      <c r="M650">
        <v>206.16</v>
      </c>
      <c r="N650">
        <v>85</v>
      </c>
      <c r="O650">
        <f>Supply_Chain[[#This Row],[Unit_Price]]*Supply_Chain[[#This Row],[Quantity]]</f>
        <v>17523.599999999999</v>
      </c>
      <c r="P650" t="s">
        <v>1526</v>
      </c>
      <c r="Q650" t="s">
        <v>48</v>
      </c>
      <c r="R650" t="s">
        <v>269</v>
      </c>
      <c r="S650" t="s">
        <v>50</v>
      </c>
      <c r="T650" t="s">
        <v>38</v>
      </c>
      <c r="U650" t="s">
        <v>440</v>
      </c>
      <c r="V650">
        <v>3018</v>
      </c>
      <c r="W650">
        <v>441</v>
      </c>
      <c r="X650">
        <v>18</v>
      </c>
      <c r="Y650">
        <v>1769.19</v>
      </c>
      <c r="Z650">
        <v>211.68</v>
      </c>
      <c r="AA650" s="9">
        <v>1980.87</v>
      </c>
      <c r="AB650" t="s">
        <v>52</v>
      </c>
      <c r="AC650">
        <v>0</v>
      </c>
      <c r="AD650">
        <v>77.2</v>
      </c>
      <c r="AE650">
        <v>85</v>
      </c>
      <c r="AF650">
        <v>76</v>
      </c>
      <c r="AG650" s="11">
        <f>Supply_Chain[[#This Row],[Total_Cost]]/Supply_Chain[[#This Row],[Stock_On_Hand]]</f>
        <v>0.65635188866799199</v>
      </c>
    </row>
    <row r="651" spans="1:33" x14ac:dyDescent="0.25">
      <c r="A651" t="s">
        <v>1931</v>
      </c>
      <c r="B651" t="s">
        <v>1932</v>
      </c>
      <c r="C651" s="1">
        <v>44414</v>
      </c>
      <c r="D651" s="1">
        <v>45281</v>
      </c>
      <c r="E651" t="s">
        <v>43</v>
      </c>
      <c r="F651" t="s">
        <v>75</v>
      </c>
      <c r="G651" t="s">
        <v>45</v>
      </c>
      <c r="H651" t="s">
        <v>57</v>
      </c>
      <c r="I651" s="3" t="s">
        <v>2793</v>
      </c>
      <c r="J651" s="3" t="s">
        <v>3518</v>
      </c>
      <c r="K651" s="3" t="s">
        <v>3532</v>
      </c>
      <c r="L651" s="3" t="s">
        <v>3566</v>
      </c>
      <c r="M651">
        <v>25.38</v>
      </c>
      <c r="N651">
        <v>51</v>
      </c>
      <c r="O651">
        <f>Supply_Chain[[#This Row],[Unit_Price]]*Supply_Chain[[#This Row],[Quantity]]</f>
        <v>1294.3799999999999</v>
      </c>
      <c r="P651" t="s">
        <v>907</v>
      </c>
      <c r="Q651" t="s">
        <v>86</v>
      </c>
      <c r="R651" t="s">
        <v>94</v>
      </c>
      <c r="S651" t="s">
        <v>119</v>
      </c>
      <c r="T651" t="s">
        <v>79</v>
      </c>
      <c r="U651" t="s">
        <v>619</v>
      </c>
      <c r="V651">
        <v>2094</v>
      </c>
      <c r="W651">
        <v>456</v>
      </c>
      <c r="X651">
        <v>3</v>
      </c>
      <c r="Y651">
        <v>1514.06</v>
      </c>
      <c r="Z651">
        <v>168.17</v>
      </c>
      <c r="AA651" s="9">
        <v>1682.23</v>
      </c>
      <c r="AB651" t="s">
        <v>52</v>
      </c>
      <c r="AC651">
        <v>0</v>
      </c>
      <c r="AD651">
        <v>89.26</v>
      </c>
      <c r="AE651">
        <v>179</v>
      </c>
      <c r="AF651">
        <v>196</v>
      </c>
      <c r="AG651" s="11">
        <f>Supply_Chain[[#This Row],[Total_Cost]]/Supply_Chain[[#This Row],[Stock_On_Hand]]</f>
        <v>0.80335721107927416</v>
      </c>
    </row>
    <row r="652" spans="1:33" x14ac:dyDescent="0.25">
      <c r="A652" t="s">
        <v>1933</v>
      </c>
      <c r="B652" t="s">
        <v>1934</v>
      </c>
      <c r="C652" s="1">
        <v>44161</v>
      </c>
      <c r="D652" s="1">
        <v>44550</v>
      </c>
      <c r="E652" t="s">
        <v>55</v>
      </c>
      <c r="F652" t="s">
        <v>31</v>
      </c>
      <c r="G652" t="s">
        <v>76</v>
      </c>
      <c r="H652" t="s">
        <v>166</v>
      </c>
      <c r="I652" s="3" t="s">
        <v>3276</v>
      </c>
      <c r="J652" s="3" t="s">
        <v>3518</v>
      </c>
      <c r="K652" s="3" t="s">
        <v>3521</v>
      </c>
      <c r="L652" s="3" t="s">
        <v>4065</v>
      </c>
      <c r="M652">
        <v>181.96</v>
      </c>
      <c r="N652">
        <v>41</v>
      </c>
      <c r="O652">
        <f>Supply_Chain[[#This Row],[Unit_Price]]*Supply_Chain[[#This Row],[Quantity]]</f>
        <v>7460.3600000000006</v>
      </c>
      <c r="P652" t="s">
        <v>202</v>
      </c>
      <c r="Q652" t="s">
        <v>68</v>
      </c>
      <c r="R652" t="s">
        <v>277</v>
      </c>
      <c r="S652" t="s">
        <v>70</v>
      </c>
      <c r="T652" t="s">
        <v>100</v>
      </c>
      <c r="U652" t="s">
        <v>436</v>
      </c>
      <c r="V652">
        <v>2369</v>
      </c>
      <c r="W652">
        <v>70</v>
      </c>
      <c r="X652">
        <v>27</v>
      </c>
      <c r="Y652">
        <v>1223.1400000000001</v>
      </c>
      <c r="Z652">
        <v>97.63</v>
      </c>
      <c r="AA652" s="9">
        <v>1320.77</v>
      </c>
      <c r="AB652" t="s">
        <v>52</v>
      </c>
      <c r="AC652">
        <v>0</v>
      </c>
      <c r="AD652">
        <v>99.92</v>
      </c>
      <c r="AE652">
        <v>155</v>
      </c>
      <c r="AF652">
        <v>121</v>
      </c>
      <c r="AG652" s="11">
        <f>Supply_Chain[[#This Row],[Total_Cost]]/Supply_Chain[[#This Row],[Stock_On_Hand]]</f>
        <v>0.55752216124947229</v>
      </c>
    </row>
    <row r="653" spans="1:33" x14ac:dyDescent="0.25">
      <c r="A653" t="s">
        <v>1935</v>
      </c>
      <c r="B653" t="s">
        <v>1936</v>
      </c>
      <c r="C653" s="1">
        <v>44915</v>
      </c>
      <c r="D653" s="1">
        <v>45409</v>
      </c>
      <c r="E653" t="s">
        <v>30</v>
      </c>
      <c r="F653" t="s">
        <v>31</v>
      </c>
      <c r="G653" t="s">
        <v>91</v>
      </c>
      <c r="H653" t="s">
        <v>128</v>
      </c>
      <c r="I653" s="3" t="s">
        <v>3277</v>
      </c>
      <c r="J653" s="3" t="s">
        <v>3518</v>
      </c>
      <c r="K653" s="3" t="s">
        <v>3524</v>
      </c>
      <c r="L653" s="3" t="s">
        <v>4066</v>
      </c>
      <c r="M653">
        <v>407.9</v>
      </c>
      <c r="N653">
        <v>62</v>
      </c>
      <c r="O653">
        <f>Supply_Chain[[#This Row],[Unit_Price]]*Supply_Chain[[#This Row],[Quantity]]</f>
        <v>25289.8</v>
      </c>
      <c r="P653" t="s">
        <v>1937</v>
      </c>
      <c r="Q653" t="s">
        <v>68</v>
      </c>
      <c r="R653" t="s">
        <v>87</v>
      </c>
      <c r="S653" t="s">
        <v>50</v>
      </c>
      <c r="T653" t="s">
        <v>71</v>
      </c>
      <c r="U653" t="s">
        <v>855</v>
      </c>
      <c r="V653">
        <v>856</v>
      </c>
      <c r="W653">
        <v>380</v>
      </c>
      <c r="X653">
        <v>8</v>
      </c>
      <c r="Y653">
        <v>907</v>
      </c>
      <c r="Z653">
        <v>48.93</v>
      </c>
      <c r="AA653" s="9">
        <v>955.93</v>
      </c>
      <c r="AB653" t="s">
        <v>52</v>
      </c>
      <c r="AC653">
        <v>0</v>
      </c>
      <c r="AD653">
        <v>95.27</v>
      </c>
      <c r="AE653">
        <v>256</v>
      </c>
      <c r="AF653">
        <v>287</v>
      </c>
      <c r="AG653" s="11">
        <f>Supply_Chain[[#This Row],[Total_Cost]]/Supply_Chain[[#This Row],[Stock_On_Hand]]</f>
        <v>1.1167406542056073</v>
      </c>
    </row>
    <row r="654" spans="1:33" x14ac:dyDescent="0.25">
      <c r="A654" t="s">
        <v>1938</v>
      </c>
      <c r="B654" t="s">
        <v>1939</v>
      </c>
      <c r="C654" s="1">
        <v>45652</v>
      </c>
      <c r="D654" s="1">
        <v>45490</v>
      </c>
      <c r="E654" t="s">
        <v>43</v>
      </c>
      <c r="F654" t="s">
        <v>75</v>
      </c>
      <c r="G654" t="s">
        <v>56</v>
      </c>
      <c r="H654" t="s">
        <v>92</v>
      </c>
      <c r="I654" s="3" t="s">
        <v>2772</v>
      </c>
      <c r="J654" s="3" t="s">
        <v>3519</v>
      </c>
      <c r="K654" s="3" t="s">
        <v>3530</v>
      </c>
      <c r="L654" s="3" t="s">
        <v>3572</v>
      </c>
      <c r="M654">
        <v>75.73</v>
      </c>
      <c r="N654">
        <v>12</v>
      </c>
      <c r="O654">
        <f>Supply_Chain[[#This Row],[Unit_Price]]*Supply_Chain[[#This Row],[Quantity]]</f>
        <v>908.76</v>
      </c>
      <c r="P654" t="s">
        <v>953</v>
      </c>
      <c r="Q654" t="s">
        <v>35</v>
      </c>
      <c r="R654" t="s">
        <v>466</v>
      </c>
      <c r="S654" t="s">
        <v>119</v>
      </c>
      <c r="T654" t="s">
        <v>60</v>
      </c>
      <c r="U654" t="s">
        <v>72</v>
      </c>
      <c r="V654">
        <v>4821</v>
      </c>
      <c r="W654">
        <v>350</v>
      </c>
      <c r="X654">
        <v>12</v>
      </c>
      <c r="Y654">
        <v>1702.38</v>
      </c>
      <c r="Z654">
        <v>34.83</v>
      </c>
      <c r="AA654" s="9">
        <v>1737.21</v>
      </c>
      <c r="AB654" t="s">
        <v>52</v>
      </c>
      <c r="AC654">
        <v>0</v>
      </c>
      <c r="AD654">
        <v>81.16</v>
      </c>
      <c r="AE654">
        <v>442</v>
      </c>
      <c r="AF654">
        <v>441</v>
      </c>
      <c r="AG654" s="11">
        <f>Supply_Chain[[#This Row],[Total_Cost]]/Supply_Chain[[#This Row],[Stock_On_Hand]]</f>
        <v>0.36034225264467956</v>
      </c>
    </row>
    <row r="655" spans="1:33" x14ac:dyDescent="0.25">
      <c r="A655" t="s">
        <v>1940</v>
      </c>
      <c r="B655" t="s">
        <v>1941</v>
      </c>
      <c r="C655" s="1">
        <v>44980</v>
      </c>
      <c r="D655" s="1">
        <v>44187</v>
      </c>
      <c r="E655" t="s">
        <v>55</v>
      </c>
      <c r="F655" t="s">
        <v>64</v>
      </c>
      <c r="G655" t="s">
        <v>247</v>
      </c>
      <c r="H655" t="s">
        <v>46</v>
      </c>
      <c r="I655" s="3" t="s">
        <v>3278</v>
      </c>
      <c r="J655" s="3" t="s">
        <v>3519</v>
      </c>
      <c r="K655" s="3" t="s">
        <v>3536</v>
      </c>
      <c r="L655" s="3" t="s">
        <v>4067</v>
      </c>
      <c r="M655">
        <v>486.61</v>
      </c>
      <c r="N655">
        <v>58</v>
      </c>
      <c r="O655">
        <f>Supply_Chain[[#This Row],[Unit_Price]]*Supply_Chain[[#This Row],[Quantity]]</f>
        <v>28223.38</v>
      </c>
      <c r="P655" t="s">
        <v>896</v>
      </c>
      <c r="Q655" t="s">
        <v>48</v>
      </c>
      <c r="R655" t="s">
        <v>154</v>
      </c>
      <c r="S655" t="s">
        <v>119</v>
      </c>
      <c r="T655" t="s">
        <v>71</v>
      </c>
      <c r="U655" t="s">
        <v>219</v>
      </c>
      <c r="V655">
        <v>1807</v>
      </c>
      <c r="W655">
        <v>487</v>
      </c>
      <c r="X655">
        <v>20</v>
      </c>
      <c r="Y655">
        <v>255.05</v>
      </c>
      <c r="Z655">
        <v>393.12</v>
      </c>
      <c r="AA655" s="9">
        <v>648.17000000000007</v>
      </c>
      <c r="AB655" t="s">
        <v>52</v>
      </c>
      <c r="AC655">
        <v>0</v>
      </c>
      <c r="AD655">
        <v>95.8</v>
      </c>
      <c r="AE655">
        <v>412</v>
      </c>
      <c r="AF655">
        <v>422</v>
      </c>
      <c r="AG655" s="11">
        <f>Supply_Chain[[#This Row],[Total_Cost]]/Supply_Chain[[#This Row],[Stock_On_Hand]]</f>
        <v>0.35869950193691202</v>
      </c>
    </row>
    <row r="656" spans="1:33" x14ac:dyDescent="0.25">
      <c r="A656" t="s">
        <v>1942</v>
      </c>
      <c r="B656" t="s">
        <v>1943</v>
      </c>
      <c r="C656" s="1">
        <v>45422</v>
      </c>
      <c r="D656" s="1">
        <v>45474</v>
      </c>
      <c r="E656" t="s">
        <v>55</v>
      </c>
      <c r="F656" t="s">
        <v>64</v>
      </c>
      <c r="G656" t="s">
        <v>45</v>
      </c>
      <c r="H656" t="s">
        <v>166</v>
      </c>
      <c r="I656" s="3" t="s">
        <v>3279</v>
      </c>
      <c r="J656" s="3" t="s">
        <v>3519</v>
      </c>
      <c r="K656" s="3" t="s">
        <v>3528</v>
      </c>
      <c r="L656" s="3" t="s">
        <v>4068</v>
      </c>
      <c r="M656">
        <v>481.76</v>
      </c>
      <c r="N656">
        <v>53</v>
      </c>
      <c r="O656">
        <f>Supply_Chain[[#This Row],[Unit_Price]]*Supply_Chain[[#This Row],[Quantity]]</f>
        <v>25533.279999999999</v>
      </c>
      <c r="P656" t="s">
        <v>1354</v>
      </c>
      <c r="Q656" t="s">
        <v>35</v>
      </c>
      <c r="R656" t="s">
        <v>140</v>
      </c>
      <c r="S656" t="s">
        <v>70</v>
      </c>
      <c r="T656" t="s">
        <v>60</v>
      </c>
      <c r="U656" t="s">
        <v>378</v>
      </c>
      <c r="V656">
        <v>2864</v>
      </c>
      <c r="W656">
        <v>482</v>
      </c>
      <c r="X656">
        <v>12</v>
      </c>
      <c r="Y656">
        <v>1718.96</v>
      </c>
      <c r="Z656">
        <v>291.57</v>
      </c>
      <c r="AA656" s="9">
        <v>2010.53</v>
      </c>
      <c r="AB656" t="s">
        <v>52</v>
      </c>
      <c r="AC656">
        <v>0</v>
      </c>
      <c r="AD656">
        <v>71.290000000000006</v>
      </c>
      <c r="AE656">
        <v>146</v>
      </c>
      <c r="AF656">
        <v>186</v>
      </c>
      <c r="AG656" s="11">
        <f>Supply_Chain[[#This Row],[Total_Cost]]/Supply_Chain[[#This Row],[Stock_On_Hand]]</f>
        <v>0.70200069832402234</v>
      </c>
    </row>
    <row r="657" spans="1:33" x14ac:dyDescent="0.25">
      <c r="A657" t="s">
        <v>1944</v>
      </c>
      <c r="B657" t="s">
        <v>1945</v>
      </c>
      <c r="C657" s="1">
        <v>45383</v>
      </c>
      <c r="D657" s="1">
        <v>45293</v>
      </c>
      <c r="E657" t="s">
        <v>55</v>
      </c>
      <c r="F657" t="s">
        <v>44</v>
      </c>
      <c r="G657" t="s">
        <v>91</v>
      </c>
      <c r="H657" t="s">
        <v>116</v>
      </c>
      <c r="I657" s="3" t="s">
        <v>3246</v>
      </c>
      <c r="J657" s="3" t="s">
        <v>3519</v>
      </c>
      <c r="K657" s="3" t="s">
        <v>3528</v>
      </c>
      <c r="L657" s="3" t="s">
        <v>4036</v>
      </c>
      <c r="M657">
        <v>97.52</v>
      </c>
      <c r="N657">
        <v>26</v>
      </c>
      <c r="O657">
        <f>Supply_Chain[[#This Row],[Unit_Price]]*Supply_Chain[[#This Row],[Quantity]]</f>
        <v>2535.52</v>
      </c>
      <c r="P657" t="s">
        <v>1065</v>
      </c>
      <c r="Q657" t="s">
        <v>48</v>
      </c>
      <c r="R657" t="s">
        <v>466</v>
      </c>
      <c r="S657" t="s">
        <v>50</v>
      </c>
      <c r="T657" t="s">
        <v>38</v>
      </c>
      <c r="U657" t="s">
        <v>249</v>
      </c>
      <c r="V657">
        <v>1160</v>
      </c>
      <c r="W657">
        <v>332</v>
      </c>
      <c r="X657">
        <v>9</v>
      </c>
      <c r="Y657">
        <v>893.68</v>
      </c>
      <c r="Z657">
        <v>241.95</v>
      </c>
      <c r="AA657" s="9">
        <v>1135.6300000000001</v>
      </c>
      <c r="AB657" t="s">
        <v>52</v>
      </c>
      <c r="AC657">
        <v>0</v>
      </c>
      <c r="AD657">
        <v>96.54</v>
      </c>
      <c r="AE657">
        <v>287</v>
      </c>
      <c r="AF657">
        <v>243</v>
      </c>
      <c r="AG657" s="11">
        <f>Supply_Chain[[#This Row],[Total_Cost]]/Supply_Chain[[#This Row],[Stock_On_Hand]]</f>
        <v>0.97899137931034497</v>
      </c>
    </row>
    <row r="658" spans="1:33" x14ac:dyDescent="0.25">
      <c r="A658" t="s">
        <v>1946</v>
      </c>
      <c r="B658" t="s">
        <v>1947</v>
      </c>
      <c r="C658" s="1">
        <v>45564</v>
      </c>
      <c r="D658" s="1">
        <v>44858</v>
      </c>
      <c r="E658" t="s">
        <v>55</v>
      </c>
      <c r="F658" t="s">
        <v>44</v>
      </c>
      <c r="G658" t="s">
        <v>91</v>
      </c>
      <c r="H658" t="s">
        <v>166</v>
      </c>
      <c r="I658" s="3" t="s">
        <v>3280</v>
      </c>
      <c r="J658" s="3" t="s">
        <v>3519</v>
      </c>
      <c r="K658" s="3" t="s">
        <v>3528</v>
      </c>
      <c r="L658" s="3" t="s">
        <v>4069</v>
      </c>
      <c r="M658">
        <v>323.66000000000003</v>
      </c>
      <c r="N658">
        <v>60</v>
      </c>
      <c r="O658">
        <f>Supply_Chain[[#This Row],[Unit_Price]]*Supply_Chain[[#This Row],[Quantity]]</f>
        <v>19419.600000000002</v>
      </c>
      <c r="P658" t="s">
        <v>167</v>
      </c>
      <c r="Q658" t="s">
        <v>86</v>
      </c>
      <c r="R658" t="s">
        <v>176</v>
      </c>
      <c r="S658" t="s">
        <v>119</v>
      </c>
      <c r="T658" t="s">
        <v>100</v>
      </c>
      <c r="U658" t="s">
        <v>499</v>
      </c>
      <c r="V658">
        <v>4472</v>
      </c>
      <c r="W658">
        <v>96</v>
      </c>
      <c r="X658">
        <v>25</v>
      </c>
      <c r="Y658">
        <v>1856.05</v>
      </c>
      <c r="Z658">
        <v>110.62</v>
      </c>
      <c r="AA658" s="9">
        <v>1966.67</v>
      </c>
      <c r="AB658" t="s">
        <v>52</v>
      </c>
      <c r="AC658">
        <v>0</v>
      </c>
      <c r="AD658">
        <v>86.12</v>
      </c>
      <c r="AE658">
        <v>427</v>
      </c>
      <c r="AF658">
        <v>461</v>
      </c>
      <c r="AG658" s="11">
        <f>Supply_Chain[[#This Row],[Total_Cost]]/Supply_Chain[[#This Row],[Stock_On_Hand]]</f>
        <v>0.43977415026833633</v>
      </c>
    </row>
    <row r="659" spans="1:33" x14ac:dyDescent="0.25">
      <c r="A659" t="s">
        <v>1948</v>
      </c>
      <c r="B659" t="s">
        <v>1949</v>
      </c>
      <c r="C659" s="1">
        <v>44580</v>
      </c>
      <c r="D659" s="1">
        <v>44751</v>
      </c>
      <c r="E659" t="s">
        <v>43</v>
      </c>
      <c r="F659" t="s">
        <v>64</v>
      </c>
      <c r="G659" t="s">
        <v>45</v>
      </c>
      <c r="H659" t="s">
        <v>66</v>
      </c>
      <c r="I659" s="3" t="s">
        <v>2751</v>
      </c>
      <c r="J659" s="3" t="s">
        <v>3519</v>
      </c>
      <c r="K659" s="3" t="s">
        <v>3528</v>
      </c>
      <c r="L659" s="3" t="s">
        <v>3551</v>
      </c>
      <c r="M659">
        <v>124.41</v>
      </c>
      <c r="N659">
        <v>69</v>
      </c>
      <c r="O659">
        <f>Supply_Chain[[#This Row],[Unit_Price]]*Supply_Chain[[#This Row],[Quantity]]</f>
        <v>8584.2899999999991</v>
      </c>
      <c r="P659" t="s">
        <v>769</v>
      </c>
      <c r="Q659" t="s">
        <v>86</v>
      </c>
      <c r="R659" t="s">
        <v>327</v>
      </c>
      <c r="S659" t="s">
        <v>119</v>
      </c>
      <c r="T659" t="s">
        <v>71</v>
      </c>
      <c r="U659" t="s">
        <v>302</v>
      </c>
      <c r="V659">
        <v>3496</v>
      </c>
      <c r="W659">
        <v>167</v>
      </c>
      <c r="X659">
        <v>11</v>
      </c>
      <c r="Y659">
        <v>774.91</v>
      </c>
      <c r="Z659">
        <v>355.77</v>
      </c>
      <c r="AA659" s="9">
        <v>1130.68</v>
      </c>
      <c r="AB659" t="s">
        <v>40</v>
      </c>
      <c r="AC659">
        <v>9</v>
      </c>
      <c r="AD659">
        <v>91.18</v>
      </c>
      <c r="AE659">
        <v>136</v>
      </c>
      <c r="AF659">
        <v>114</v>
      </c>
      <c r="AG659" s="11">
        <f>Supply_Chain[[#This Row],[Total_Cost]]/Supply_Chain[[#This Row],[Stock_On_Hand]]</f>
        <v>0.32342105263157894</v>
      </c>
    </row>
    <row r="660" spans="1:33" x14ac:dyDescent="0.25">
      <c r="A660" t="s">
        <v>1950</v>
      </c>
      <c r="B660" t="s">
        <v>1951</v>
      </c>
      <c r="C660" s="1">
        <v>44344</v>
      </c>
      <c r="D660" s="1">
        <v>45589</v>
      </c>
      <c r="E660" t="s">
        <v>43</v>
      </c>
      <c r="F660" t="s">
        <v>75</v>
      </c>
      <c r="G660" t="s">
        <v>76</v>
      </c>
      <c r="H660" t="s">
        <v>116</v>
      </c>
      <c r="I660" s="3" t="s">
        <v>3281</v>
      </c>
      <c r="J660" s="3" t="s">
        <v>84</v>
      </c>
      <c r="K660" s="3" t="s">
        <v>3526</v>
      </c>
      <c r="L660" s="3" t="s">
        <v>4070</v>
      </c>
      <c r="M660">
        <v>155.05000000000001</v>
      </c>
      <c r="N660">
        <v>39</v>
      </c>
      <c r="O660">
        <f>Supply_Chain[[#This Row],[Unit_Price]]*Supply_Chain[[#This Row],[Quantity]]</f>
        <v>6046.9500000000007</v>
      </c>
      <c r="P660" t="s">
        <v>861</v>
      </c>
      <c r="Q660" t="s">
        <v>86</v>
      </c>
      <c r="R660" t="s">
        <v>130</v>
      </c>
      <c r="S660" t="s">
        <v>37</v>
      </c>
      <c r="T660" t="s">
        <v>60</v>
      </c>
      <c r="U660" t="s">
        <v>619</v>
      </c>
      <c r="V660">
        <v>3178</v>
      </c>
      <c r="W660">
        <v>116</v>
      </c>
      <c r="X660">
        <v>7</v>
      </c>
      <c r="Y660">
        <v>504.2</v>
      </c>
      <c r="Z660">
        <v>54.12</v>
      </c>
      <c r="AA660" s="9">
        <v>558.31999999999994</v>
      </c>
      <c r="AB660" t="s">
        <v>52</v>
      </c>
      <c r="AC660">
        <v>0</v>
      </c>
      <c r="AD660">
        <v>91.08</v>
      </c>
      <c r="AE660">
        <v>54</v>
      </c>
      <c r="AF660">
        <v>71</v>
      </c>
      <c r="AG660" s="11">
        <f>Supply_Chain[[#This Row],[Total_Cost]]/Supply_Chain[[#This Row],[Stock_On_Hand]]</f>
        <v>0.17568281938325989</v>
      </c>
    </row>
    <row r="661" spans="1:33" x14ac:dyDescent="0.25">
      <c r="A661" t="s">
        <v>1952</v>
      </c>
      <c r="B661" t="s">
        <v>1953</v>
      </c>
      <c r="C661" s="1">
        <v>45316</v>
      </c>
      <c r="D661" s="1">
        <v>44073</v>
      </c>
      <c r="E661" t="s">
        <v>43</v>
      </c>
      <c r="F661" t="s">
        <v>75</v>
      </c>
      <c r="G661" t="s">
        <v>76</v>
      </c>
      <c r="H661" t="s">
        <v>46</v>
      </c>
      <c r="I661" s="3" t="s">
        <v>3282</v>
      </c>
      <c r="J661" s="3" t="s">
        <v>84</v>
      </c>
      <c r="K661" s="3" t="s">
        <v>3526</v>
      </c>
      <c r="L661" s="3" t="s">
        <v>4071</v>
      </c>
      <c r="M661">
        <v>291.41000000000003</v>
      </c>
      <c r="N661">
        <v>76</v>
      </c>
      <c r="O661">
        <f>Supply_Chain[[#This Row],[Unit_Price]]*Supply_Chain[[#This Row],[Quantity]]</f>
        <v>22147.160000000003</v>
      </c>
      <c r="P661" t="s">
        <v>483</v>
      </c>
      <c r="Q661" t="s">
        <v>35</v>
      </c>
      <c r="R661" t="s">
        <v>480</v>
      </c>
      <c r="S661" t="s">
        <v>119</v>
      </c>
      <c r="T661" t="s">
        <v>60</v>
      </c>
      <c r="U661" t="s">
        <v>136</v>
      </c>
      <c r="V661">
        <v>1623</v>
      </c>
      <c r="W661">
        <v>71</v>
      </c>
      <c r="X661">
        <v>27</v>
      </c>
      <c r="Y661">
        <v>870.17</v>
      </c>
      <c r="Z661">
        <v>274.69</v>
      </c>
      <c r="AA661" s="9">
        <v>1144.8599999999999</v>
      </c>
      <c r="AB661" t="s">
        <v>52</v>
      </c>
      <c r="AC661">
        <v>0</v>
      </c>
      <c r="AD661">
        <v>74.44</v>
      </c>
      <c r="AE661">
        <v>259</v>
      </c>
      <c r="AF661">
        <v>260</v>
      </c>
      <c r="AG661" s="11">
        <f>Supply_Chain[[#This Row],[Total_Cost]]/Supply_Chain[[#This Row],[Stock_On_Hand]]</f>
        <v>0.70539741219963026</v>
      </c>
    </row>
    <row r="662" spans="1:33" x14ac:dyDescent="0.25">
      <c r="A662" t="s">
        <v>1954</v>
      </c>
      <c r="B662" t="s">
        <v>1499</v>
      </c>
      <c r="C662" s="1">
        <v>44622</v>
      </c>
      <c r="D662" s="1">
        <v>44899</v>
      </c>
      <c r="E662" t="s">
        <v>55</v>
      </c>
      <c r="F662" t="s">
        <v>115</v>
      </c>
      <c r="G662" t="s">
        <v>32</v>
      </c>
      <c r="H662" t="s">
        <v>166</v>
      </c>
      <c r="I662" s="3" t="s">
        <v>3283</v>
      </c>
      <c r="J662" s="3" t="s">
        <v>3518</v>
      </c>
      <c r="K662" s="3" t="s">
        <v>3522</v>
      </c>
      <c r="L662" s="3" t="s">
        <v>4072</v>
      </c>
      <c r="M662">
        <v>458.92</v>
      </c>
      <c r="N662">
        <v>76</v>
      </c>
      <c r="O662">
        <f>Supply_Chain[[#This Row],[Unit_Price]]*Supply_Chain[[#This Row],[Quantity]]</f>
        <v>34877.919999999998</v>
      </c>
      <c r="P662" t="s">
        <v>1955</v>
      </c>
      <c r="Q662" t="s">
        <v>48</v>
      </c>
      <c r="R662" t="s">
        <v>360</v>
      </c>
      <c r="S662" t="s">
        <v>50</v>
      </c>
      <c r="T662" t="s">
        <v>38</v>
      </c>
      <c r="U662" t="s">
        <v>338</v>
      </c>
      <c r="V662">
        <v>3816</v>
      </c>
      <c r="W662">
        <v>341</v>
      </c>
      <c r="X662">
        <v>27</v>
      </c>
      <c r="Y662">
        <v>1651.32</v>
      </c>
      <c r="Z662">
        <v>251.56</v>
      </c>
      <c r="AA662" s="9">
        <v>1902.88</v>
      </c>
      <c r="AB662" t="s">
        <v>52</v>
      </c>
      <c r="AC662">
        <v>0</v>
      </c>
      <c r="AD662">
        <v>94.3</v>
      </c>
      <c r="AE662">
        <v>384</v>
      </c>
      <c r="AF662">
        <v>421</v>
      </c>
      <c r="AG662" s="11">
        <f>Supply_Chain[[#This Row],[Total_Cost]]/Supply_Chain[[#This Row],[Stock_On_Hand]]</f>
        <v>0.49865828092243192</v>
      </c>
    </row>
    <row r="663" spans="1:33" x14ac:dyDescent="0.25">
      <c r="A663" t="s">
        <v>1956</v>
      </c>
      <c r="B663" t="s">
        <v>1957</v>
      </c>
      <c r="C663" s="1">
        <v>44813</v>
      </c>
      <c r="D663" s="1">
        <v>45305</v>
      </c>
      <c r="E663" t="s">
        <v>55</v>
      </c>
      <c r="F663" t="s">
        <v>115</v>
      </c>
      <c r="G663" t="s">
        <v>45</v>
      </c>
      <c r="H663" t="s">
        <v>33</v>
      </c>
      <c r="I663" s="3" t="s">
        <v>3284</v>
      </c>
      <c r="J663" s="3" t="s">
        <v>3518</v>
      </c>
      <c r="K663" s="3" t="s">
        <v>3524</v>
      </c>
      <c r="L663" s="3" t="s">
        <v>4073</v>
      </c>
      <c r="M663">
        <v>356.58</v>
      </c>
      <c r="N663">
        <v>7</v>
      </c>
      <c r="O663">
        <f>Supply_Chain[[#This Row],[Unit_Price]]*Supply_Chain[[#This Row],[Quantity]]</f>
        <v>2496.06</v>
      </c>
      <c r="P663" t="s">
        <v>1958</v>
      </c>
      <c r="Q663" t="s">
        <v>86</v>
      </c>
      <c r="R663" t="s">
        <v>111</v>
      </c>
      <c r="S663" t="s">
        <v>50</v>
      </c>
      <c r="T663" t="s">
        <v>60</v>
      </c>
      <c r="U663" t="s">
        <v>101</v>
      </c>
      <c r="V663">
        <v>637</v>
      </c>
      <c r="W663">
        <v>244</v>
      </c>
      <c r="X663">
        <v>25</v>
      </c>
      <c r="Y663">
        <v>581.17999999999995</v>
      </c>
      <c r="Z663">
        <v>452.91</v>
      </c>
      <c r="AA663" s="9">
        <v>1034.0899999999999</v>
      </c>
      <c r="AB663" t="s">
        <v>52</v>
      </c>
      <c r="AC663">
        <v>0</v>
      </c>
      <c r="AD663">
        <v>92.4</v>
      </c>
      <c r="AE663">
        <v>304</v>
      </c>
      <c r="AF663">
        <v>264</v>
      </c>
      <c r="AG663" s="11">
        <f>Supply_Chain[[#This Row],[Total_Cost]]/Supply_Chain[[#This Row],[Stock_On_Hand]]</f>
        <v>1.6233751962323391</v>
      </c>
    </row>
    <row r="664" spans="1:33" x14ac:dyDescent="0.25">
      <c r="A664" t="s">
        <v>1959</v>
      </c>
      <c r="B664" t="s">
        <v>1960</v>
      </c>
      <c r="C664" s="1">
        <v>45131</v>
      </c>
      <c r="D664" s="1">
        <v>45130</v>
      </c>
      <c r="E664" t="s">
        <v>55</v>
      </c>
      <c r="F664" t="s">
        <v>115</v>
      </c>
      <c r="G664" t="s">
        <v>76</v>
      </c>
      <c r="H664" t="s">
        <v>116</v>
      </c>
      <c r="I664" s="3" t="s">
        <v>2869</v>
      </c>
      <c r="J664" s="3" t="s">
        <v>3518</v>
      </c>
      <c r="K664" s="3" t="s">
        <v>3524</v>
      </c>
      <c r="L664" s="3" t="s">
        <v>3668</v>
      </c>
      <c r="M664">
        <v>378.73</v>
      </c>
      <c r="N664">
        <v>94</v>
      </c>
      <c r="O664">
        <f>Supply_Chain[[#This Row],[Unit_Price]]*Supply_Chain[[#This Row],[Quantity]]</f>
        <v>35600.620000000003</v>
      </c>
      <c r="P664" t="s">
        <v>1961</v>
      </c>
      <c r="Q664" t="s">
        <v>48</v>
      </c>
      <c r="R664" t="s">
        <v>269</v>
      </c>
      <c r="S664" t="s">
        <v>50</v>
      </c>
      <c r="T664" t="s">
        <v>79</v>
      </c>
      <c r="U664" t="s">
        <v>207</v>
      </c>
      <c r="V664">
        <v>165</v>
      </c>
      <c r="W664">
        <v>479</v>
      </c>
      <c r="X664">
        <v>13</v>
      </c>
      <c r="Y664">
        <v>596.32000000000005</v>
      </c>
      <c r="Z664">
        <v>203.61</v>
      </c>
      <c r="AA664" s="9">
        <v>799.93000000000006</v>
      </c>
      <c r="AB664" t="s">
        <v>52</v>
      </c>
      <c r="AC664">
        <v>0</v>
      </c>
      <c r="AD664">
        <v>78.69</v>
      </c>
      <c r="AE664">
        <v>440</v>
      </c>
      <c r="AF664">
        <v>435</v>
      </c>
      <c r="AG664" s="11">
        <f>Supply_Chain[[#This Row],[Total_Cost]]/Supply_Chain[[#This Row],[Stock_On_Hand]]</f>
        <v>4.8480606060606064</v>
      </c>
    </row>
    <row r="665" spans="1:33" x14ac:dyDescent="0.25">
      <c r="A665" t="s">
        <v>1962</v>
      </c>
      <c r="B665" t="s">
        <v>1963</v>
      </c>
      <c r="C665" s="1">
        <v>44544</v>
      </c>
      <c r="D665" s="1">
        <v>44820</v>
      </c>
      <c r="E665" t="s">
        <v>55</v>
      </c>
      <c r="F665" t="s">
        <v>31</v>
      </c>
      <c r="G665" t="s">
        <v>45</v>
      </c>
      <c r="H665" t="s">
        <v>33</v>
      </c>
      <c r="I665" s="3" t="s">
        <v>3285</v>
      </c>
      <c r="J665" s="3" t="s">
        <v>3519</v>
      </c>
      <c r="K665" s="3" t="s">
        <v>3530</v>
      </c>
      <c r="L665" s="3" t="s">
        <v>4074</v>
      </c>
      <c r="M665">
        <v>209.16</v>
      </c>
      <c r="N665">
        <v>20</v>
      </c>
      <c r="O665">
        <f>Supply_Chain[[#This Row],[Unit_Price]]*Supply_Chain[[#This Row],[Quantity]]</f>
        <v>4183.2</v>
      </c>
      <c r="P665" t="s">
        <v>1608</v>
      </c>
      <c r="Q665" t="s">
        <v>86</v>
      </c>
      <c r="R665" t="s">
        <v>290</v>
      </c>
      <c r="S665" t="s">
        <v>37</v>
      </c>
      <c r="T665" t="s">
        <v>38</v>
      </c>
      <c r="U665" t="s">
        <v>223</v>
      </c>
      <c r="V665">
        <v>2903</v>
      </c>
      <c r="W665">
        <v>120</v>
      </c>
      <c r="X665">
        <v>20</v>
      </c>
      <c r="Y665">
        <v>466.95</v>
      </c>
      <c r="Z665">
        <v>418.85</v>
      </c>
      <c r="AA665" s="9">
        <v>885.8</v>
      </c>
      <c r="AB665" t="s">
        <v>52</v>
      </c>
      <c r="AC665">
        <v>0</v>
      </c>
      <c r="AD665">
        <v>77.930000000000007</v>
      </c>
      <c r="AE665">
        <v>424</v>
      </c>
      <c r="AF665">
        <v>403</v>
      </c>
      <c r="AG665" s="11">
        <f>Supply_Chain[[#This Row],[Total_Cost]]/Supply_Chain[[#This Row],[Stock_On_Hand]]</f>
        <v>0.30513262142611092</v>
      </c>
    </row>
    <row r="666" spans="1:33" x14ac:dyDescent="0.25">
      <c r="A666" t="s">
        <v>1964</v>
      </c>
      <c r="B666" t="s">
        <v>1965</v>
      </c>
      <c r="C666" s="1">
        <v>43897</v>
      </c>
      <c r="D666" s="1">
        <v>44602</v>
      </c>
      <c r="E666" t="s">
        <v>55</v>
      </c>
      <c r="F666" t="s">
        <v>44</v>
      </c>
      <c r="G666" t="s">
        <v>247</v>
      </c>
      <c r="H666" t="s">
        <v>46</v>
      </c>
      <c r="I666" s="3" t="s">
        <v>3286</v>
      </c>
      <c r="J666" s="3" t="s">
        <v>3519</v>
      </c>
      <c r="K666" s="3" t="s">
        <v>3528</v>
      </c>
      <c r="L666" s="3" t="s">
        <v>4075</v>
      </c>
      <c r="M666">
        <v>187.63</v>
      </c>
      <c r="N666">
        <v>91</v>
      </c>
      <c r="O666">
        <f>Supply_Chain[[#This Row],[Unit_Price]]*Supply_Chain[[#This Row],[Quantity]]</f>
        <v>17074.329999999998</v>
      </c>
      <c r="P666" t="s">
        <v>1966</v>
      </c>
      <c r="Q666" t="s">
        <v>35</v>
      </c>
      <c r="R666" t="s">
        <v>819</v>
      </c>
      <c r="S666" t="s">
        <v>70</v>
      </c>
      <c r="T666" t="s">
        <v>38</v>
      </c>
      <c r="U666" t="s">
        <v>227</v>
      </c>
      <c r="V666">
        <v>3549</v>
      </c>
      <c r="W666">
        <v>334</v>
      </c>
      <c r="X666">
        <v>3</v>
      </c>
      <c r="Y666">
        <v>577.17999999999995</v>
      </c>
      <c r="Z666">
        <v>274.11</v>
      </c>
      <c r="AA666" s="9">
        <v>851.29</v>
      </c>
      <c r="AB666" t="s">
        <v>40</v>
      </c>
      <c r="AC666">
        <v>3</v>
      </c>
      <c r="AD666">
        <v>77.08</v>
      </c>
      <c r="AE666">
        <v>196</v>
      </c>
      <c r="AF666">
        <v>189</v>
      </c>
      <c r="AG666" s="11">
        <f>Supply_Chain[[#This Row],[Total_Cost]]/Supply_Chain[[#This Row],[Stock_On_Hand]]</f>
        <v>0.23986756832910677</v>
      </c>
    </row>
    <row r="667" spans="1:33" x14ac:dyDescent="0.25">
      <c r="A667" t="s">
        <v>1967</v>
      </c>
      <c r="B667" t="s">
        <v>1295</v>
      </c>
      <c r="C667" s="1">
        <v>45248</v>
      </c>
      <c r="D667" s="1">
        <v>45242</v>
      </c>
      <c r="E667" t="s">
        <v>43</v>
      </c>
      <c r="F667" t="s">
        <v>31</v>
      </c>
      <c r="G667" t="s">
        <v>76</v>
      </c>
      <c r="H667" t="s">
        <v>116</v>
      </c>
      <c r="I667" s="3" t="s">
        <v>3287</v>
      </c>
      <c r="J667" s="3" t="s">
        <v>3518</v>
      </c>
      <c r="K667" s="3" t="s">
        <v>3525</v>
      </c>
      <c r="L667" s="3" t="s">
        <v>4076</v>
      </c>
      <c r="M667">
        <v>39.299999999999997</v>
      </c>
      <c r="N667">
        <v>43</v>
      </c>
      <c r="O667">
        <f>Supply_Chain[[#This Row],[Unit_Price]]*Supply_Chain[[#This Row],[Quantity]]</f>
        <v>1689.8999999999999</v>
      </c>
      <c r="P667" t="s">
        <v>1125</v>
      </c>
      <c r="Q667" t="s">
        <v>48</v>
      </c>
      <c r="R667" t="s">
        <v>466</v>
      </c>
      <c r="S667" t="s">
        <v>70</v>
      </c>
      <c r="T667" t="s">
        <v>100</v>
      </c>
      <c r="U667" t="s">
        <v>691</v>
      </c>
      <c r="V667">
        <v>636</v>
      </c>
      <c r="W667">
        <v>62</v>
      </c>
      <c r="X667">
        <v>1</v>
      </c>
      <c r="Y667">
        <v>1087.5899999999999</v>
      </c>
      <c r="Z667">
        <v>208.36</v>
      </c>
      <c r="AA667" s="9">
        <v>1295.95</v>
      </c>
      <c r="AB667" t="s">
        <v>40</v>
      </c>
      <c r="AC667">
        <v>9</v>
      </c>
      <c r="AD667">
        <v>81.02</v>
      </c>
      <c r="AE667">
        <v>383</v>
      </c>
      <c r="AF667">
        <v>338</v>
      </c>
      <c r="AG667" s="11">
        <f>Supply_Chain[[#This Row],[Total_Cost]]/Supply_Chain[[#This Row],[Stock_On_Hand]]</f>
        <v>2.0376572327044027</v>
      </c>
    </row>
    <row r="668" spans="1:33" x14ac:dyDescent="0.25">
      <c r="A668" t="s">
        <v>1968</v>
      </c>
      <c r="B668" t="s">
        <v>1969</v>
      </c>
      <c r="C668" s="1">
        <v>44480</v>
      </c>
      <c r="D668" s="1">
        <v>44563</v>
      </c>
      <c r="E668" t="s">
        <v>55</v>
      </c>
      <c r="F668" t="s">
        <v>64</v>
      </c>
      <c r="G668" t="s">
        <v>56</v>
      </c>
      <c r="H668" t="s">
        <v>92</v>
      </c>
      <c r="I668" s="3" t="s">
        <v>3288</v>
      </c>
      <c r="J668" s="3" t="s">
        <v>3518</v>
      </c>
      <c r="K668" s="3" t="s">
        <v>3535</v>
      </c>
      <c r="L668" s="3" t="s">
        <v>4077</v>
      </c>
      <c r="M668">
        <v>82.17</v>
      </c>
      <c r="N668">
        <v>22</v>
      </c>
      <c r="O668">
        <f>Supply_Chain[[#This Row],[Unit_Price]]*Supply_Chain[[#This Row],[Quantity]]</f>
        <v>1807.74</v>
      </c>
      <c r="P668" t="s">
        <v>1970</v>
      </c>
      <c r="Q668" t="s">
        <v>35</v>
      </c>
      <c r="R668" t="s">
        <v>69</v>
      </c>
      <c r="S668" t="s">
        <v>119</v>
      </c>
      <c r="T668" t="s">
        <v>60</v>
      </c>
      <c r="U668" t="s">
        <v>265</v>
      </c>
      <c r="V668">
        <v>4309</v>
      </c>
      <c r="W668">
        <v>422</v>
      </c>
      <c r="X668">
        <v>2</v>
      </c>
      <c r="Y668">
        <v>1642.18</v>
      </c>
      <c r="Z668">
        <v>163.80000000000001</v>
      </c>
      <c r="AA668" s="9">
        <v>1805.98</v>
      </c>
      <c r="AB668" t="s">
        <v>40</v>
      </c>
      <c r="AC668">
        <v>9</v>
      </c>
      <c r="AD668">
        <v>89.73</v>
      </c>
      <c r="AE668">
        <v>199</v>
      </c>
      <c r="AF668">
        <v>178</v>
      </c>
      <c r="AG668" s="11">
        <f>Supply_Chain[[#This Row],[Total_Cost]]/Supply_Chain[[#This Row],[Stock_On_Hand]]</f>
        <v>0.41911812485495475</v>
      </c>
    </row>
    <row r="669" spans="1:33" x14ac:dyDescent="0.25">
      <c r="A669" t="s">
        <v>1971</v>
      </c>
      <c r="B669" t="s">
        <v>1972</v>
      </c>
      <c r="C669" s="1">
        <v>44809</v>
      </c>
      <c r="D669" s="1">
        <v>44453</v>
      </c>
      <c r="E669" t="s">
        <v>55</v>
      </c>
      <c r="F669" t="s">
        <v>64</v>
      </c>
      <c r="G669" t="s">
        <v>247</v>
      </c>
      <c r="H669" t="s">
        <v>128</v>
      </c>
      <c r="I669" s="3" t="s">
        <v>3289</v>
      </c>
      <c r="J669" s="3" t="s">
        <v>3519</v>
      </c>
      <c r="K669" s="3" t="s">
        <v>3530</v>
      </c>
      <c r="L669" s="3" t="s">
        <v>4078</v>
      </c>
      <c r="M669">
        <v>319.85000000000002</v>
      </c>
      <c r="N669">
        <v>48</v>
      </c>
      <c r="O669">
        <f>Supply_Chain[[#This Row],[Unit_Price]]*Supply_Chain[[#This Row],[Quantity]]</f>
        <v>15352.800000000001</v>
      </c>
      <c r="P669" t="s">
        <v>1524</v>
      </c>
      <c r="Q669" t="s">
        <v>68</v>
      </c>
      <c r="R669" t="s">
        <v>240</v>
      </c>
      <c r="S669" t="s">
        <v>119</v>
      </c>
      <c r="T669" t="s">
        <v>79</v>
      </c>
      <c r="U669" t="s">
        <v>615</v>
      </c>
      <c r="V669">
        <v>1301</v>
      </c>
      <c r="W669">
        <v>76</v>
      </c>
      <c r="X669">
        <v>18</v>
      </c>
      <c r="Y669">
        <v>824.36</v>
      </c>
      <c r="Z669">
        <v>197.84</v>
      </c>
      <c r="AA669" s="9">
        <v>1022.2</v>
      </c>
      <c r="AB669" t="s">
        <v>52</v>
      </c>
      <c r="AC669">
        <v>0</v>
      </c>
      <c r="AD669">
        <v>73.709999999999994</v>
      </c>
      <c r="AE669">
        <v>180</v>
      </c>
      <c r="AF669">
        <v>202</v>
      </c>
      <c r="AG669" s="11">
        <f>Supply_Chain[[#This Row],[Total_Cost]]/Supply_Chain[[#This Row],[Stock_On_Hand]]</f>
        <v>0.78570330514988473</v>
      </c>
    </row>
    <row r="670" spans="1:33" x14ac:dyDescent="0.25">
      <c r="A670" t="s">
        <v>1973</v>
      </c>
      <c r="B670" t="s">
        <v>1974</v>
      </c>
      <c r="C670" s="1">
        <v>45234</v>
      </c>
      <c r="D670" s="1">
        <v>45192</v>
      </c>
      <c r="E670" t="s">
        <v>55</v>
      </c>
      <c r="F670" t="s">
        <v>75</v>
      </c>
      <c r="G670" t="s">
        <v>65</v>
      </c>
      <c r="H670" t="s">
        <v>166</v>
      </c>
      <c r="I670" s="3" t="s">
        <v>3290</v>
      </c>
      <c r="J670" s="3" t="s">
        <v>84</v>
      </c>
      <c r="K670" s="3" t="s">
        <v>3529</v>
      </c>
      <c r="L670" s="3" t="s">
        <v>4079</v>
      </c>
      <c r="M670">
        <v>133.22999999999999</v>
      </c>
      <c r="N670">
        <v>62</v>
      </c>
      <c r="O670">
        <f>Supply_Chain[[#This Row],[Unit_Price]]*Supply_Chain[[#This Row],[Quantity]]</f>
        <v>8260.26</v>
      </c>
      <c r="P670" t="s">
        <v>1975</v>
      </c>
      <c r="Q670" t="s">
        <v>68</v>
      </c>
      <c r="R670" t="s">
        <v>236</v>
      </c>
      <c r="S670" t="s">
        <v>119</v>
      </c>
      <c r="T670" t="s">
        <v>38</v>
      </c>
      <c r="U670" t="s">
        <v>61</v>
      </c>
      <c r="V670">
        <v>4556</v>
      </c>
      <c r="W670">
        <v>339</v>
      </c>
      <c r="X670">
        <v>16</v>
      </c>
      <c r="Y670">
        <v>1659.81</v>
      </c>
      <c r="Z670">
        <v>120.29</v>
      </c>
      <c r="AA670" s="9">
        <v>1780.1</v>
      </c>
      <c r="AB670" t="s">
        <v>52</v>
      </c>
      <c r="AC670">
        <v>0</v>
      </c>
      <c r="AD670">
        <v>98.76</v>
      </c>
      <c r="AE670">
        <v>444</v>
      </c>
      <c r="AF670">
        <v>395</v>
      </c>
      <c r="AG670" s="11">
        <f>Supply_Chain[[#This Row],[Total_Cost]]/Supply_Chain[[#This Row],[Stock_On_Hand]]</f>
        <v>0.39071553994732217</v>
      </c>
    </row>
    <row r="671" spans="1:33" x14ac:dyDescent="0.25">
      <c r="A671" t="s">
        <v>1976</v>
      </c>
      <c r="B671" t="s">
        <v>1977</v>
      </c>
      <c r="C671" s="1">
        <v>45099</v>
      </c>
      <c r="D671" s="1">
        <v>44433</v>
      </c>
      <c r="E671" t="s">
        <v>55</v>
      </c>
      <c r="F671" t="s">
        <v>44</v>
      </c>
      <c r="G671" t="s">
        <v>32</v>
      </c>
      <c r="H671" t="s">
        <v>92</v>
      </c>
      <c r="I671" s="3" t="s">
        <v>3291</v>
      </c>
      <c r="J671" s="3" t="s">
        <v>84</v>
      </c>
      <c r="K671" s="3" t="s">
        <v>3534</v>
      </c>
      <c r="L671" s="3" t="s">
        <v>4080</v>
      </c>
      <c r="M671">
        <v>394.41</v>
      </c>
      <c r="N671">
        <v>37</v>
      </c>
      <c r="O671">
        <f>Supply_Chain[[#This Row],[Unit_Price]]*Supply_Chain[[#This Row],[Quantity]]</f>
        <v>14593.17</v>
      </c>
      <c r="P671" t="s">
        <v>349</v>
      </c>
      <c r="Q671" t="s">
        <v>35</v>
      </c>
      <c r="R671" t="s">
        <v>176</v>
      </c>
      <c r="S671" t="s">
        <v>50</v>
      </c>
      <c r="T671" t="s">
        <v>79</v>
      </c>
      <c r="U671" t="s">
        <v>207</v>
      </c>
      <c r="V671">
        <v>807</v>
      </c>
      <c r="W671">
        <v>192</v>
      </c>
      <c r="X671">
        <v>10</v>
      </c>
      <c r="Y671">
        <v>1712.56</v>
      </c>
      <c r="Z671">
        <v>99.59</v>
      </c>
      <c r="AA671" s="9">
        <v>1812.15</v>
      </c>
      <c r="AB671" t="s">
        <v>52</v>
      </c>
      <c r="AC671">
        <v>0</v>
      </c>
      <c r="AD671">
        <v>88.49</v>
      </c>
      <c r="AE671">
        <v>267</v>
      </c>
      <c r="AF671">
        <v>236</v>
      </c>
      <c r="AG671" s="11">
        <f>Supply_Chain[[#This Row],[Total_Cost]]/Supply_Chain[[#This Row],[Stock_On_Hand]]</f>
        <v>2.2455390334572494</v>
      </c>
    </row>
    <row r="672" spans="1:33" x14ac:dyDescent="0.25">
      <c r="A672" t="s">
        <v>1978</v>
      </c>
      <c r="B672" t="s">
        <v>1979</v>
      </c>
      <c r="C672" s="1">
        <v>45318</v>
      </c>
      <c r="D672" s="1">
        <v>44613</v>
      </c>
      <c r="E672" t="s">
        <v>30</v>
      </c>
      <c r="F672" t="s">
        <v>44</v>
      </c>
      <c r="G672" t="s">
        <v>76</v>
      </c>
      <c r="H672" t="s">
        <v>116</v>
      </c>
      <c r="I672" s="3" t="s">
        <v>3292</v>
      </c>
      <c r="J672" s="3" t="s">
        <v>3518</v>
      </c>
      <c r="K672" s="3" t="s">
        <v>3525</v>
      </c>
      <c r="L672" s="3" t="s">
        <v>4081</v>
      </c>
      <c r="M672">
        <v>303.42</v>
      </c>
      <c r="N672">
        <v>16</v>
      </c>
      <c r="O672">
        <f>Supply_Chain[[#This Row],[Unit_Price]]*Supply_Chain[[#This Row],[Quantity]]</f>
        <v>4854.72</v>
      </c>
      <c r="P672" t="s">
        <v>690</v>
      </c>
      <c r="Q672" t="s">
        <v>48</v>
      </c>
      <c r="R672" t="s">
        <v>145</v>
      </c>
      <c r="S672" t="s">
        <v>50</v>
      </c>
      <c r="T672" t="s">
        <v>60</v>
      </c>
      <c r="U672" t="s">
        <v>310</v>
      </c>
      <c r="V672">
        <v>814</v>
      </c>
      <c r="W672">
        <v>224</v>
      </c>
      <c r="X672">
        <v>27</v>
      </c>
      <c r="Y672">
        <v>762.14</v>
      </c>
      <c r="Z672">
        <v>384.4</v>
      </c>
      <c r="AA672" s="9">
        <v>1146.54</v>
      </c>
      <c r="AB672" t="s">
        <v>52</v>
      </c>
      <c r="AC672">
        <v>0</v>
      </c>
      <c r="AD672">
        <v>93.93</v>
      </c>
      <c r="AE672">
        <v>336</v>
      </c>
      <c r="AF672">
        <v>377</v>
      </c>
      <c r="AG672" s="11">
        <f>Supply_Chain[[#This Row],[Total_Cost]]/Supply_Chain[[#This Row],[Stock_On_Hand]]</f>
        <v>1.4085257985257984</v>
      </c>
    </row>
    <row r="673" spans="1:33" x14ac:dyDescent="0.25">
      <c r="A673" t="s">
        <v>1980</v>
      </c>
      <c r="B673" t="s">
        <v>1981</v>
      </c>
      <c r="C673" s="1">
        <v>45531</v>
      </c>
      <c r="D673" s="1">
        <v>45043</v>
      </c>
      <c r="E673" t="s">
        <v>55</v>
      </c>
      <c r="F673" t="s">
        <v>64</v>
      </c>
      <c r="G673" t="s">
        <v>65</v>
      </c>
      <c r="H673" t="s">
        <v>33</v>
      </c>
      <c r="I673" s="3" t="s">
        <v>2743</v>
      </c>
      <c r="J673" s="3" t="s">
        <v>3518</v>
      </c>
      <c r="K673" s="3" t="s">
        <v>3525</v>
      </c>
      <c r="L673" s="3" t="s">
        <v>3543</v>
      </c>
      <c r="M673">
        <v>134.91999999999999</v>
      </c>
      <c r="N673">
        <v>8</v>
      </c>
      <c r="O673">
        <f>Supply_Chain[[#This Row],[Unit_Price]]*Supply_Chain[[#This Row],[Quantity]]</f>
        <v>1079.3599999999999</v>
      </c>
      <c r="P673" t="s">
        <v>1982</v>
      </c>
      <c r="Q673" t="s">
        <v>86</v>
      </c>
      <c r="R673" t="s">
        <v>154</v>
      </c>
      <c r="S673" t="s">
        <v>37</v>
      </c>
      <c r="T673" t="s">
        <v>38</v>
      </c>
      <c r="U673" t="s">
        <v>257</v>
      </c>
      <c r="V673">
        <v>3687</v>
      </c>
      <c r="W673">
        <v>459</v>
      </c>
      <c r="X673">
        <v>1</v>
      </c>
      <c r="Y673">
        <v>551.12</v>
      </c>
      <c r="Z673">
        <v>209.74</v>
      </c>
      <c r="AA673" s="9">
        <v>760.86</v>
      </c>
      <c r="AB673" t="s">
        <v>52</v>
      </c>
      <c r="AC673">
        <v>0</v>
      </c>
      <c r="AD673">
        <v>94.24</v>
      </c>
      <c r="AE673">
        <v>352</v>
      </c>
      <c r="AF673">
        <v>388</v>
      </c>
      <c r="AG673" s="11">
        <f>Supply_Chain[[#This Row],[Total_Cost]]/Supply_Chain[[#This Row],[Stock_On_Hand]]</f>
        <v>0.20636289666395444</v>
      </c>
    </row>
    <row r="674" spans="1:33" x14ac:dyDescent="0.25">
      <c r="A674" t="s">
        <v>1983</v>
      </c>
      <c r="B674" t="s">
        <v>1984</v>
      </c>
      <c r="C674" s="1">
        <v>45083</v>
      </c>
      <c r="D674" s="1">
        <v>44113</v>
      </c>
      <c r="E674" t="s">
        <v>55</v>
      </c>
      <c r="F674" t="s">
        <v>44</v>
      </c>
      <c r="G674" t="s">
        <v>45</v>
      </c>
      <c r="H674" t="s">
        <v>33</v>
      </c>
      <c r="I674" s="3" t="s">
        <v>3293</v>
      </c>
      <c r="J674" s="3" t="s">
        <v>3519</v>
      </c>
      <c r="K674" s="3" t="s">
        <v>3528</v>
      </c>
      <c r="L674" s="3" t="s">
        <v>4082</v>
      </c>
      <c r="M674">
        <v>237.43</v>
      </c>
      <c r="N674">
        <v>14</v>
      </c>
      <c r="O674">
        <f>Supply_Chain[[#This Row],[Unit_Price]]*Supply_Chain[[#This Row],[Quantity]]</f>
        <v>3324.02</v>
      </c>
      <c r="P674" t="s">
        <v>1985</v>
      </c>
      <c r="Q674" t="s">
        <v>48</v>
      </c>
      <c r="R674" t="s">
        <v>214</v>
      </c>
      <c r="S674" t="s">
        <v>70</v>
      </c>
      <c r="T674" t="s">
        <v>79</v>
      </c>
      <c r="U674" t="s">
        <v>257</v>
      </c>
      <c r="V674">
        <v>1960</v>
      </c>
      <c r="W674">
        <v>181</v>
      </c>
      <c r="X674">
        <v>9</v>
      </c>
      <c r="Y674">
        <v>1343.01</v>
      </c>
      <c r="Z674">
        <v>243.8</v>
      </c>
      <c r="AA674" s="9">
        <v>1586.81</v>
      </c>
      <c r="AB674" t="s">
        <v>52</v>
      </c>
      <c r="AC674">
        <v>0</v>
      </c>
      <c r="AD674">
        <v>72.150000000000006</v>
      </c>
      <c r="AE674">
        <v>222</v>
      </c>
      <c r="AF674">
        <v>212</v>
      </c>
      <c r="AG674" s="11">
        <f>Supply_Chain[[#This Row],[Total_Cost]]/Supply_Chain[[#This Row],[Stock_On_Hand]]</f>
        <v>0.8095969387755102</v>
      </c>
    </row>
    <row r="675" spans="1:33" x14ac:dyDescent="0.25">
      <c r="A675" t="s">
        <v>1986</v>
      </c>
      <c r="B675" t="s">
        <v>1987</v>
      </c>
      <c r="C675" s="1">
        <v>45510</v>
      </c>
      <c r="D675" s="1">
        <v>45255</v>
      </c>
      <c r="E675" t="s">
        <v>30</v>
      </c>
      <c r="F675" t="s">
        <v>115</v>
      </c>
      <c r="G675" t="s">
        <v>247</v>
      </c>
      <c r="H675" t="s">
        <v>33</v>
      </c>
      <c r="I675" s="3" t="s">
        <v>3027</v>
      </c>
      <c r="J675" s="3" t="s">
        <v>84</v>
      </c>
      <c r="K675" s="3" t="s">
        <v>3534</v>
      </c>
      <c r="L675" s="3" t="s">
        <v>3824</v>
      </c>
      <c r="M675">
        <v>240.85</v>
      </c>
      <c r="N675">
        <v>91</v>
      </c>
      <c r="O675">
        <f>Supply_Chain[[#This Row],[Unit_Price]]*Supply_Chain[[#This Row],[Quantity]]</f>
        <v>21917.35</v>
      </c>
      <c r="P675" t="s">
        <v>1371</v>
      </c>
      <c r="Q675" t="s">
        <v>110</v>
      </c>
      <c r="R675" t="s">
        <v>653</v>
      </c>
      <c r="S675" t="s">
        <v>37</v>
      </c>
      <c r="T675" t="s">
        <v>100</v>
      </c>
      <c r="U675" t="s">
        <v>219</v>
      </c>
      <c r="V675">
        <v>3454</v>
      </c>
      <c r="W675">
        <v>226</v>
      </c>
      <c r="X675">
        <v>25</v>
      </c>
      <c r="Y675">
        <v>1826.94</v>
      </c>
      <c r="Z675">
        <v>357.49</v>
      </c>
      <c r="AA675" s="9">
        <v>2184.4299999999998</v>
      </c>
      <c r="AB675" t="s">
        <v>52</v>
      </c>
      <c r="AC675">
        <v>0</v>
      </c>
      <c r="AD675">
        <v>74.239999999999995</v>
      </c>
      <c r="AE675">
        <v>150</v>
      </c>
      <c r="AF675">
        <v>195</v>
      </c>
      <c r="AG675" s="11">
        <f>Supply_Chain[[#This Row],[Total_Cost]]/Supply_Chain[[#This Row],[Stock_On_Hand]]</f>
        <v>0.63243485813549505</v>
      </c>
    </row>
    <row r="676" spans="1:33" x14ac:dyDescent="0.25">
      <c r="A676" t="s">
        <v>1988</v>
      </c>
      <c r="B676" t="s">
        <v>1989</v>
      </c>
      <c r="C676" s="1">
        <v>43986</v>
      </c>
      <c r="D676" s="1">
        <v>45499</v>
      </c>
      <c r="E676" t="s">
        <v>55</v>
      </c>
      <c r="F676" t="s">
        <v>31</v>
      </c>
      <c r="G676" t="s">
        <v>65</v>
      </c>
      <c r="H676" t="s">
        <v>128</v>
      </c>
      <c r="I676" s="3" t="s">
        <v>2812</v>
      </c>
      <c r="J676" s="3" t="s">
        <v>3518</v>
      </c>
      <c r="K676" s="3" t="s">
        <v>3524</v>
      </c>
      <c r="L676" s="3" t="s">
        <v>3611</v>
      </c>
      <c r="M676">
        <v>282.7</v>
      </c>
      <c r="N676">
        <v>41</v>
      </c>
      <c r="O676">
        <f>Supply_Chain[[#This Row],[Unit_Price]]*Supply_Chain[[#This Row],[Quantity]]</f>
        <v>11590.699999999999</v>
      </c>
      <c r="P676" t="s">
        <v>1990</v>
      </c>
      <c r="Q676" t="s">
        <v>48</v>
      </c>
      <c r="R676" t="s">
        <v>111</v>
      </c>
      <c r="S676" t="s">
        <v>50</v>
      </c>
      <c r="T676" t="s">
        <v>71</v>
      </c>
      <c r="U676" t="s">
        <v>611</v>
      </c>
      <c r="V676">
        <v>930</v>
      </c>
      <c r="W676">
        <v>76</v>
      </c>
      <c r="X676">
        <v>6</v>
      </c>
      <c r="Y676">
        <v>1353.78</v>
      </c>
      <c r="Z676">
        <v>258.94</v>
      </c>
      <c r="AA676" s="9">
        <v>1612.72</v>
      </c>
      <c r="AB676" t="s">
        <v>52</v>
      </c>
      <c r="AC676">
        <v>0</v>
      </c>
      <c r="AD676">
        <v>79.28</v>
      </c>
      <c r="AE676">
        <v>235</v>
      </c>
      <c r="AF676">
        <v>219</v>
      </c>
      <c r="AG676" s="11">
        <f>Supply_Chain[[#This Row],[Total_Cost]]/Supply_Chain[[#This Row],[Stock_On_Hand]]</f>
        <v>1.7341075268817205</v>
      </c>
    </row>
    <row r="677" spans="1:33" x14ac:dyDescent="0.25">
      <c r="A677" t="s">
        <v>1991</v>
      </c>
      <c r="B677" t="s">
        <v>1992</v>
      </c>
      <c r="C677" s="1">
        <v>45495</v>
      </c>
      <c r="D677" s="1">
        <v>44689</v>
      </c>
      <c r="E677" t="s">
        <v>43</v>
      </c>
      <c r="F677" t="s">
        <v>75</v>
      </c>
      <c r="G677" t="s">
        <v>247</v>
      </c>
      <c r="H677" t="s">
        <v>57</v>
      </c>
      <c r="I677" s="3" t="s">
        <v>3130</v>
      </c>
      <c r="J677" s="3" t="s">
        <v>3519</v>
      </c>
      <c r="K677" s="3" t="s">
        <v>3530</v>
      </c>
      <c r="L677" s="3" t="s">
        <v>3925</v>
      </c>
      <c r="M677">
        <v>40.340000000000003</v>
      </c>
      <c r="N677">
        <v>15</v>
      </c>
      <c r="O677">
        <f>Supply_Chain[[#This Row],[Unit_Price]]*Supply_Chain[[#This Row],[Quantity]]</f>
        <v>605.1</v>
      </c>
      <c r="P677" t="s">
        <v>1993</v>
      </c>
      <c r="Q677" t="s">
        <v>86</v>
      </c>
      <c r="R677" t="s">
        <v>154</v>
      </c>
      <c r="S677" t="s">
        <v>37</v>
      </c>
      <c r="T677" t="s">
        <v>100</v>
      </c>
      <c r="U677" t="s">
        <v>223</v>
      </c>
      <c r="V677">
        <v>1330</v>
      </c>
      <c r="W677">
        <v>198</v>
      </c>
      <c r="X677">
        <v>15</v>
      </c>
      <c r="Y677">
        <v>1286.5899999999999</v>
      </c>
      <c r="Z677">
        <v>123.66</v>
      </c>
      <c r="AA677" s="9">
        <v>1410.25</v>
      </c>
      <c r="AB677" t="s">
        <v>52</v>
      </c>
      <c r="AC677">
        <v>0</v>
      </c>
      <c r="AD677">
        <v>77.61</v>
      </c>
      <c r="AE677">
        <v>195</v>
      </c>
      <c r="AF677">
        <v>159</v>
      </c>
      <c r="AG677" s="11">
        <f>Supply_Chain[[#This Row],[Total_Cost]]/Supply_Chain[[#This Row],[Stock_On_Hand]]</f>
        <v>1.0603383458646616</v>
      </c>
    </row>
    <row r="678" spans="1:33" x14ac:dyDescent="0.25">
      <c r="A678" t="s">
        <v>1994</v>
      </c>
      <c r="B678" t="s">
        <v>1995</v>
      </c>
      <c r="C678" s="1">
        <v>44991</v>
      </c>
      <c r="D678" s="1">
        <v>45234</v>
      </c>
      <c r="E678" t="s">
        <v>30</v>
      </c>
      <c r="F678" t="s">
        <v>75</v>
      </c>
      <c r="G678" t="s">
        <v>45</v>
      </c>
      <c r="H678" t="s">
        <v>46</v>
      </c>
      <c r="I678" s="3" t="s">
        <v>3103</v>
      </c>
      <c r="J678" s="3" t="s">
        <v>84</v>
      </c>
      <c r="K678" s="3" t="s">
        <v>3526</v>
      </c>
      <c r="L678" s="3" t="s">
        <v>3898</v>
      </c>
      <c r="M678">
        <v>10.039999999999999</v>
      </c>
      <c r="N678">
        <v>51</v>
      </c>
      <c r="O678">
        <f>Supply_Chain[[#This Row],[Unit_Price]]*Supply_Chain[[#This Row],[Quantity]]</f>
        <v>512.04</v>
      </c>
      <c r="P678" t="s">
        <v>710</v>
      </c>
      <c r="Q678" t="s">
        <v>48</v>
      </c>
      <c r="R678" t="s">
        <v>360</v>
      </c>
      <c r="S678" t="s">
        <v>119</v>
      </c>
      <c r="T678" t="s">
        <v>71</v>
      </c>
      <c r="U678" t="s">
        <v>215</v>
      </c>
      <c r="V678">
        <v>1153</v>
      </c>
      <c r="W678">
        <v>348</v>
      </c>
      <c r="X678">
        <v>10</v>
      </c>
      <c r="Y678">
        <v>1298.67</v>
      </c>
      <c r="Z678">
        <v>280.16000000000003</v>
      </c>
      <c r="AA678" s="9">
        <v>1578.83</v>
      </c>
      <c r="AB678" t="s">
        <v>52</v>
      </c>
      <c r="AC678">
        <v>0</v>
      </c>
      <c r="AD678">
        <v>85.9</v>
      </c>
      <c r="AE678">
        <v>282</v>
      </c>
      <c r="AF678">
        <v>280</v>
      </c>
      <c r="AG678" s="11">
        <f>Supply_Chain[[#This Row],[Total_Cost]]/Supply_Chain[[#This Row],[Stock_On_Hand]]</f>
        <v>1.3693235039028619</v>
      </c>
    </row>
    <row r="679" spans="1:33" x14ac:dyDescent="0.25">
      <c r="A679" t="s">
        <v>1996</v>
      </c>
      <c r="B679" t="s">
        <v>1997</v>
      </c>
      <c r="C679" s="1">
        <v>44181</v>
      </c>
      <c r="D679" s="1">
        <v>45575</v>
      </c>
      <c r="E679" t="s">
        <v>55</v>
      </c>
      <c r="F679" t="s">
        <v>44</v>
      </c>
      <c r="G679" t="s">
        <v>247</v>
      </c>
      <c r="H679" t="s">
        <v>57</v>
      </c>
      <c r="I679" s="3" t="s">
        <v>3294</v>
      </c>
      <c r="J679" s="3" t="s">
        <v>3518</v>
      </c>
      <c r="K679" s="3" t="s">
        <v>3522</v>
      </c>
      <c r="L679" s="3" t="s">
        <v>4083</v>
      </c>
      <c r="M679">
        <v>241.72</v>
      </c>
      <c r="N679">
        <v>35</v>
      </c>
      <c r="O679">
        <f>Supply_Chain[[#This Row],[Unit_Price]]*Supply_Chain[[#This Row],[Quantity]]</f>
        <v>8460.2000000000007</v>
      </c>
      <c r="P679" t="s">
        <v>1273</v>
      </c>
      <c r="Q679" t="s">
        <v>110</v>
      </c>
      <c r="R679" t="s">
        <v>377</v>
      </c>
      <c r="S679" t="s">
        <v>70</v>
      </c>
      <c r="T679" t="s">
        <v>60</v>
      </c>
      <c r="U679" t="s">
        <v>257</v>
      </c>
      <c r="V679">
        <v>149</v>
      </c>
      <c r="W679">
        <v>288</v>
      </c>
      <c r="X679">
        <v>4</v>
      </c>
      <c r="Y679">
        <v>1241.0999999999999</v>
      </c>
      <c r="Z679">
        <v>147.41999999999999</v>
      </c>
      <c r="AA679" s="9">
        <v>1388.52</v>
      </c>
      <c r="AB679" t="s">
        <v>52</v>
      </c>
      <c r="AC679">
        <v>0</v>
      </c>
      <c r="AD679">
        <v>89.31</v>
      </c>
      <c r="AE679">
        <v>368</v>
      </c>
      <c r="AF679">
        <v>380</v>
      </c>
      <c r="AG679" s="11">
        <f>Supply_Chain[[#This Row],[Total_Cost]]/Supply_Chain[[#This Row],[Stock_On_Hand]]</f>
        <v>9.3189261744966441</v>
      </c>
    </row>
    <row r="680" spans="1:33" x14ac:dyDescent="0.25">
      <c r="A680" t="s">
        <v>1998</v>
      </c>
      <c r="B680" t="s">
        <v>1999</v>
      </c>
      <c r="C680" s="1">
        <v>44660</v>
      </c>
      <c r="D680" s="1">
        <v>45342</v>
      </c>
      <c r="E680" t="s">
        <v>55</v>
      </c>
      <c r="F680" t="s">
        <v>44</v>
      </c>
      <c r="G680" t="s">
        <v>56</v>
      </c>
      <c r="H680" t="s">
        <v>166</v>
      </c>
      <c r="I680" s="3" t="s">
        <v>2828</v>
      </c>
      <c r="J680" s="3" t="s">
        <v>3518</v>
      </c>
      <c r="K680" s="3" t="s">
        <v>3522</v>
      </c>
      <c r="L680" s="3" t="s">
        <v>3627</v>
      </c>
      <c r="M680">
        <v>134.72</v>
      </c>
      <c r="N680">
        <v>66</v>
      </c>
      <c r="O680">
        <f>Supply_Chain[[#This Row],[Unit_Price]]*Supply_Chain[[#This Row],[Quantity]]</f>
        <v>8891.52</v>
      </c>
      <c r="P680" t="s">
        <v>812</v>
      </c>
      <c r="Q680" t="s">
        <v>110</v>
      </c>
      <c r="R680" t="s">
        <v>111</v>
      </c>
      <c r="S680" t="s">
        <v>119</v>
      </c>
      <c r="T680" t="s">
        <v>79</v>
      </c>
      <c r="U680" t="s">
        <v>619</v>
      </c>
      <c r="V680">
        <v>2111</v>
      </c>
      <c r="W680">
        <v>241</v>
      </c>
      <c r="X680">
        <v>17</v>
      </c>
      <c r="Y680">
        <v>518.37</v>
      </c>
      <c r="Z680">
        <v>327.12</v>
      </c>
      <c r="AA680" s="9">
        <v>845.49</v>
      </c>
      <c r="AB680" t="s">
        <v>52</v>
      </c>
      <c r="AC680">
        <v>0</v>
      </c>
      <c r="AD680">
        <v>84.41</v>
      </c>
      <c r="AE680">
        <v>364</v>
      </c>
      <c r="AF680">
        <v>363</v>
      </c>
      <c r="AG680" s="11">
        <f>Supply_Chain[[#This Row],[Total_Cost]]/Supply_Chain[[#This Row],[Stock_On_Hand]]</f>
        <v>0.40051634296541921</v>
      </c>
    </row>
    <row r="681" spans="1:33" x14ac:dyDescent="0.25">
      <c r="A681" t="s">
        <v>2000</v>
      </c>
      <c r="B681" t="s">
        <v>2001</v>
      </c>
      <c r="C681" s="1">
        <v>45258</v>
      </c>
      <c r="D681" s="1">
        <v>44097</v>
      </c>
      <c r="E681" t="s">
        <v>55</v>
      </c>
      <c r="F681" t="s">
        <v>75</v>
      </c>
      <c r="G681" t="s">
        <v>45</v>
      </c>
      <c r="H681" t="s">
        <v>46</v>
      </c>
      <c r="I681" s="3" t="s">
        <v>3295</v>
      </c>
      <c r="J681" s="3" t="s">
        <v>3518</v>
      </c>
      <c r="K681" s="3" t="s">
        <v>3527</v>
      </c>
      <c r="L681" s="3" t="s">
        <v>3623</v>
      </c>
      <c r="M681">
        <v>289.66000000000003</v>
      </c>
      <c r="N681">
        <v>85</v>
      </c>
      <c r="O681">
        <f>Supply_Chain[[#This Row],[Unit_Price]]*Supply_Chain[[#This Row],[Quantity]]</f>
        <v>24621.100000000002</v>
      </c>
      <c r="P681" t="s">
        <v>2002</v>
      </c>
      <c r="Q681" t="s">
        <v>110</v>
      </c>
      <c r="R681" t="s">
        <v>231</v>
      </c>
      <c r="S681" t="s">
        <v>50</v>
      </c>
      <c r="T681" t="s">
        <v>38</v>
      </c>
      <c r="U681" t="s">
        <v>101</v>
      </c>
      <c r="V681">
        <v>617</v>
      </c>
      <c r="W681">
        <v>96</v>
      </c>
      <c r="X681">
        <v>15</v>
      </c>
      <c r="Y681">
        <v>340.7</v>
      </c>
      <c r="Z681">
        <v>68.41</v>
      </c>
      <c r="AA681" s="9">
        <v>409.11</v>
      </c>
      <c r="AB681" t="s">
        <v>52</v>
      </c>
      <c r="AC681">
        <v>0</v>
      </c>
      <c r="AD681">
        <v>92.98</v>
      </c>
      <c r="AE681">
        <v>412</v>
      </c>
      <c r="AF681">
        <v>386</v>
      </c>
      <c r="AG681" s="11">
        <f>Supply_Chain[[#This Row],[Total_Cost]]/Supply_Chain[[#This Row],[Stock_On_Hand]]</f>
        <v>0.66306320907617511</v>
      </c>
    </row>
    <row r="682" spans="1:33" x14ac:dyDescent="0.25">
      <c r="A682" t="s">
        <v>2003</v>
      </c>
      <c r="B682" t="s">
        <v>2004</v>
      </c>
      <c r="C682" s="1">
        <v>44666</v>
      </c>
      <c r="D682" s="1">
        <v>44202</v>
      </c>
      <c r="E682" t="s">
        <v>55</v>
      </c>
      <c r="F682" t="s">
        <v>31</v>
      </c>
      <c r="G682" t="s">
        <v>56</v>
      </c>
      <c r="H682" t="s">
        <v>116</v>
      </c>
      <c r="I682" s="3" t="s">
        <v>3296</v>
      </c>
      <c r="J682" s="3" t="s">
        <v>3518</v>
      </c>
      <c r="K682" s="3" t="s">
        <v>3521</v>
      </c>
      <c r="L682" s="3" t="s">
        <v>4084</v>
      </c>
      <c r="M682">
        <v>458.84</v>
      </c>
      <c r="N682">
        <v>17</v>
      </c>
      <c r="O682">
        <f>Supply_Chain[[#This Row],[Unit_Price]]*Supply_Chain[[#This Row],[Quantity]]</f>
        <v>7800.28</v>
      </c>
      <c r="P682" t="s">
        <v>2005</v>
      </c>
      <c r="Q682" t="s">
        <v>35</v>
      </c>
      <c r="R682" t="s">
        <v>111</v>
      </c>
      <c r="S682" t="s">
        <v>50</v>
      </c>
      <c r="T682" t="s">
        <v>60</v>
      </c>
      <c r="U682" t="s">
        <v>619</v>
      </c>
      <c r="V682">
        <v>1149</v>
      </c>
      <c r="W682">
        <v>161</v>
      </c>
      <c r="X682">
        <v>22</v>
      </c>
      <c r="Y682">
        <v>824.68</v>
      </c>
      <c r="Z682">
        <v>475.25</v>
      </c>
      <c r="AA682" s="9">
        <v>1299.93</v>
      </c>
      <c r="AB682" t="s">
        <v>52</v>
      </c>
      <c r="AC682">
        <v>0</v>
      </c>
      <c r="AD682">
        <v>75</v>
      </c>
      <c r="AE682">
        <v>495</v>
      </c>
      <c r="AF682">
        <v>467</v>
      </c>
      <c r="AG682" s="11">
        <f>Supply_Chain[[#This Row],[Total_Cost]]/Supply_Chain[[#This Row],[Stock_On_Hand]]</f>
        <v>1.1313577023498695</v>
      </c>
    </row>
    <row r="683" spans="1:33" x14ac:dyDescent="0.25">
      <c r="A683" t="s">
        <v>2006</v>
      </c>
      <c r="B683" t="s">
        <v>2007</v>
      </c>
      <c r="C683" s="1">
        <v>45569</v>
      </c>
      <c r="D683" s="1">
        <v>44172</v>
      </c>
      <c r="E683" t="s">
        <v>55</v>
      </c>
      <c r="F683" t="s">
        <v>75</v>
      </c>
      <c r="G683" t="s">
        <v>65</v>
      </c>
      <c r="H683" t="s">
        <v>128</v>
      </c>
      <c r="I683" s="3" t="s">
        <v>3297</v>
      </c>
      <c r="J683" s="3" t="s">
        <v>3518</v>
      </c>
      <c r="K683" s="3" t="s">
        <v>3521</v>
      </c>
      <c r="L683" s="3" t="s">
        <v>4085</v>
      </c>
      <c r="M683">
        <v>231.96</v>
      </c>
      <c r="N683">
        <v>90</v>
      </c>
      <c r="O683">
        <f>Supply_Chain[[#This Row],[Unit_Price]]*Supply_Chain[[#This Row],[Quantity]]</f>
        <v>20876.400000000001</v>
      </c>
      <c r="P683" t="s">
        <v>412</v>
      </c>
      <c r="Q683" t="s">
        <v>48</v>
      </c>
      <c r="R683" t="s">
        <v>323</v>
      </c>
      <c r="S683" t="s">
        <v>37</v>
      </c>
      <c r="T683" t="s">
        <v>71</v>
      </c>
      <c r="U683" t="s">
        <v>80</v>
      </c>
      <c r="V683">
        <v>2695</v>
      </c>
      <c r="W683">
        <v>240</v>
      </c>
      <c r="X683">
        <v>25</v>
      </c>
      <c r="Y683">
        <v>1011.7</v>
      </c>
      <c r="Z683">
        <v>339.39</v>
      </c>
      <c r="AA683" s="9">
        <v>1351.09</v>
      </c>
      <c r="AB683" t="s">
        <v>52</v>
      </c>
      <c r="AC683">
        <v>0</v>
      </c>
      <c r="AD683">
        <v>83.94</v>
      </c>
      <c r="AE683">
        <v>243</v>
      </c>
      <c r="AF683">
        <v>222</v>
      </c>
      <c r="AG683" s="11">
        <f>Supply_Chain[[#This Row],[Total_Cost]]/Supply_Chain[[#This Row],[Stock_On_Hand]]</f>
        <v>0.50133209647495358</v>
      </c>
    </row>
    <row r="684" spans="1:33" x14ac:dyDescent="0.25">
      <c r="A684" t="s">
        <v>2008</v>
      </c>
      <c r="B684" t="s">
        <v>623</v>
      </c>
      <c r="C684" s="1">
        <v>44678</v>
      </c>
      <c r="D684" s="1">
        <v>45301</v>
      </c>
      <c r="E684" t="s">
        <v>55</v>
      </c>
      <c r="F684" t="s">
        <v>115</v>
      </c>
      <c r="G684" t="s">
        <v>91</v>
      </c>
      <c r="H684" t="s">
        <v>166</v>
      </c>
      <c r="I684" s="3" t="s">
        <v>3298</v>
      </c>
      <c r="J684" s="3" t="s">
        <v>3518</v>
      </c>
      <c r="K684" s="3" t="s">
        <v>3525</v>
      </c>
      <c r="L684" s="3" t="s">
        <v>4086</v>
      </c>
      <c r="M684">
        <v>122.06</v>
      </c>
      <c r="N684">
        <v>45</v>
      </c>
      <c r="O684">
        <f>Supply_Chain[[#This Row],[Unit_Price]]*Supply_Chain[[#This Row],[Quantity]]</f>
        <v>5492.7</v>
      </c>
      <c r="P684" t="s">
        <v>2009</v>
      </c>
      <c r="Q684" t="s">
        <v>48</v>
      </c>
      <c r="R684" t="s">
        <v>323</v>
      </c>
      <c r="S684" t="s">
        <v>70</v>
      </c>
      <c r="T684" t="s">
        <v>38</v>
      </c>
      <c r="U684" t="s">
        <v>95</v>
      </c>
      <c r="V684">
        <v>1933</v>
      </c>
      <c r="W684">
        <v>457</v>
      </c>
      <c r="X684">
        <v>18</v>
      </c>
      <c r="Y684">
        <v>1001.18</v>
      </c>
      <c r="Z684">
        <v>75.69</v>
      </c>
      <c r="AA684" s="9">
        <v>1076.8699999999999</v>
      </c>
      <c r="AB684" t="s">
        <v>52</v>
      </c>
      <c r="AC684">
        <v>0</v>
      </c>
      <c r="AD684">
        <v>79.180000000000007</v>
      </c>
      <c r="AE684">
        <v>240</v>
      </c>
      <c r="AF684">
        <v>205</v>
      </c>
      <c r="AG684" s="11">
        <f>Supply_Chain[[#This Row],[Total_Cost]]/Supply_Chain[[#This Row],[Stock_On_Hand]]</f>
        <v>0.55709777547853068</v>
      </c>
    </row>
    <row r="685" spans="1:33" x14ac:dyDescent="0.25">
      <c r="A685" t="s">
        <v>2010</v>
      </c>
      <c r="B685" t="s">
        <v>2011</v>
      </c>
      <c r="C685" s="1">
        <v>44763</v>
      </c>
      <c r="D685" s="1">
        <v>45523</v>
      </c>
      <c r="E685" t="s">
        <v>55</v>
      </c>
      <c r="F685" t="s">
        <v>64</v>
      </c>
      <c r="G685" t="s">
        <v>83</v>
      </c>
      <c r="H685" t="s">
        <v>166</v>
      </c>
      <c r="I685" s="3" t="s">
        <v>3299</v>
      </c>
      <c r="J685" s="3" t="s">
        <v>3518</v>
      </c>
      <c r="K685" s="3" t="s">
        <v>3522</v>
      </c>
      <c r="L685" s="3" t="s">
        <v>4087</v>
      </c>
      <c r="M685">
        <v>357.66</v>
      </c>
      <c r="N685">
        <v>88</v>
      </c>
      <c r="O685">
        <f>Supply_Chain[[#This Row],[Unit_Price]]*Supply_Chain[[#This Row],[Quantity]]</f>
        <v>31474.080000000002</v>
      </c>
      <c r="P685" t="s">
        <v>1288</v>
      </c>
      <c r="Q685" t="s">
        <v>68</v>
      </c>
      <c r="R685" t="s">
        <v>653</v>
      </c>
      <c r="S685" t="s">
        <v>50</v>
      </c>
      <c r="T685" t="s">
        <v>71</v>
      </c>
      <c r="U685" t="s">
        <v>291</v>
      </c>
      <c r="V685">
        <v>4334</v>
      </c>
      <c r="W685">
        <v>459</v>
      </c>
      <c r="X685">
        <v>8</v>
      </c>
      <c r="Y685">
        <v>1230.2</v>
      </c>
      <c r="Z685">
        <v>145.69999999999999</v>
      </c>
      <c r="AA685" s="9">
        <v>1375.9</v>
      </c>
      <c r="AB685" t="s">
        <v>52</v>
      </c>
      <c r="AC685">
        <v>0</v>
      </c>
      <c r="AD685">
        <v>94.28</v>
      </c>
      <c r="AE685">
        <v>186</v>
      </c>
      <c r="AF685">
        <v>216</v>
      </c>
      <c r="AG685" s="11">
        <f>Supply_Chain[[#This Row],[Total_Cost]]/Supply_Chain[[#This Row],[Stock_On_Hand]]</f>
        <v>0.3174665436086756</v>
      </c>
    </row>
    <row r="686" spans="1:33" x14ac:dyDescent="0.25">
      <c r="A686" t="s">
        <v>2012</v>
      </c>
      <c r="B686" t="s">
        <v>2013</v>
      </c>
      <c r="C686" s="1">
        <v>44310</v>
      </c>
      <c r="D686" s="1">
        <v>45150</v>
      </c>
      <c r="E686" t="s">
        <v>43</v>
      </c>
      <c r="F686" t="s">
        <v>44</v>
      </c>
      <c r="G686" t="s">
        <v>32</v>
      </c>
      <c r="H686" t="s">
        <v>128</v>
      </c>
      <c r="I686" s="3" t="s">
        <v>3300</v>
      </c>
      <c r="J686" s="3" t="s">
        <v>3518</v>
      </c>
      <c r="K686" s="3" t="s">
        <v>3525</v>
      </c>
      <c r="L686" s="3" t="s">
        <v>4088</v>
      </c>
      <c r="M686">
        <v>355.08</v>
      </c>
      <c r="N686">
        <v>6</v>
      </c>
      <c r="O686">
        <f>Supply_Chain[[#This Row],[Unit_Price]]*Supply_Chain[[#This Row],[Quantity]]</f>
        <v>2130.48</v>
      </c>
      <c r="P686" t="s">
        <v>2014</v>
      </c>
      <c r="Q686" t="s">
        <v>35</v>
      </c>
      <c r="R686" t="s">
        <v>111</v>
      </c>
      <c r="S686" t="s">
        <v>70</v>
      </c>
      <c r="T686" t="s">
        <v>79</v>
      </c>
      <c r="U686" t="s">
        <v>691</v>
      </c>
      <c r="V686">
        <v>4788</v>
      </c>
      <c r="W686">
        <v>167</v>
      </c>
      <c r="X686">
        <v>28</v>
      </c>
      <c r="Y686">
        <v>97.83</v>
      </c>
      <c r="Z686">
        <v>95.62</v>
      </c>
      <c r="AA686" s="9">
        <v>193.45</v>
      </c>
      <c r="AB686" t="s">
        <v>52</v>
      </c>
      <c r="AC686">
        <v>0</v>
      </c>
      <c r="AD686">
        <v>93.93</v>
      </c>
      <c r="AE686">
        <v>293</v>
      </c>
      <c r="AF686">
        <v>276</v>
      </c>
      <c r="AG686" s="11">
        <f>Supply_Chain[[#This Row],[Total_Cost]]/Supply_Chain[[#This Row],[Stock_On_Hand]]</f>
        <v>4.0403091060985795E-2</v>
      </c>
    </row>
    <row r="687" spans="1:33" x14ac:dyDescent="0.25">
      <c r="A687" t="s">
        <v>2015</v>
      </c>
      <c r="B687" t="s">
        <v>2016</v>
      </c>
      <c r="C687" s="1">
        <v>45265</v>
      </c>
      <c r="D687" s="1">
        <v>44989</v>
      </c>
      <c r="E687" t="s">
        <v>30</v>
      </c>
      <c r="F687" t="s">
        <v>115</v>
      </c>
      <c r="G687" t="s">
        <v>32</v>
      </c>
      <c r="H687" t="s">
        <v>57</v>
      </c>
      <c r="I687" s="3" t="s">
        <v>2880</v>
      </c>
      <c r="J687" s="3" t="s">
        <v>3518</v>
      </c>
      <c r="K687" s="3" t="s">
        <v>3525</v>
      </c>
      <c r="L687" s="3" t="s">
        <v>3679</v>
      </c>
      <c r="M687">
        <v>412.51</v>
      </c>
      <c r="N687">
        <v>37</v>
      </c>
      <c r="O687">
        <f>Supply_Chain[[#This Row],[Unit_Price]]*Supply_Chain[[#This Row],[Quantity]]</f>
        <v>15262.869999999999</v>
      </c>
      <c r="P687" t="s">
        <v>541</v>
      </c>
      <c r="Q687" t="s">
        <v>35</v>
      </c>
      <c r="R687" t="s">
        <v>264</v>
      </c>
      <c r="S687" t="s">
        <v>50</v>
      </c>
      <c r="T687" t="s">
        <v>38</v>
      </c>
      <c r="U687" t="s">
        <v>191</v>
      </c>
      <c r="V687">
        <v>1360</v>
      </c>
      <c r="W687">
        <v>395</v>
      </c>
      <c r="X687">
        <v>20</v>
      </c>
      <c r="Y687">
        <v>1179.82</v>
      </c>
      <c r="Z687">
        <v>122.48</v>
      </c>
      <c r="AA687" s="9">
        <v>1302.3</v>
      </c>
      <c r="AB687" t="s">
        <v>52</v>
      </c>
      <c r="AC687">
        <v>0</v>
      </c>
      <c r="AD687">
        <v>77.959999999999994</v>
      </c>
      <c r="AE687">
        <v>488</v>
      </c>
      <c r="AF687">
        <v>531</v>
      </c>
      <c r="AG687" s="11">
        <f>Supply_Chain[[#This Row],[Total_Cost]]/Supply_Chain[[#This Row],[Stock_On_Hand]]</f>
        <v>0.95757352941176466</v>
      </c>
    </row>
    <row r="688" spans="1:33" x14ac:dyDescent="0.25">
      <c r="A688" t="s">
        <v>2017</v>
      </c>
      <c r="B688" t="s">
        <v>2018</v>
      </c>
      <c r="C688" s="1">
        <v>44088</v>
      </c>
      <c r="D688" s="1">
        <v>45343</v>
      </c>
      <c r="E688" t="s">
        <v>55</v>
      </c>
      <c r="F688" t="s">
        <v>31</v>
      </c>
      <c r="G688" t="s">
        <v>32</v>
      </c>
      <c r="H688" t="s">
        <v>92</v>
      </c>
      <c r="I688" s="3" t="s">
        <v>3301</v>
      </c>
      <c r="J688" s="3" t="s">
        <v>3518</v>
      </c>
      <c r="K688" s="3" t="s">
        <v>3525</v>
      </c>
      <c r="L688" s="3" t="s">
        <v>4089</v>
      </c>
      <c r="M688">
        <v>319.37</v>
      </c>
      <c r="N688">
        <v>96</v>
      </c>
      <c r="O688">
        <f>Supply_Chain[[#This Row],[Unit_Price]]*Supply_Chain[[#This Row],[Quantity]]</f>
        <v>30659.52</v>
      </c>
      <c r="P688" t="s">
        <v>644</v>
      </c>
      <c r="Q688" t="s">
        <v>110</v>
      </c>
      <c r="R688" t="s">
        <v>306</v>
      </c>
      <c r="S688" t="s">
        <v>119</v>
      </c>
      <c r="T688" t="s">
        <v>38</v>
      </c>
      <c r="U688" t="s">
        <v>219</v>
      </c>
      <c r="V688">
        <v>3102</v>
      </c>
      <c r="W688">
        <v>447</v>
      </c>
      <c r="X688">
        <v>11</v>
      </c>
      <c r="Y688">
        <v>635.20000000000005</v>
      </c>
      <c r="Z688">
        <v>98.26</v>
      </c>
      <c r="AA688" s="9">
        <v>733.46</v>
      </c>
      <c r="AB688" t="s">
        <v>52</v>
      </c>
      <c r="AC688">
        <v>0</v>
      </c>
      <c r="AD688">
        <v>70.02</v>
      </c>
      <c r="AE688">
        <v>297</v>
      </c>
      <c r="AF688">
        <v>308</v>
      </c>
      <c r="AG688" s="11">
        <f>Supply_Chain[[#This Row],[Total_Cost]]/Supply_Chain[[#This Row],[Stock_On_Hand]]</f>
        <v>0.23644745325596392</v>
      </c>
    </row>
    <row r="689" spans="1:33" x14ac:dyDescent="0.25">
      <c r="A689" t="s">
        <v>2019</v>
      </c>
      <c r="B689" t="s">
        <v>2020</v>
      </c>
      <c r="C689" s="1">
        <v>43847</v>
      </c>
      <c r="D689" s="1">
        <v>45146</v>
      </c>
      <c r="E689" t="s">
        <v>43</v>
      </c>
      <c r="F689" t="s">
        <v>115</v>
      </c>
      <c r="G689" t="s">
        <v>32</v>
      </c>
      <c r="H689" t="s">
        <v>166</v>
      </c>
      <c r="I689" s="3" t="s">
        <v>3302</v>
      </c>
      <c r="J689" s="3" t="s">
        <v>3518</v>
      </c>
      <c r="K689" s="3" t="s">
        <v>3522</v>
      </c>
      <c r="L689" s="3" t="s">
        <v>4090</v>
      </c>
      <c r="M689">
        <v>140.46</v>
      </c>
      <c r="N689">
        <v>59</v>
      </c>
      <c r="O689">
        <f>Supply_Chain[[#This Row],[Unit_Price]]*Supply_Chain[[#This Row],[Quantity]]</f>
        <v>8287.1400000000012</v>
      </c>
      <c r="P689" t="s">
        <v>505</v>
      </c>
      <c r="Q689" t="s">
        <v>35</v>
      </c>
      <c r="R689" t="s">
        <v>130</v>
      </c>
      <c r="S689" t="s">
        <v>70</v>
      </c>
      <c r="T689" t="s">
        <v>38</v>
      </c>
      <c r="U689" t="s">
        <v>112</v>
      </c>
      <c r="V689">
        <v>2150</v>
      </c>
      <c r="W689">
        <v>351</v>
      </c>
      <c r="X689">
        <v>28</v>
      </c>
      <c r="Y689">
        <v>56.14</v>
      </c>
      <c r="Z689">
        <v>237.94</v>
      </c>
      <c r="AA689" s="9">
        <v>294.08</v>
      </c>
      <c r="AB689" t="s">
        <v>52</v>
      </c>
      <c r="AC689">
        <v>0</v>
      </c>
      <c r="AD689">
        <v>87.74</v>
      </c>
      <c r="AE689">
        <v>322</v>
      </c>
      <c r="AF689">
        <v>353</v>
      </c>
      <c r="AG689" s="11">
        <f>Supply_Chain[[#This Row],[Total_Cost]]/Supply_Chain[[#This Row],[Stock_On_Hand]]</f>
        <v>0.13678139534883721</v>
      </c>
    </row>
    <row r="690" spans="1:33" x14ac:dyDescent="0.25">
      <c r="A690" t="s">
        <v>2021</v>
      </c>
      <c r="B690" t="s">
        <v>2022</v>
      </c>
      <c r="C690" s="1">
        <v>45164</v>
      </c>
      <c r="D690" s="1">
        <v>45589</v>
      </c>
      <c r="E690" t="s">
        <v>55</v>
      </c>
      <c r="F690" t="s">
        <v>64</v>
      </c>
      <c r="G690" t="s">
        <v>32</v>
      </c>
      <c r="H690" t="s">
        <v>116</v>
      </c>
      <c r="I690" s="3" t="s">
        <v>3303</v>
      </c>
      <c r="J690" s="3" t="s">
        <v>3518</v>
      </c>
      <c r="K690" s="3" t="s">
        <v>3522</v>
      </c>
      <c r="L690" s="3" t="s">
        <v>4091</v>
      </c>
      <c r="M690">
        <v>93.55</v>
      </c>
      <c r="N690">
        <v>84</v>
      </c>
      <c r="O690">
        <f>Supply_Chain[[#This Row],[Unit_Price]]*Supply_Chain[[#This Row],[Quantity]]</f>
        <v>7858.2</v>
      </c>
      <c r="P690" t="s">
        <v>343</v>
      </c>
      <c r="Q690" t="s">
        <v>110</v>
      </c>
      <c r="R690" t="s">
        <v>130</v>
      </c>
      <c r="S690" t="s">
        <v>50</v>
      </c>
      <c r="T690" t="s">
        <v>100</v>
      </c>
      <c r="U690" t="s">
        <v>389</v>
      </c>
      <c r="V690">
        <v>2138</v>
      </c>
      <c r="W690">
        <v>343</v>
      </c>
      <c r="X690">
        <v>12</v>
      </c>
      <c r="Y690">
        <v>717.52</v>
      </c>
      <c r="Z690">
        <v>341.98</v>
      </c>
      <c r="AA690" s="9">
        <v>1059.5</v>
      </c>
      <c r="AB690" t="s">
        <v>40</v>
      </c>
      <c r="AC690">
        <v>5</v>
      </c>
      <c r="AD690">
        <v>98.1</v>
      </c>
      <c r="AE690">
        <v>379</v>
      </c>
      <c r="AF690">
        <v>397</v>
      </c>
      <c r="AG690" s="11">
        <f>Supply_Chain[[#This Row],[Total_Cost]]/Supply_Chain[[#This Row],[Stock_On_Hand]]</f>
        <v>0.49555659494855003</v>
      </c>
    </row>
    <row r="691" spans="1:33" x14ac:dyDescent="0.25">
      <c r="A691" t="s">
        <v>2023</v>
      </c>
      <c r="B691" t="s">
        <v>2024</v>
      </c>
      <c r="C691" s="1">
        <v>44189</v>
      </c>
      <c r="D691" s="1">
        <v>44212</v>
      </c>
      <c r="E691" t="s">
        <v>43</v>
      </c>
      <c r="F691" t="s">
        <v>44</v>
      </c>
      <c r="G691" t="s">
        <v>91</v>
      </c>
      <c r="H691" t="s">
        <v>166</v>
      </c>
      <c r="I691" s="3" t="s">
        <v>3148</v>
      </c>
      <c r="J691" s="3" t="s">
        <v>3518</v>
      </c>
      <c r="K691" s="3" t="s">
        <v>3527</v>
      </c>
      <c r="L691" s="3" t="s">
        <v>3623</v>
      </c>
      <c r="M691">
        <v>285.3</v>
      </c>
      <c r="N691">
        <v>68</v>
      </c>
      <c r="O691">
        <f>Supply_Chain[[#This Row],[Unit_Price]]*Supply_Chain[[#This Row],[Quantity]]</f>
        <v>19400.400000000001</v>
      </c>
      <c r="P691" t="s">
        <v>1211</v>
      </c>
      <c r="Q691" t="s">
        <v>48</v>
      </c>
      <c r="R691" t="s">
        <v>59</v>
      </c>
      <c r="S691" t="s">
        <v>50</v>
      </c>
      <c r="T691" t="s">
        <v>79</v>
      </c>
      <c r="U691" t="s">
        <v>203</v>
      </c>
      <c r="V691">
        <v>1417</v>
      </c>
      <c r="W691">
        <v>181</v>
      </c>
      <c r="X691">
        <v>23</v>
      </c>
      <c r="Y691">
        <v>541.85</v>
      </c>
      <c r="Z691">
        <v>62.25</v>
      </c>
      <c r="AA691" s="9">
        <v>604.1</v>
      </c>
      <c r="AB691" t="s">
        <v>52</v>
      </c>
      <c r="AC691">
        <v>0</v>
      </c>
      <c r="AD691">
        <v>88.8</v>
      </c>
      <c r="AE691">
        <v>324</v>
      </c>
      <c r="AF691">
        <v>350</v>
      </c>
      <c r="AG691" s="11">
        <f>Supply_Chain[[#This Row],[Total_Cost]]/Supply_Chain[[#This Row],[Stock_On_Hand]]</f>
        <v>0.42632321806633733</v>
      </c>
    </row>
    <row r="692" spans="1:33" x14ac:dyDescent="0.25">
      <c r="A692" t="s">
        <v>2025</v>
      </c>
      <c r="B692" t="s">
        <v>2026</v>
      </c>
      <c r="C692" s="1">
        <v>44204</v>
      </c>
      <c r="D692" s="1">
        <v>44435</v>
      </c>
      <c r="E692" t="s">
        <v>55</v>
      </c>
      <c r="F692" t="s">
        <v>64</v>
      </c>
      <c r="G692" t="s">
        <v>76</v>
      </c>
      <c r="H692" t="s">
        <v>166</v>
      </c>
      <c r="I692" s="3" t="s">
        <v>3304</v>
      </c>
      <c r="J692" s="3" t="s">
        <v>3518</v>
      </c>
      <c r="K692" s="3" t="s">
        <v>3521</v>
      </c>
      <c r="L692" s="3" t="s">
        <v>4092</v>
      </c>
      <c r="M692">
        <v>343.43</v>
      </c>
      <c r="N692">
        <v>43</v>
      </c>
      <c r="O692">
        <f>Supply_Chain[[#This Row],[Unit_Price]]*Supply_Chain[[#This Row],[Quantity]]</f>
        <v>14767.49</v>
      </c>
      <c r="P692" t="s">
        <v>878</v>
      </c>
      <c r="Q692" t="s">
        <v>48</v>
      </c>
      <c r="R692" t="s">
        <v>87</v>
      </c>
      <c r="S692" t="s">
        <v>119</v>
      </c>
      <c r="T692" t="s">
        <v>79</v>
      </c>
      <c r="U692" t="s">
        <v>331</v>
      </c>
      <c r="V692">
        <v>2803</v>
      </c>
      <c r="W692">
        <v>89</v>
      </c>
      <c r="X692">
        <v>29</v>
      </c>
      <c r="Y692">
        <v>785.64</v>
      </c>
      <c r="Z692">
        <v>332.78</v>
      </c>
      <c r="AA692" s="9">
        <v>1118.42</v>
      </c>
      <c r="AB692" t="s">
        <v>52</v>
      </c>
      <c r="AC692">
        <v>0</v>
      </c>
      <c r="AD692">
        <v>72.790000000000006</v>
      </c>
      <c r="AE692">
        <v>113</v>
      </c>
      <c r="AF692">
        <v>131</v>
      </c>
      <c r="AG692" s="11">
        <f>Supply_Chain[[#This Row],[Total_Cost]]/Supply_Chain[[#This Row],[Stock_On_Hand]]</f>
        <v>0.39900820549411348</v>
      </c>
    </row>
    <row r="693" spans="1:33" x14ac:dyDescent="0.25">
      <c r="A693" t="s">
        <v>2027</v>
      </c>
      <c r="B693" t="s">
        <v>2028</v>
      </c>
      <c r="C693" s="1">
        <v>44430</v>
      </c>
      <c r="D693" s="1">
        <v>45653</v>
      </c>
      <c r="E693" t="s">
        <v>55</v>
      </c>
      <c r="F693" t="s">
        <v>31</v>
      </c>
      <c r="G693" t="s">
        <v>247</v>
      </c>
      <c r="H693" t="s">
        <v>116</v>
      </c>
      <c r="I693" s="3" t="s">
        <v>2750</v>
      </c>
      <c r="J693" s="3" t="s">
        <v>3518</v>
      </c>
      <c r="K693" s="3" t="s">
        <v>3521</v>
      </c>
      <c r="L693" s="3" t="s">
        <v>3550</v>
      </c>
      <c r="M693">
        <v>424.16</v>
      </c>
      <c r="N693">
        <v>17</v>
      </c>
      <c r="O693">
        <f>Supply_Chain[[#This Row],[Unit_Price]]*Supply_Chain[[#This Row],[Quantity]]</f>
        <v>7210.72</v>
      </c>
      <c r="P693" t="s">
        <v>2029</v>
      </c>
      <c r="Q693" t="s">
        <v>68</v>
      </c>
      <c r="R693" t="s">
        <v>162</v>
      </c>
      <c r="S693" t="s">
        <v>50</v>
      </c>
      <c r="T693" t="s">
        <v>71</v>
      </c>
      <c r="U693" t="s">
        <v>155</v>
      </c>
      <c r="V693">
        <v>3035</v>
      </c>
      <c r="W693">
        <v>455</v>
      </c>
      <c r="X693">
        <v>27</v>
      </c>
      <c r="Y693">
        <v>521.45000000000005</v>
      </c>
      <c r="Z693">
        <v>460.31</v>
      </c>
      <c r="AA693" s="9">
        <v>981.76</v>
      </c>
      <c r="AB693" t="s">
        <v>52</v>
      </c>
      <c r="AC693">
        <v>0</v>
      </c>
      <c r="AD693">
        <v>92.95</v>
      </c>
      <c r="AE693">
        <v>70</v>
      </c>
      <c r="AF693">
        <v>83</v>
      </c>
      <c r="AG693" s="11">
        <f>Supply_Chain[[#This Row],[Total_Cost]]/Supply_Chain[[#This Row],[Stock_On_Hand]]</f>
        <v>0.32347940691927513</v>
      </c>
    </row>
    <row r="694" spans="1:33" x14ac:dyDescent="0.25">
      <c r="A694" t="s">
        <v>2030</v>
      </c>
      <c r="B694" t="s">
        <v>2031</v>
      </c>
      <c r="C694" s="1">
        <v>44855</v>
      </c>
      <c r="D694" s="1">
        <v>44835</v>
      </c>
      <c r="E694" t="s">
        <v>55</v>
      </c>
      <c r="F694" t="s">
        <v>31</v>
      </c>
      <c r="G694" t="s">
        <v>247</v>
      </c>
      <c r="H694" t="s">
        <v>46</v>
      </c>
      <c r="I694" s="3" t="s">
        <v>3305</v>
      </c>
      <c r="J694" s="3" t="s">
        <v>3518</v>
      </c>
      <c r="K694" s="3" t="s">
        <v>3522</v>
      </c>
      <c r="L694" s="3" t="s">
        <v>4093</v>
      </c>
      <c r="M694">
        <v>38.67</v>
      </c>
      <c r="N694">
        <v>54</v>
      </c>
      <c r="O694">
        <f>Supply_Chain[[#This Row],[Unit_Price]]*Supply_Chain[[#This Row],[Quantity]]</f>
        <v>2088.1800000000003</v>
      </c>
      <c r="P694" t="s">
        <v>1679</v>
      </c>
      <c r="Q694" t="s">
        <v>68</v>
      </c>
      <c r="R694" t="s">
        <v>145</v>
      </c>
      <c r="S694" t="s">
        <v>37</v>
      </c>
      <c r="T694" t="s">
        <v>79</v>
      </c>
      <c r="U694" t="s">
        <v>257</v>
      </c>
      <c r="V694">
        <v>192</v>
      </c>
      <c r="W694">
        <v>188</v>
      </c>
      <c r="X694">
        <v>11</v>
      </c>
      <c r="Y694">
        <v>614.74</v>
      </c>
      <c r="Z694">
        <v>460.63</v>
      </c>
      <c r="AA694" s="9">
        <v>1075.3699999999999</v>
      </c>
      <c r="AB694" t="s">
        <v>52</v>
      </c>
      <c r="AC694">
        <v>0</v>
      </c>
      <c r="AD694">
        <v>98.82</v>
      </c>
      <c r="AE694">
        <v>333</v>
      </c>
      <c r="AF694">
        <v>382</v>
      </c>
      <c r="AG694" s="11">
        <f>Supply_Chain[[#This Row],[Total_Cost]]/Supply_Chain[[#This Row],[Stock_On_Hand]]</f>
        <v>5.6008854166666664</v>
      </c>
    </row>
    <row r="695" spans="1:33" x14ac:dyDescent="0.25">
      <c r="A695" t="s">
        <v>2032</v>
      </c>
      <c r="B695" t="s">
        <v>2033</v>
      </c>
      <c r="C695" s="1">
        <v>44485</v>
      </c>
      <c r="D695" s="1">
        <v>44296</v>
      </c>
      <c r="E695" t="s">
        <v>55</v>
      </c>
      <c r="F695" t="s">
        <v>64</v>
      </c>
      <c r="G695" t="s">
        <v>91</v>
      </c>
      <c r="H695" t="s">
        <v>116</v>
      </c>
      <c r="I695" s="3" t="s">
        <v>3306</v>
      </c>
      <c r="J695" s="3" t="s">
        <v>3518</v>
      </c>
      <c r="K695" s="3" t="s">
        <v>3522</v>
      </c>
      <c r="L695" s="3" t="s">
        <v>4094</v>
      </c>
      <c r="M695">
        <v>278.05</v>
      </c>
      <c r="N695">
        <v>29</v>
      </c>
      <c r="O695">
        <f>Supply_Chain[[#This Row],[Unit_Price]]*Supply_Chain[[#This Row],[Quantity]]</f>
        <v>8063.4500000000007</v>
      </c>
      <c r="P695" t="s">
        <v>950</v>
      </c>
      <c r="Q695" t="s">
        <v>110</v>
      </c>
      <c r="R695" t="s">
        <v>176</v>
      </c>
      <c r="S695" t="s">
        <v>119</v>
      </c>
      <c r="T695" t="s">
        <v>60</v>
      </c>
      <c r="U695" t="s">
        <v>440</v>
      </c>
      <c r="V695">
        <v>3021</v>
      </c>
      <c r="W695">
        <v>358</v>
      </c>
      <c r="X695">
        <v>17</v>
      </c>
      <c r="Y695">
        <v>247.57</v>
      </c>
      <c r="Z695">
        <v>250.13</v>
      </c>
      <c r="AA695" s="9">
        <v>497.7</v>
      </c>
      <c r="AB695" t="s">
        <v>52</v>
      </c>
      <c r="AC695">
        <v>0</v>
      </c>
      <c r="AD695">
        <v>74.709999999999994</v>
      </c>
      <c r="AE695">
        <v>211</v>
      </c>
      <c r="AF695">
        <v>238</v>
      </c>
      <c r="AG695" s="11">
        <f>Supply_Chain[[#This Row],[Total_Cost]]/Supply_Chain[[#This Row],[Stock_On_Hand]]</f>
        <v>0.16474677259185699</v>
      </c>
    </row>
    <row r="696" spans="1:33" x14ac:dyDescent="0.25">
      <c r="A696" t="s">
        <v>2034</v>
      </c>
      <c r="B696" t="s">
        <v>2035</v>
      </c>
      <c r="C696" s="1">
        <v>44338</v>
      </c>
      <c r="D696" s="1">
        <v>44838</v>
      </c>
      <c r="E696" t="s">
        <v>55</v>
      </c>
      <c r="F696" t="s">
        <v>75</v>
      </c>
      <c r="G696" t="s">
        <v>247</v>
      </c>
      <c r="H696" t="s">
        <v>57</v>
      </c>
      <c r="I696" s="3" t="s">
        <v>3307</v>
      </c>
      <c r="J696" s="3" t="s">
        <v>3519</v>
      </c>
      <c r="K696" s="3" t="s">
        <v>3528</v>
      </c>
      <c r="L696" s="3" t="s">
        <v>4095</v>
      </c>
      <c r="M696">
        <v>385.4</v>
      </c>
      <c r="N696">
        <v>57</v>
      </c>
      <c r="O696">
        <f>Supply_Chain[[#This Row],[Unit_Price]]*Supply_Chain[[#This Row],[Quantity]]</f>
        <v>21967.8</v>
      </c>
      <c r="P696" t="s">
        <v>2036</v>
      </c>
      <c r="Q696" t="s">
        <v>48</v>
      </c>
      <c r="R696" t="s">
        <v>181</v>
      </c>
      <c r="S696" t="s">
        <v>119</v>
      </c>
      <c r="T696" t="s">
        <v>100</v>
      </c>
      <c r="U696" t="s">
        <v>440</v>
      </c>
      <c r="V696">
        <v>751</v>
      </c>
      <c r="W696">
        <v>102</v>
      </c>
      <c r="X696">
        <v>4</v>
      </c>
      <c r="Y696">
        <v>1987.37</v>
      </c>
      <c r="Z696">
        <v>384.01</v>
      </c>
      <c r="AA696" s="9">
        <v>2371.38</v>
      </c>
      <c r="AB696" t="s">
        <v>52</v>
      </c>
      <c r="AC696">
        <v>0</v>
      </c>
      <c r="AD696">
        <v>78.540000000000006</v>
      </c>
      <c r="AE696">
        <v>295</v>
      </c>
      <c r="AF696">
        <v>327</v>
      </c>
      <c r="AG696" s="11">
        <f>Supply_Chain[[#This Row],[Total_Cost]]/Supply_Chain[[#This Row],[Stock_On_Hand]]</f>
        <v>3.1576298268974701</v>
      </c>
    </row>
    <row r="697" spans="1:33" x14ac:dyDescent="0.25">
      <c r="A697" t="s">
        <v>2037</v>
      </c>
      <c r="B697" t="s">
        <v>2038</v>
      </c>
      <c r="C697" s="1">
        <v>45150</v>
      </c>
      <c r="D697" s="1">
        <v>45181</v>
      </c>
      <c r="E697" t="s">
        <v>55</v>
      </c>
      <c r="F697" t="s">
        <v>31</v>
      </c>
      <c r="G697" t="s">
        <v>247</v>
      </c>
      <c r="H697" t="s">
        <v>116</v>
      </c>
      <c r="I697" s="3" t="s">
        <v>3133</v>
      </c>
      <c r="J697" s="3" t="s">
        <v>3518</v>
      </c>
      <c r="K697" s="3" t="s">
        <v>3525</v>
      </c>
      <c r="L697" s="3" t="s">
        <v>3928</v>
      </c>
      <c r="M697">
        <v>223.43</v>
      </c>
      <c r="N697">
        <v>71</v>
      </c>
      <c r="O697">
        <f>Supply_Chain[[#This Row],[Unit_Price]]*Supply_Chain[[#This Row],[Quantity]]</f>
        <v>15863.53</v>
      </c>
      <c r="P697" t="s">
        <v>2039</v>
      </c>
      <c r="Q697" t="s">
        <v>35</v>
      </c>
      <c r="R697" t="s">
        <v>154</v>
      </c>
      <c r="S697" t="s">
        <v>37</v>
      </c>
      <c r="T697" t="s">
        <v>71</v>
      </c>
      <c r="U697" t="s">
        <v>101</v>
      </c>
      <c r="V697">
        <v>1460</v>
      </c>
      <c r="W697">
        <v>486</v>
      </c>
      <c r="X697">
        <v>9</v>
      </c>
      <c r="Y697">
        <v>1891.96</v>
      </c>
      <c r="Z697">
        <v>494.16</v>
      </c>
      <c r="AA697" s="9">
        <v>2386.12</v>
      </c>
      <c r="AB697" t="s">
        <v>52</v>
      </c>
      <c r="AC697">
        <v>0</v>
      </c>
      <c r="AD697">
        <v>70.52</v>
      </c>
      <c r="AE697">
        <v>303</v>
      </c>
      <c r="AF697">
        <v>262</v>
      </c>
      <c r="AG697" s="11">
        <f>Supply_Chain[[#This Row],[Total_Cost]]/Supply_Chain[[#This Row],[Stock_On_Hand]]</f>
        <v>1.6343287671232876</v>
      </c>
    </row>
    <row r="698" spans="1:33" x14ac:dyDescent="0.25">
      <c r="A698" t="s">
        <v>2040</v>
      </c>
      <c r="B698" t="s">
        <v>2041</v>
      </c>
      <c r="C698" s="1">
        <v>43834</v>
      </c>
      <c r="D698" s="1">
        <v>44617</v>
      </c>
      <c r="E698" t="s">
        <v>55</v>
      </c>
      <c r="F698" t="s">
        <v>44</v>
      </c>
      <c r="G698" t="s">
        <v>32</v>
      </c>
      <c r="H698" t="s">
        <v>92</v>
      </c>
      <c r="I698" s="3" t="s">
        <v>3308</v>
      </c>
      <c r="J698" s="3" t="s">
        <v>3519</v>
      </c>
      <c r="K698" s="3" t="s">
        <v>3528</v>
      </c>
      <c r="L698" s="3" t="s">
        <v>4096</v>
      </c>
      <c r="M698">
        <v>392.82</v>
      </c>
      <c r="N698">
        <v>19</v>
      </c>
      <c r="O698">
        <f>Supply_Chain[[#This Row],[Unit_Price]]*Supply_Chain[[#This Row],[Quantity]]</f>
        <v>7463.58</v>
      </c>
      <c r="P698" t="s">
        <v>2042</v>
      </c>
      <c r="Q698" t="s">
        <v>110</v>
      </c>
      <c r="R698" t="s">
        <v>248</v>
      </c>
      <c r="S698" t="s">
        <v>37</v>
      </c>
      <c r="T698" t="s">
        <v>71</v>
      </c>
      <c r="U698" t="s">
        <v>316</v>
      </c>
      <c r="V698">
        <v>1252</v>
      </c>
      <c r="W698">
        <v>184</v>
      </c>
      <c r="X698">
        <v>29</v>
      </c>
      <c r="Y698">
        <v>1819.46</v>
      </c>
      <c r="Z698">
        <v>383.08</v>
      </c>
      <c r="AA698" s="9">
        <v>2202.54</v>
      </c>
      <c r="AB698" t="s">
        <v>52</v>
      </c>
      <c r="AC698">
        <v>0</v>
      </c>
      <c r="AD698">
        <v>99.35</v>
      </c>
      <c r="AE698">
        <v>455</v>
      </c>
      <c r="AF698">
        <v>498</v>
      </c>
      <c r="AG698" s="11">
        <f>Supply_Chain[[#This Row],[Total_Cost]]/Supply_Chain[[#This Row],[Stock_On_Hand]]</f>
        <v>1.759217252396166</v>
      </c>
    </row>
    <row r="699" spans="1:33" x14ac:dyDescent="0.25">
      <c r="A699" t="s">
        <v>2043</v>
      </c>
      <c r="B699" t="s">
        <v>2044</v>
      </c>
      <c r="C699" s="1">
        <v>44685</v>
      </c>
      <c r="D699" s="1">
        <v>44899</v>
      </c>
      <c r="E699" t="s">
        <v>30</v>
      </c>
      <c r="F699" t="s">
        <v>31</v>
      </c>
      <c r="G699" t="s">
        <v>45</v>
      </c>
      <c r="H699" t="s">
        <v>128</v>
      </c>
      <c r="I699" s="3" t="s">
        <v>2777</v>
      </c>
      <c r="J699" s="3" t="s">
        <v>3518</v>
      </c>
      <c r="K699" s="3" t="s">
        <v>3533</v>
      </c>
      <c r="L699" s="3" t="s">
        <v>3577</v>
      </c>
      <c r="M699">
        <v>347.54</v>
      </c>
      <c r="N699">
        <v>90</v>
      </c>
      <c r="O699">
        <f>Supply_Chain[[#This Row],[Unit_Price]]*Supply_Chain[[#This Row],[Quantity]]</f>
        <v>31278.600000000002</v>
      </c>
      <c r="P699" t="s">
        <v>2045</v>
      </c>
      <c r="Q699" t="s">
        <v>48</v>
      </c>
      <c r="R699" t="s">
        <v>480</v>
      </c>
      <c r="S699" t="s">
        <v>37</v>
      </c>
      <c r="T699" t="s">
        <v>38</v>
      </c>
      <c r="U699" t="s">
        <v>39</v>
      </c>
      <c r="V699">
        <v>745</v>
      </c>
      <c r="W699">
        <v>132</v>
      </c>
      <c r="X699">
        <v>25</v>
      </c>
      <c r="Y699">
        <v>1759.93</v>
      </c>
      <c r="Z699">
        <v>412.56</v>
      </c>
      <c r="AA699" s="9">
        <v>2172.4899999999998</v>
      </c>
      <c r="AB699" t="s">
        <v>40</v>
      </c>
      <c r="AC699">
        <v>12</v>
      </c>
      <c r="AD699">
        <v>83.48</v>
      </c>
      <c r="AE699">
        <v>444</v>
      </c>
      <c r="AF699">
        <v>434</v>
      </c>
      <c r="AG699" s="11">
        <f>Supply_Chain[[#This Row],[Total_Cost]]/Supply_Chain[[#This Row],[Stock_On_Hand]]</f>
        <v>2.9160939597315432</v>
      </c>
    </row>
    <row r="700" spans="1:33" x14ac:dyDescent="0.25">
      <c r="A700" t="s">
        <v>2046</v>
      </c>
      <c r="B700" t="s">
        <v>2047</v>
      </c>
      <c r="C700" s="1">
        <v>45271</v>
      </c>
      <c r="D700" s="1">
        <v>44876</v>
      </c>
      <c r="E700" t="s">
        <v>55</v>
      </c>
      <c r="F700" t="s">
        <v>75</v>
      </c>
      <c r="G700" t="s">
        <v>65</v>
      </c>
      <c r="H700" t="s">
        <v>128</v>
      </c>
      <c r="I700" s="3" t="s">
        <v>2999</v>
      </c>
      <c r="J700" s="3" t="s">
        <v>3518</v>
      </c>
      <c r="K700" s="3" t="s">
        <v>3522</v>
      </c>
      <c r="L700" s="3" t="s">
        <v>3797</v>
      </c>
      <c r="M700">
        <v>338.79</v>
      </c>
      <c r="N700">
        <v>12</v>
      </c>
      <c r="O700">
        <f>Supply_Chain[[#This Row],[Unit_Price]]*Supply_Chain[[#This Row],[Quantity]]</f>
        <v>4065.4800000000005</v>
      </c>
      <c r="P700" t="s">
        <v>472</v>
      </c>
      <c r="Q700" t="s">
        <v>35</v>
      </c>
      <c r="R700" t="s">
        <v>87</v>
      </c>
      <c r="S700" t="s">
        <v>119</v>
      </c>
      <c r="T700" t="s">
        <v>38</v>
      </c>
      <c r="U700" t="s">
        <v>436</v>
      </c>
      <c r="V700">
        <v>230</v>
      </c>
      <c r="W700">
        <v>427</v>
      </c>
      <c r="X700">
        <v>26</v>
      </c>
      <c r="Y700">
        <v>1020.87</v>
      </c>
      <c r="Z700">
        <v>49.4</v>
      </c>
      <c r="AA700" s="9">
        <v>1070.27</v>
      </c>
      <c r="AB700" t="s">
        <v>52</v>
      </c>
      <c r="AC700">
        <v>0</v>
      </c>
      <c r="AD700">
        <v>92.74</v>
      </c>
      <c r="AE700">
        <v>101</v>
      </c>
      <c r="AF700">
        <v>90</v>
      </c>
      <c r="AG700" s="11">
        <f>Supply_Chain[[#This Row],[Total_Cost]]/Supply_Chain[[#This Row],[Stock_On_Hand]]</f>
        <v>4.6533478260869563</v>
      </c>
    </row>
    <row r="701" spans="1:33" x14ac:dyDescent="0.25">
      <c r="A701" t="s">
        <v>2048</v>
      </c>
      <c r="B701" t="s">
        <v>2049</v>
      </c>
      <c r="C701" s="1">
        <v>44976</v>
      </c>
      <c r="D701" s="1">
        <v>44312</v>
      </c>
      <c r="E701" t="s">
        <v>43</v>
      </c>
      <c r="F701" t="s">
        <v>31</v>
      </c>
      <c r="G701" t="s">
        <v>32</v>
      </c>
      <c r="H701" t="s">
        <v>57</v>
      </c>
      <c r="I701" s="3" t="s">
        <v>3031</v>
      </c>
      <c r="J701" s="3" t="s">
        <v>3518</v>
      </c>
      <c r="K701" s="3" t="s">
        <v>3521</v>
      </c>
      <c r="L701" s="3" t="s">
        <v>3828</v>
      </c>
      <c r="M701">
        <v>444.27</v>
      </c>
      <c r="N701">
        <v>53</v>
      </c>
      <c r="O701">
        <f>Supply_Chain[[#This Row],[Unit_Price]]*Supply_Chain[[#This Row],[Quantity]]</f>
        <v>23546.309999999998</v>
      </c>
      <c r="P701" t="s">
        <v>2050</v>
      </c>
      <c r="Q701" t="s">
        <v>48</v>
      </c>
      <c r="R701" t="s">
        <v>344</v>
      </c>
      <c r="S701" t="s">
        <v>50</v>
      </c>
      <c r="T701" t="s">
        <v>38</v>
      </c>
      <c r="U701" t="s">
        <v>215</v>
      </c>
      <c r="V701">
        <v>3111</v>
      </c>
      <c r="W701">
        <v>239</v>
      </c>
      <c r="X701">
        <v>20</v>
      </c>
      <c r="Y701">
        <v>1509.59</v>
      </c>
      <c r="Z701">
        <v>385.18</v>
      </c>
      <c r="AA701" s="9">
        <v>1894.77</v>
      </c>
      <c r="AB701" t="s">
        <v>52</v>
      </c>
      <c r="AC701">
        <v>0</v>
      </c>
      <c r="AD701">
        <v>93.24</v>
      </c>
      <c r="AE701">
        <v>186</v>
      </c>
      <c r="AF701">
        <v>215</v>
      </c>
      <c r="AG701" s="11">
        <f>Supply_Chain[[#This Row],[Total_Cost]]/Supply_Chain[[#This Row],[Stock_On_Hand]]</f>
        <v>0.60905496624879463</v>
      </c>
    </row>
    <row r="702" spans="1:33" x14ac:dyDescent="0.25">
      <c r="A702" t="s">
        <v>2051</v>
      </c>
      <c r="B702" t="s">
        <v>2052</v>
      </c>
      <c r="C702" s="1">
        <v>44043</v>
      </c>
      <c r="D702" s="1">
        <v>44508</v>
      </c>
      <c r="E702" t="s">
        <v>30</v>
      </c>
      <c r="F702" t="s">
        <v>31</v>
      </c>
      <c r="G702" t="s">
        <v>83</v>
      </c>
      <c r="H702" t="s">
        <v>128</v>
      </c>
      <c r="I702" s="3" t="s">
        <v>3309</v>
      </c>
      <c r="J702" s="3" t="s">
        <v>3518</v>
      </c>
      <c r="K702" s="3" t="s">
        <v>3521</v>
      </c>
      <c r="L702" s="3" t="s">
        <v>4097</v>
      </c>
      <c r="M702">
        <v>91.73</v>
      </c>
      <c r="N702">
        <v>12</v>
      </c>
      <c r="O702">
        <f>Supply_Chain[[#This Row],[Unit_Price]]*Supply_Chain[[#This Row],[Quantity]]</f>
        <v>1100.76</v>
      </c>
      <c r="P702" t="s">
        <v>2053</v>
      </c>
      <c r="Q702" t="s">
        <v>86</v>
      </c>
      <c r="R702" t="s">
        <v>118</v>
      </c>
      <c r="S702" t="s">
        <v>50</v>
      </c>
      <c r="T702" t="s">
        <v>38</v>
      </c>
      <c r="U702" t="s">
        <v>141</v>
      </c>
      <c r="V702">
        <v>1434</v>
      </c>
      <c r="W702">
        <v>332</v>
      </c>
      <c r="X702">
        <v>17</v>
      </c>
      <c r="Y702">
        <v>1157.67</v>
      </c>
      <c r="Z702">
        <v>469.65</v>
      </c>
      <c r="AA702" s="9">
        <v>1627.32</v>
      </c>
      <c r="AB702" t="s">
        <v>52</v>
      </c>
      <c r="AC702">
        <v>0</v>
      </c>
      <c r="AD702">
        <v>76.239999999999995</v>
      </c>
      <c r="AE702">
        <v>327</v>
      </c>
      <c r="AF702">
        <v>335</v>
      </c>
      <c r="AG702" s="11">
        <f>Supply_Chain[[#This Row],[Total_Cost]]/Supply_Chain[[#This Row],[Stock_On_Hand]]</f>
        <v>1.1348117154811714</v>
      </c>
    </row>
    <row r="703" spans="1:33" x14ac:dyDescent="0.25">
      <c r="A703" t="s">
        <v>2054</v>
      </c>
      <c r="B703" t="s">
        <v>2055</v>
      </c>
      <c r="C703" s="1">
        <v>44173</v>
      </c>
      <c r="D703" s="1">
        <v>45204</v>
      </c>
      <c r="E703" t="s">
        <v>55</v>
      </c>
      <c r="F703" t="s">
        <v>31</v>
      </c>
      <c r="G703" t="s">
        <v>32</v>
      </c>
      <c r="H703" t="s">
        <v>66</v>
      </c>
      <c r="I703" s="3" t="s">
        <v>3310</v>
      </c>
      <c r="J703" s="3" t="s">
        <v>84</v>
      </c>
      <c r="K703" s="3" t="s">
        <v>3529</v>
      </c>
      <c r="L703" s="3" t="s">
        <v>4098</v>
      </c>
      <c r="M703">
        <v>152.71</v>
      </c>
      <c r="N703">
        <v>93</v>
      </c>
      <c r="O703">
        <f>Supply_Chain[[#This Row],[Unit_Price]]*Supply_Chain[[#This Row],[Quantity]]</f>
        <v>14202.03</v>
      </c>
      <c r="P703" t="s">
        <v>2056</v>
      </c>
      <c r="Q703" t="s">
        <v>48</v>
      </c>
      <c r="R703" t="s">
        <v>172</v>
      </c>
      <c r="S703" t="s">
        <v>50</v>
      </c>
      <c r="T703" t="s">
        <v>60</v>
      </c>
      <c r="U703" t="s">
        <v>203</v>
      </c>
      <c r="V703">
        <v>4501</v>
      </c>
      <c r="W703">
        <v>220</v>
      </c>
      <c r="X703">
        <v>3</v>
      </c>
      <c r="Y703">
        <v>416.38</v>
      </c>
      <c r="Z703">
        <v>34.200000000000003</v>
      </c>
      <c r="AA703" s="9">
        <v>450.58</v>
      </c>
      <c r="AB703" t="s">
        <v>52</v>
      </c>
      <c r="AC703">
        <v>0</v>
      </c>
      <c r="AD703">
        <v>71.28</v>
      </c>
      <c r="AE703">
        <v>88</v>
      </c>
      <c r="AF703">
        <v>99</v>
      </c>
      <c r="AG703" s="11">
        <f>Supply_Chain[[#This Row],[Total_Cost]]/Supply_Chain[[#This Row],[Stock_On_Hand]]</f>
        <v>0.10010664296822928</v>
      </c>
    </row>
    <row r="704" spans="1:33" x14ac:dyDescent="0.25">
      <c r="A704" t="s">
        <v>2057</v>
      </c>
      <c r="B704" t="s">
        <v>2026</v>
      </c>
      <c r="C704" s="1">
        <v>45657</v>
      </c>
      <c r="D704" s="1">
        <v>45431</v>
      </c>
      <c r="E704" t="s">
        <v>55</v>
      </c>
      <c r="F704" t="s">
        <v>31</v>
      </c>
      <c r="G704" t="s">
        <v>32</v>
      </c>
      <c r="H704" t="s">
        <v>128</v>
      </c>
      <c r="I704" s="3" t="s">
        <v>3001</v>
      </c>
      <c r="J704" s="3" t="s">
        <v>84</v>
      </c>
      <c r="K704" s="3" t="s">
        <v>3529</v>
      </c>
      <c r="L704" s="3" t="s">
        <v>3799</v>
      </c>
      <c r="M704">
        <v>86.46</v>
      </c>
      <c r="N704">
        <v>4</v>
      </c>
      <c r="O704">
        <f>Supply_Chain[[#This Row],[Unit_Price]]*Supply_Chain[[#This Row],[Quantity]]</f>
        <v>345.84</v>
      </c>
      <c r="P704" t="s">
        <v>1783</v>
      </c>
      <c r="Q704" t="s">
        <v>35</v>
      </c>
      <c r="R704" t="s">
        <v>327</v>
      </c>
      <c r="S704" t="s">
        <v>119</v>
      </c>
      <c r="T704" t="s">
        <v>79</v>
      </c>
      <c r="U704" t="s">
        <v>203</v>
      </c>
      <c r="V704">
        <v>1684</v>
      </c>
      <c r="W704">
        <v>481</v>
      </c>
      <c r="X704">
        <v>4</v>
      </c>
      <c r="Y704">
        <v>1512.51</v>
      </c>
      <c r="Z704">
        <v>200.92</v>
      </c>
      <c r="AA704" s="9">
        <v>1713.43</v>
      </c>
      <c r="AB704" t="s">
        <v>52</v>
      </c>
      <c r="AC704">
        <v>0</v>
      </c>
      <c r="AD704">
        <v>89.71</v>
      </c>
      <c r="AE704">
        <v>249</v>
      </c>
      <c r="AF704">
        <v>242</v>
      </c>
      <c r="AG704" s="11">
        <f>Supply_Chain[[#This Row],[Total_Cost]]/Supply_Chain[[#This Row],[Stock_On_Hand]]</f>
        <v>1.0174762470308789</v>
      </c>
    </row>
    <row r="705" spans="1:33" x14ac:dyDescent="0.25">
      <c r="A705" t="s">
        <v>2058</v>
      </c>
      <c r="B705" t="s">
        <v>2059</v>
      </c>
      <c r="C705" s="1">
        <v>45035</v>
      </c>
      <c r="D705" s="1">
        <v>43965</v>
      </c>
      <c r="E705" t="s">
        <v>55</v>
      </c>
      <c r="F705" t="s">
        <v>75</v>
      </c>
      <c r="G705" t="s">
        <v>247</v>
      </c>
      <c r="H705" t="s">
        <v>116</v>
      </c>
      <c r="I705" s="3" t="s">
        <v>3241</v>
      </c>
      <c r="J705" s="3" t="s">
        <v>3518</v>
      </c>
      <c r="K705" s="3" t="s">
        <v>3525</v>
      </c>
      <c r="L705" s="3" t="s">
        <v>4031</v>
      </c>
      <c r="M705">
        <v>247.03</v>
      </c>
      <c r="N705">
        <v>81</v>
      </c>
      <c r="O705">
        <f>Supply_Chain[[#This Row],[Unit_Price]]*Supply_Chain[[#This Row],[Quantity]]</f>
        <v>20009.43</v>
      </c>
      <c r="P705" t="s">
        <v>2060</v>
      </c>
      <c r="Q705" t="s">
        <v>86</v>
      </c>
      <c r="R705" t="s">
        <v>94</v>
      </c>
      <c r="S705" t="s">
        <v>37</v>
      </c>
      <c r="T705" t="s">
        <v>71</v>
      </c>
      <c r="U705" t="s">
        <v>191</v>
      </c>
      <c r="V705">
        <v>724</v>
      </c>
      <c r="W705">
        <v>475</v>
      </c>
      <c r="X705">
        <v>28</v>
      </c>
      <c r="Y705">
        <v>796.86</v>
      </c>
      <c r="Z705">
        <v>19.55</v>
      </c>
      <c r="AA705" s="9">
        <v>816.41</v>
      </c>
      <c r="AB705" t="s">
        <v>52</v>
      </c>
      <c r="AC705">
        <v>0</v>
      </c>
      <c r="AD705">
        <v>95.94</v>
      </c>
      <c r="AE705">
        <v>245</v>
      </c>
      <c r="AF705">
        <v>251</v>
      </c>
      <c r="AG705" s="11">
        <f>Supply_Chain[[#This Row],[Total_Cost]]/Supply_Chain[[#This Row],[Stock_On_Hand]]</f>
        <v>1.1276381215469613</v>
      </c>
    </row>
    <row r="706" spans="1:33" x14ac:dyDescent="0.25">
      <c r="A706" t="s">
        <v>2061</v>
      </c>
      <c r="B706" t="s">
        <v>2062</v>
      </c>
      <c r="C706" s="1">
        <v>45613</v>
      </c>
      <c r="D706" s="1">
        <v>45499</v>
      </c>
      <c r="E706" t="s">
        <v>55</v>
      </c>
      <c r="F706" t="s">
        <v>75</v>
      </c>
      <c r="G706" t="s">
        <v>91</v>
      </c>
      <c r="H706" t="s">
        <v>66</v>
      </c>
      <c r="I706" s="3" t="s">
        <v>3311</v>
      </c>
      <c r="J706" s="3" t="s">
        <v>3518</v>
      </c>
      <c r="K706" s="3" t="s">
        <v>3522</v>
      </c>
      <c r="L706" s="3" t="s">
        <v>4099</v>
      </c>
      <c r="M706">
        <v>33.39</v>
      </c>
      <c r="N706">
        <v>48</v>
      </c>
      <c r="O706">
        <f>Supply_Chain[[#This Row],[Unit_Price]]*Supply_Chain[[#This Row],[Quantity]]</f>
        <v>1602.72</v>
      </c>
      <c r="P706" t="s">
        <v>2063</v>
      </c>
      <c r="Q706" t="s">
        <v>48</v>
      </c>
      <c r="R706" t="s">
        <v>248</v>
      </c>
      <c r="S706" t="s">
        <v>37</v>
      </c>
      <c r="T706" t="s">
        <v>38</v>
      </c>
      <c r="U706" t="s">
        <v>265</v>
      </c>
      <c r="V706">
        <v>1342</v>
      </c>
      <c r="W706">
        <v>491</v>
      </c>
      <c r="X706">
        <v>12</v>
      </c>
      <c r="Y706">
        <v>762.39</v>
      </c>
      <c r="Z706">
        <v>236.05</v>
      </c>
      <c r="AA706" s="9">
        <v>998.44</v>
      </c>
      <c r="AB706" t="s">
        <v>52</v>
      </c>
      <c r="AC706">
        <v>0</v>
      </c>
      <c r="AD706">
        <v>71.260000000000005</v>
      </c>
      <c r="AE706">
        <v>267</v>
      </c>
      <c r="AF706">
        <v>222</v>
      </c>
      <c r="AG706" s="11">
        <f>Supply_Chain[[#This Row],[Total_Cost]]/Supply_Chain[[#This Row],[Stock_On_Hand]]</f>
        <v>0.74399403874813719</v>
      </c>
    </row>
    <row r="707" spans="1:33" x14ac:dyDescent="0.25">
      <c r="A707" t="s">
        <v>2064</v>
      </c>
      <c r="B707" t="s">
        <v>2065</v>
      </c>
      <c r="C707" s="1">
        <v>45084</v>
      </c>
      <c r="D707" s="1">
        <v>44273</v>
      </c>
      <c r="E707" t="s">
        <v>43</v>
      </c>
      <c r="F707" t="s">
        <v>115</v>
      </c>
      <c r="G707" t="s">
        <v>76</v>
      </c>
      <c r="H707" t="s">
        <v>92</v>
      </c>
      <c r="I707" s="3" t="s">
        <v>3312</v>
      </c>
      <c r="J707" s="3" t="s">
        <v>3518</v>
      </c>
      <c r="K707" s="3" t="s">
        <v>3522</v>
      </c>
      <c r="L707" s="3" t="s">
        <v>4100</v>
      </c>
      <c r="M707">
        <v>449.63</v>
      </c>
      <c r="N707">
        <v>2</v>
      </c>
      <c r="O707">
        <f>Supply_Chain[[#This Row],[Unit_Price]]*Supply_Chain[[#This Row],[Quantity]]</f>
        <v>899.26</v>
      </c>
      <c r="P707" t="s">
        <v>760</v>
      </c>
      <c r="Q707" t="s">
        <v>48</v>
      </c>
      <c r="R707" t="s">
        <v>306</v>
      </c>
      <c r="S707" t="s">
        <v>70</v>
      </c>
      <c r="T707" t="s">
        <v>38</v>
      </c>
      <c r="U707" t="s">
        <v>611</v>
      </c>
      <c r="V707">
        <v>2043</v>
      </c>
      <c r="W707">
        <v>281</v>
      </c>
      <c r="X707">
        <v>4</v>
      </c>
      <c r="Y707">
        <v>610.55999999999995</v>
      </c>
      <c r="Z707">
        <v>269.86</v>
      </c>
      <c r="AA707" s="9">
        <v>880.42</v>
      </c>
      <c r="AB707" t="s">
        <v>52</v>
      </c>
      <c r="AC707">
        <v>0</v>
      </c>
      <c r="AD707">
        <v>75.39</v>
      </c>
      <c r="AE707">
        <v>204</v>
      </c>
      <c r="AF707">
        <v>163</v>
      </c>
      <c r="AG707" s="11">
        <f>Supply_Chain[[#This Row],[Total_Cost]]/Supply_Chain[[#This Row],[Stock_On_Hand]]</f>
        <v>0.43094468918257461</v>
      </c>
    </row>
    <row r="708" spans="1:33" x14ac:dyDescent="0.25">
      <c r="A708" t="s">
        <v>2066</v>
      </c>
      <c r="B708" t="s">
        <v>2067</v>
      </c>
      <c r="C708" s="1">
        <v>44178</v>
      </c>
      <c r="D708" s="1">
        <v>44353</v>
      </c>
      <c r="E708" t="s">
        <v>43</v>
      </c>
      <c r="F708" t="s">
        <v>44</v>
      </c>
      <c r="G708" t="s">
        <v>45</v>
      </c>
      <c r="H708" t="s">
        <v>92</v>
      </c>
      <c r="I708" s="3" t="s">
        <v>3313</v>
      </c>
      <c r="J708" s="3" t="s">
        <v>3518</v>
      </c>
      <c r="K708" s="3" t="s">
        <v>3523</v>
      </c>
      <c r="L708" s="3" t="s">
        <v>4101</v>
      </c>
      <c r="M708">
        <v>39.17</v>
      </c>
      <c r="N708">
        <v>41</v>
      </c>
      <c r="O708">
        <f>Supply_Chain[[#This Row],[Unit_Price]]*Supply_Chain[[#This Row],[Quantity]]</f>
        <v>1605.97</v>
      </c>
      <c r="P708" t="s">
        <v>2068</v>
      </c>
      <c r="Q708" t="s">
        <v>48</v>
      </c>
      <c r="R708" t="s">
        <v>118</v>
      </c>
      <c r="S708" t="s">
        <v>119</v>
      </c>
      <c r="T708" t="s">
        <v>71</v>
      </c>
      <c r="U708" t="s">
        <v>227</v>
      </c>
      <c r="V708">
        <v>1020</v>
      </c>
      <c r="W708">
        <v>171</v>
      </c>
      <c r="X708">
        <v>6</v>
      </c>
      <c r="Y708">
        <v>1836.31</v>
      </c>
      <c r="Z708">
        <v>263.61</v>
      </c>
      <c r="AA708" s="9">
        <v>2099.92</v>
      </c>
      <c r="AB708" t="s">
        <v>40</v>
      </c>
      <c r="AC708">
        <v>9</v>
      </c>
      <c r="AD708">
        <v>76.56</v>
      </c>
      <c r="AE708">
        <v>203</v>
      </c>
      <c r="AF708">
        <v>221</v>
      </c>
      <c r="AG708" s="11">
        <f>Supply_Chain[[#This Row],[Total_Cost]]/Supply_Chain[[#This Row],[Stock_On_Hand]]</f>
        <v>2.0587450980392159</v>
      </c>
    </row>
    <row r="709" spans="1:33" x14ac:dyDescent="0.25">
      <c r="A709" t="s">
        <v>2069</v>
      </c>
      <c r="B709" t="s">
        <v>2070</v>
      </c>
      <c r="C709" s="1">
        <v>44226</v>
      </c>
      <c r="D709" s="1">
        <v>43849</v>
      </c>
      <c r="E709" t="s">
        <v>55</v>
      </c>
      <c r="F709" t="s">
        <v>64</v>
      </c>
      <c r="G709" t="s">
        <v>45</v>
      </c>
      <c r="H709" t="s">
        <v>66</v>
      </c>
      <c r="I709" s="3" t="s">
        <v>3296</v>
      </c>
      <c r="J709" s="3" t="s">
        <v>3518</v>
      </c>
      <c r="K709" s="3" t="s">
        <v>3521</v>
      </c>
      <c r="L709" s="3" t="s">
        <v>4084</v>
      </c>
      <c r="M709">
        <v>51.25</v>
      </c>
      <c r="N709">
        <v>2</v>
      </c>
      <c r="O709">
        <f>Supply_Chain[[#This Row],[Unit_Price]]*Supply_Chain[[#This Row],[Quantity]]</f>
        <v>102.5</v>
      </c>
      <c r="P709" t="s">
        <v>1533</v>
      </c>
      <c r="Q709" t="s">
        <v>86</v>
      </c>
      <c r="R709" t="s">
        <v>59</v>
      </c>
      <c r="S709" t="s">
        <v>50</v>
      </c>
      <c r="T709" t="s">
        <v>100</v>
      </c>
      <c r="U709" t="s">
        <v>356</v>
      </c>
      <c r="V709">
        <v>3006</v>
      </c>
      <c r="W709">
        <v>163</v>
      </c>
      <c r="X709">
        <v>15</v>
      </c>
      <c r="Y709">
        <v>1863.42</v>
      </c>
      <c r="Z709">
        <v>173.7</v>
      </c>
      <c r="AA709" s="9">
        <v>2037.12</v>
      </c>
      <c r="AB709" t="s">
        <v>52</v>
      </c>
      <c r="AC709">
        <v>0</v>
      </c>
      <c r="AD709">
        <v>78.650000000000006</v>
      </c>
      <c r="AE709">
        <v>376</v>
      </c>
      <c r="AF709">
        <v>365</v>
      </c>
      <c r="AG709" s="11">
        <f>Supply_Chain[[#This Row],[Total_Cost]]/Supply_Chain[[#This Row],[Stock_On_Hand]]</f>
        <v>0.67768463073852292</v>
      </c>
    </row>
    <row r="710" spans="1:33" x14ac:dyDescent="0.25">
      <c r="A710" t="s">
        <v>2071</v>
      </c>
      <c r="B710" t="s">
        <v>2072</v>
      </c>
      <c r="C710" s="1">
        <v>45602</v>
      </c>
      <c r="D710" s="1">
        <v>45595</v>
      </c>
      <c r="E710" t="s">
        <v>55</v>
      </c>
      <c r="F710" t="s">
        <v>44</v>
      </c>
      <c r="G710" t="s">
        <v>83</v>
      </c>
      <c r="H710" t="s">
        <v>57</v>
      </c>
      <c r="I710" s="3" t="s">
        <v>3314</v>
      </c>
      <c r="J710" s="3" t="s">
        <v>3518</v>
      </c>
      <c r="K710" s="3" t="s">
        <v>3524</v>
      </c>
      <c r="L710" s="3" t="s">
        <v>4102</v>
      </c>
      <c r="M710">
        <v>123.98</v>
      </c>
      <c r="N710">
        <v>65</v>
      </c>
      <c r="O710">
        <f>Supply_Chain[[#This Row],[Unit_Price]]*Supply_Chain[[#This Row],[Quantity]]</f>
        <v>8058.7</v>
      </c>
      <c r="P710" t="s">
        <v>422</v>
      </c>
      <c r="Q710" t="s">
        <v>86</v>
      </c>
      <c r="R710" t="s">
        <v>154</v>
      </c>
      <c r="S710" t="s">
        <v>50</v>
      </c>
      <c r="T710" t="s">
        <v>79</v>
      </c>
      <c r="U710" t="s">
        <v>331</v>
      </c>
      <c r="V710">
        <v>163</v>
      </c>
      <c r="W710">
        <v>105</v>
      </c>
      <c r="X710">
        <v>7</v>
      </c>
      <c r="Y710">
        <v>970.37</v>
      </c>
      <c r="Z710">
        <v>190.58</v>
      </c>
      <c r="AA710" s="9">
        <v>1160.95</v>
      </c>
      <c r="AB710" t="s">
        <v>52</v>
      </c>
      <c r="AC710">
        <v>0</v>
      </c>
      <c r="AD710">
        <v>79.739999999999995</v>
      </c>
      <c r="AE710">
        <v>444</v>
      </c>
      <c r="AF710">
        <v>472</v>
      </c>
      <c r="AG710" s="11">
        <f>Supply_Chain[[#This Row],[Total_Cost]]/Supply_Chain[[#This Row],[Stock_On_Hand]]</f>
        <v>7.1223926380368097</v>
      </c>
    </row>
    <row r="711" spans="1:33" x14ac:dyDescent="0.25">
      <c r="A711" t="s">
        <v>2073</v>
      </c>
      <c r="B711" t="s">
        <v>2074</v>
      </c>
      <c r="C711" s="1">
        <v>44428</v>
      </c>
      <c r="D711" s="1">
        <v>43931</v>
      </c>
      <c r="E711" t="s">
        <v>55</v>
      </c>
      <c r="F711" t="s">
        <v>75</v>
      </c>
      <c r="G711" t="s">
        <v>247</v>
      </c>
      <c r="H711" t="s">
        <v>116</v>
      </c>
      <c r="I711" s="3" t="s">
        <v>3315</v>
      </c>
      <c r="J711" s="3" t="s">
        <v>3518</v>
      </c>
      <c r="K711" s="3" t="s">
        <v>3524</v>
      </c>
      <c r="L711" s="3" t="s">
        <v>4103</v>
      </c>
      <c r="M711">
        <v>444.21</v>
      </c>
      <c r="N711">
        <v>3</v>
      </c>
      <c r="O711">
        <f>Supply_Chain[[#This Row],[Unit_Price]]*Supply_Chain[[#This Row],[Quantity]]</f>
        <v>1332.6299999999999</v>
      </c>
      <c r="P711" t="s">
        <v>745</v>
      </c>
      <c r="Q711" t="s">
        <v>48</v>
      </c>
      <c r="R711" t="s">
        <v>162</v>
      </c>
      <c r="S711" t="s">
        <v>70</v>
      </c>
      <c r="T711" t="s">
        <v>79</v>
      </c>
      <c r="U711" t="s">
        <v>356</v>
      </c>
      <c r="V711">
        <v>1903</v>
      </c>
      <c r="W711">
        <v>477</v>
      </c>
      <c r="X711">
        <v>19</v>
      </c>
      <c r="Y711">
        <v>906.1</v>
      </c>
      <c r="Z711">
        <v>432</v>
      </c>
      <c r="AA711" s="9">
        <v>1338.1</v>
      </c>
      <c r="AB711" t="s">
        <v>52</v>
      </c>
      <c r="AC711">
        <v>0</v>
      </c>
      <c r="AD711">
        <v>70.27</v>
      </c>
      <c r="AE711">
        <v>360</v>
      </c>
      <c r="AF711">
        <v>340</v>
      </c>
      <c r="AG711" s="11">
        <f>Supply_Chain[[#This Row],[Total_Cost]]/Supply_Chain[[#This Row],[Stock_On_Hand]]</f>
        <v>0.70315291644771405</v>
      </c>
    </row>
    <row r="712" spans="1:33" x14ac:dyDescent="0.25">
      <c r="A712" t="s">
        <v>2075</v>
      </c>
      <c r="B712" t="s">
        <v>2076</v>
      </c>
      <c r="C712" s="1">
        <v>44618</v>
      </c>
      <c r="D712" s="1">
        <v>44233</v>
      </c>
      <c r="E712" t="s">
        <v>55</v>
      </c>
      <c r="F712" t="s">
        <v>44</v>
      </c>
      <c r="G712" t="s">
        <v>32</v>
      </c>
      <c r="H712" t="s">
        <v>128</v>
      </c>
      <c r="I712" s="3" t="s">
        <v>3316</v>
      </c>
      <c r="J712" s="3" t="s">
        <v>3519</v>
      </c>
      <c r="K712" s="3" t="s">
        <v>3530</v>
      </c>
      <c r="L712" s="3" t="s">
        <v>4104</v>
      </c>
      <c r="M712">
        <v>407.33</v>
      </c>
      <c r="N712">
        <v>29</v>
      </c>
      <c r="O712">
        <f>Supply_Chain[[#This Row],[Unit_Price]]*Supply_Chain[[#This Row],[Quantity]]</f>
        <v>11812.57</v>
      </c>
      <c r="P712" t="s">
        <v>2077</v>
      </c>
      <c r="Q712" t="s">
        <v>35</v>
      </c>
      <c r="R712" t="s">
        <v>610</v>
      </c>
      <c r="S712" t="s">
        <v>70</v>
      </c>
      <c r="T712" t="s">
        <v>38</v>
      </c>
      <c r="U712" t="s">
        <v>459</v>
      </c>
      <c r="V712">
        <v>119</v>
      </c>
      <c r="W712">
        <v>306</v>
      </c>
      <c r="X712">
        <v>3</v>
      </c>
      <c r="Y712">
        <v>1365.35</v>
      </c>
      <c r="Z712">
        <v>298.22000000000003</v>
      </c>
      <c r="AA712" s="9">
        <v>1663.57</v>
      </c>
      <c r="AB712" t="s">
        <v>52</v>
      </c>
      <c r="AC712">
        <v>0</v>
      </c>
      <c r="AD712">
        <v>76.52</v>
      </c>
      <c r="AE712">
        <v>143</v>
      </c>
      <c r="AF712">
        <v>187</v>
      </c>
      <c r="AG712" s="11">
        <f>Supply_Chain[[#This Row],[Total_Cost]]/Supply_Chain[[#This Row],[Stock_On_Hand]]</f>
        <v>13.979579831932773</v>
      </c>
    </row>
    <row r="713" spans="1:33" x14ac:dyDescent="0.25">
      <c r="A713" t="s">
        <v>2078</v>
      </c>
      <c r="B713" t="s">
        <v>2079</v>
      </c>
      <c r="C713" s="1">
        <v>44219</v>
      </c>
      <c r="D713" s="1">
        <v>43890</v>
      </c>
      <c r="E713" t="s">
        <v>55</v>
      </c>
      <c r="F713" t="s">
        <v>75</v>
      </c>
      <c r="G713" t="s">
        <v>76</v>
      </c>
      <c r="H713" t="s">
        <v>92</v>
      </c>
      <c r="I713" s="3" t="s">
        <v>3317</v>
      </c>
      <c r="J713" s="3" t="s">
        <v>84</v>
      </c>
      <c r="K713" s="3" t="s">
        <v>3526</v>
      </c>
      <c r="L713" s="3" t="s">
        <v>4105</v>
      </c>
      <c r="M713">
        <v>206.34</v>
      </c>
      <c r="N713">
        <v>40</v>
      </c>
      <c r="O713">
        <f>Supply_Chain[[#This Row],[Unit_Price]]*Supply_Chain[[#This Row],[Quantity]]</f>
        <v>8253.6</v>
      </c>
      <c r="P713" t="s">
        <v>2080</v>
      </c>
      <c r="Q713" t="s">
        <v>35</v>
      </c>
      <c r="R713" t="s">
        <v>87</v>
      </c>
      <c r="S713" t="s">
        <v>50</v>
      </c>
      <c r="T713" t="s">
        <v>79</v>
      </c>
      <c r="U713" t="s">
        <v>316</v>
      </c>
      <c r="V713">
        <v>1990</v>
      </c>
      <c r="W713">
        <v>387</v>
      </c>
      <c r="X713">
        <v>25</v>
      </c>
      <c r="Y713">
        <v>1423.77</v>
      </c>
      <c r="Z713">
        <v>310.62</v>
      </c>
      <c r="AA713" s="9">
        <v>1734.39</v>
      </c>
      <c r="AB713" t="s">
        <v>52</v>
      </c>
      <c r="AC713">
        <v>0</v>
      </c>
      <c r="AD713">
        <v>71.81</v>
      </c>
      <c r="AE713">
        <v>52</v>
      </c>
      <c r="AF713">
        <v>88</v>
      </c>
      <c r="AG713" s="11">
        <f>Supply_Chain[[#This Row],[Total_Cost]]/Supply_Chain[[#This Row],[Stock_On_Hand]]</f>
        <v>0.87155276381909552</v>
      </c>
    </row>
    <row r="714" spans="1:33" x14ac:dyDescent="0.25">
      <c r="A714" t="s">
        <v>2081</v>
      </c>
      <c r="B714" t="s">
        <v>2082</v>
      </c>
      <c r="C714" s="1">
        <v>45006</v>
      </c>
      <c r="D714" s="1">
        <v>45467</v>
      </c>
      <c r="E714" t="s">
        <v>43</v>
      </c>
      <c r="F714" t="s">
        <v>64</v>
      </c>
      <c r="G714" t="s">
        <v>76</v>
      </c>
      <c r="H714" t="s">
        <v>33</v>
      </c>
      <c r="I714" s="3" t="s">
        <v>3318</v>
      </c>
      <c r="J714" s="3" t="s">
        <v>3519</v>
      </c>
      <c r="K714" s="3" t="s">
        <v>3537</v>
      </c>
      <c r="L714" s="3" t="s">
        <v>4106</v>
      </c>
      <c r="M714">
        <v>105.05</v>
      </c>
      <c r="N714">
        <v>44</v>
      </c>
      <c r="O714">
        <f>Supply_Chain[[#This Row],[Unit_Price]]*Supply_Chain[[#This Row],[Quantity]]</f>
        <v>4622.2</v>
      </c>
      <c r="P714" t="s">
        <v>2083</v>
      </c>
      <c r="Q714" t="s">
        <v>110</v>
      </c>
      <c r="R714" t="s">
        <v>290</v>
      </c>
      <c r="S714" t="s">
        <v>119</v>
      </c>
      <c r="T714" t="s">
        <v>79</v>
      </c>
      <c r="U714" t="s">
        <v>429</v>
      </c>
      <c r="V714">
        <v>4117</v>
      </c>
      <c r="W714">
        <v>479</v>
      </c>
      <c r="X714">
        <v>8</v>
      </c>
      <c r="Y714">
        <v>1201.5</v>
      </c>
      <c r="Z714">
        <v>243.26</v>
      </c>
      <c r="AA714" s="9">
        <v>1444.76</v>
      </c>
      <c r="AB714" t="s">
        <v>52</v>
      </c>
      <c r="AC714">
        <v>0</v>
      </c>
      <c r="AD714">
        <v>84.56</v>
      </c>
      <c r="AE714">
        <v>64</v>
      </c>
      <c r="AF714">
        <v>49</v>
      </c>
      <c r="AG714" s="11">
        <f>Supply_Chain[[#This Row],[Total_Cost]]/Supply_Chain[[#This Row],[Stock_On_Hand]]</f>
        <v>0.35092543113917901</v>
      </c>
    </row>
    <row r="715" spans="1:33" x14ac:dyDescent="0.25">
      <c r="A715" t="s">
        <v>2084</v>
      </c>
      <c r="B715" t="s">
        <v>2085</v>
      </c>
      <c r="C715" s="1">
        <v>45107</v>
      </c>
      <c r="D715" s="1">
        <v>45074</v>
      </c>
      <c r="E715" t="s">
        <v>55</v>
      </c>
      <c r="F715" t="s">
        <v>75</v>
      </c>
      <c r="G715" t="s">
        <v>91</v>
      </c>
      <c r="H715" t="s">
        <v>46</v>
      </c>
      <c r="I715" s="3" t="s">
        <v>3319</v>
      </c>
      <c r="J715" s="3" t="s">
        <v>84</v>
      </c>
      <c r="K715" s="3" t="s">
        <v>3526</v>
      </c>
      <c r="L715" s="3" t="s">
        <v>4107</v>
      </c>
      <c r="M715">
        <v>448.06</v>
      </c>
      <c r="N715">
        <v>63</v>
      </c>
      <c r="O715">
        <f>Supply_Chain[[#This Row],[Unit_Price]]*Supply_Chain[[#This Row],[Quantity]]</f>
        <v>28227.78</v>
      </c>
      <c r="P715" t="s">
        <v>1966</v>
      </c>
      <c r="Q715" t="s">
        <v>35</v>
      </c>
      <c r="R715" t="s">
        <v>388</v>
      </c>
      <c r="S715" t="s">
        <v>50</v>
      </c>
      <c r="T715" t="s">
        <v>79</v>
      </c>
      <c r="U715" t="s">
        <v>163</v>
      </c>
      <c r="V715">
        <v>168</v>
      </c>
      <c r="W715">
        <v>417</v>
      </c>
      <c r="X715">
        <v>13</v>
      </c>
      <c r="Y715">
        <v>149.76</v>
      </c>
      <c r="Z715">
        <v>356.28</v>
      </c>
      <c r="AA715" s="9">
        <v>506.04</v>
      </c>
      <c r="AB715" t="s">
        <v>52</v>
      </c>
      <c r="AC715">
        <v>0</v>
      </c>
      <c r="AD715">
        <v>79.7</v>
      </c>
      <c r="AE715">
        <v>195</v>
      </c>
      <c r="AF715">
        <v>194</v>
      </c>
      <c r="AG715" s="11">
        <f>Supply_Chain[[#This Row],[Total_Cost]]/Supply_Chain[[#This Row],[Stock_On_Hand]]</f>
        <v>3.0121428571428575</v>
      </c>
    </row>
    <row r="716" spans="1:33" x14ac:dyDescent="0.25">
      <c r="A716" t="s">
        <v>2086</v>
      </c>
      <c r="B716" t="s">
        <v>2087</v>
      </c>
      <c r="C716" s="1">
        <v>45049</v>
      </c>
      <c r="D716" s="1">
        <v>45548</v>
      </c>
      <c r="E716" t="s">
        <v>55</v>
      </c>
      <c r="F716" t="s">
        <v>31</v>
      </c>
      <c r="G716" t="s">
        <v>247</v>
      </c>
      <c r="H716" t="s">
        <v>166</v>
      </c>
      <c r="I716" s="3" t="s">
        <v>3320</v>
      </c>
      <c r="J716" s="3" t="s">
        <v>84</v>
      </c>
      <c r="K716" s="3" t="s">
        <v>3529</v>
      </c>
      <c r="L716" s="3" t="s">
        <v>4108</v>
      </c>
      <c r="M716">
        <v>282.31</v>
      </c>
      <c r="N716">
        <v>88</v>
      </c>
      <c r="O716">
        <f>Supply_Chain[[#This Row],[Unit_Price]]*Supply_Chain[[#This Row],[Quantity]]</f>
        <v>24843.279999999999</v>
      </c>
      <c r="P716" t="s">
        <v>2088</v>
      </c>
      <c r="Q716" t="s">
        <v>35</v>
      </c>
      <c r="R716" t="s">
        <v>388</v>
      </c>
      <c r="S716" t="s">
        <v>119</v>
      </c>
      <c r="T716" t="s">
        <v>71</v>
      </c>
      <c r="U716" t="s">
        <v>177</v>
      </c>
      <c r="V716">
        <v>1373</v>
      </c>
      <c r="W716">
        <v>483</v>
      </c>
      <c r="X716">
        <v>1</v>
      </c>
      <c r="Y716">
        <v>687.32</v>
      </c>
      <c r="Z716">
        <v>176.73</v>
      </c>
      <c r="AA716" s="9">
        <v>864.05000000000007</v>
      </c>
      <c r="AB716" t="s">
        <v>52</v>
      </c>
      <c r="AC716">
        <v>0</v>
      </c>
      <c r="AD716">
        <v>77.849999999999994</v>
      </c>
      <c r="AE716">
        <v>336</v>
      </c>
      <c r="AF716">
        <v>338</v>
      </c>
      <c r="AG716" s="11">
        <f>Supply_Chain[[#This Row],[Total_Cost]]/Supply_Chain[[#This Row],[Stock_On_Hand]]</f>
        <v>0.62931536780772035</v>
      </c>
    </row>
    <row r="717" spans="1:33" x14ac:dyDescent="0.25">
      <c r="A717" t="s">
        <v>2089</v>
      </c>
      <c r="B717" t="s">
        <v>2090</v>
      </c>
      <c r="C717" s="1">
        <v>44474</v>
      </c>
      <c r="D717" s="1">
        <v>44468</v>
      </c>
      <c r="E717" t="s">
        <v>30</v>
      </c>
      <c r="F717" t="s">
        <v>31</v>
      </c>
      <c r="G717" t="s">
        <v>45</v>
      </c>
      <c r="H717" t="s">
        <v>166</v>
      </c>
      <c r="I717" s="3" t="s">
        <v>3232</v>
      </c>
      <c r="J717" s="3" t="s">
        <v>84</v>
      </c>
      <c r="K717" s="3" t="s">
        <v>3526</v>
      </c>
      <c r="L717" s="3" t="s">
        <v>4022</v>
      </c>
      <c r="M717">
        <v>17.37</v>
      </c>
      <c r="N717">
        <v>18</v>
      </c>
      <c r="O717">
        <f>Supply_Chain[[#This Row],[Unit_Price]]*Supply_Chain[[#This Row],[Quantity]]</f>
        <v>312.66000000000003</v>
      </c>
      <c r="P717" t="s">
        <v>2091</v>
      </c>
      <c r="Q717" t="s">
        <v>86</v>
      </c>
      <c r="R717" t="s">
        <v>466</v>
      </c>
      <c r="S717" t="s">
        <v>119</v>
      </c>
      <c r="T717" t="s">
        <v>60</v>
      </c>
      <c r="U717" t="s">
        <v>227</v>
      </c>
      <c r="V717">
        <v>3696</v>
      </c>
      <c r="W717">
        <v>221</v>
      </c>
      <c r="X717">
        <v>12</v>
      </c>
      <c r="Y717">
        <v>769.9</v>
      </c>
      <c r="Z717">
        <v>391.29</v>
      </c>
      <c r="AA717" s="9">
        <v>1161.19</v>
      </c>
      <c r="AB717" t="s">
        <v>52</v>
      </c>
      <c r="AC717">
        <v>0</v>
      </c>
      <c r="AD717">
        <v>74.47</v>
      </c>
      <c r="AE717">
        <v>188</v>
      </c>
      <c r="AF717">
        <v>169</v>
      </c>
      <c r="AG717" s="11">
        <f>Supply_Chain[[#This Row],[Total_Cost]]/Supply_Chain[[#This Row],[Stock_On_Hand]]</f>
        <v>0.31417478354978357</v>
      </c>
    </row>
    <row r="718" spans="1:33" x14ac:dyDescent="0.25">
      <c r="A718" t="s">
        <v>2092</v>
      </c>
      <c r="B718" t="s">
        <v>2093</v>
      </c>
      <c r="C718" s="1">
        <v>44252</v>
      </c>
      <c r="D718" s="1">
        <v>45567</v>
      </c>
      <c r="E718" t="s">
        <v>55</v>
      </c>
      <c r="F718" t="s">
        <v>44</v>
      </c>
      <c r="G718" t="s">
        <v>76</v>
      </c>
      <c r="H718" t="s">
        <v>46</v>
      </c>
      <c r="I718" s="3" t="s">
        <v>2839</v>
      </c>
      <c r="J718" s="3" t="s">
        <v>84</v>
      </c>
      <c r="K718" s="3" t="s">
        <v>3534</v>
      </c>
      <c r="L718" s="3" t="s">
        <v>3638</v>
      </c>
      <c r="M718">
        <v>407.11</v>
      </c>
      <c r="N718">
        <v>75</v>
      </c>
      <c r="O718">
        <f>Supply_Chain[[#This Row],[Unit_Price]]*Supply_Chain[[#This Row],[Quantity]]</f>
        <v>30533.25</v>
      </c>
      <c r="P718" t="s">
        <v>1808</v>
      </c>
      <c r="Q718" t="s">
        <v>48</v>
      </c>
      <c r="R718" t="s">
        <v>253</v>
      </c>
      <c r="S718" t="s">
        <v>37</v>
      </c>
      <c r="T718" t="s">
        <v>79</v>
      </c>
      <c r="U718" t="s">
        <v>310</v>
      </c>
      <c r="V718">
        <v>2120</v>
      </c>
      <c r="W718">
        <v>94</v>
      </c>
      <c r="X718">
        <v>2</v>
      </c>
      <c r="Y718">
        <v>1410.11</v>
      </c>
      <c r="Z718">
        <v>373.17</v>
      </c>
      <c r="AA718" s="9">
        <v>1783.28</v>
      </c>
      <c r="AB718" t="s">
        <v>40</v>
      </c>
      <c r="AC718">
        <v>3</v>
      </c>
      <c r="AD718">
        <v>89.15</v>
      </c>
      <c r="AE718">
        <v>320</v>
      </c>
      <c r="AF718">
        <v>368</v>
      </c>
      <c r="AG718" s="11">
        <f>Supply_Chain[[#This Row],[Total_Cost]]/Supply_Chain[[#This Row],[Stock_On_Hand]]</f>
        <v>0.84116981132075475</v>
      </c>
    </row>
    <row r="719" spans="1:33" x14ac:dyDescent="0.25">
      <c r="A719" t="s">
        <v>2094</v>
      </c>
      <c r="B719" t="s">
        <v>2095</v>
      </c>
      <c r="C719" s="1">
        <v>44404</v>
      </c>
      <c r="D719" s="1">
        <v>45033</v>
      </c>
      <c r="E719" t="s">
        <v>55</v>
      </c>
      <c r="F719" t="s">
        <v>115</v>
      </c>
      <c r="G719" t="s">
        <v>45</v>
      </c>
      <c r="H719" t="s">
        <v>116</v>
      </c>
      <c r="I719" s="3" t="s">
        <v>2953</v>
      </c>
      <c r="J719" s="3" t="s">
        <v>3518</v>
      </c>
      <c r="K719" s="3" t="s">
        <v>3522</v>
      </c>
      <c r="L719" s="3" t="s">
        <v>3751</v>
      </c>
      <c r="M719">
        <v>99.05</v>
      </c>
      <c r="N719">
        <v>11</v>
      </c>
      <c r="O719">
        <f>Supply_Chain[[#This Row],[Unit_Price]]*Supply_Chain[[#This Row],[Quantity]]</f>
        <v>1089.55</v>
      </c>
      <c r="P719" t="s">
        <v>2096</v>
      </c>
      <c r="Q719" t="s">
        <v>110</v>
      </c>
      <c r="R719" t="s">
        <v>145</v>
      </c>
      <c r="S719" t="s">
        <v>50</v>
      </c>
      <c r="T719" t="s">
        <v>100</v>
      </c>
      <c r="U719" t="s">
        <v>545</v>
      </c>
      <c r="V719">
        <v>811</v>
      </c>
      <c r="W719">
        <v>226</v>
      </c>
      <c r="X719">
        <v>6</v>
      </c>
      <c r="Y719">
        <v>183.85</v>
      </c>
      <c r="Z719">
        <v>44.22</v>
      </c>
      <c r="AA719" s="9">
        <v>228.07</v>
      </c>
      <c r="AB719" t="s">
        <v>52</v>
      </c>
      <c r="AC719">
        <v>0</v>
      </c>
      <c r="AD719">
        <v>70.31</v>
      </c>
      <c r="AE719">
        <v>434</v>
      </c>
      <c r="AF719">
        <v>406</v>
      </c>
      <c r="AG719" s="11">
        <f>Supply_Chain[[#This Row],[Total_Cost]]/Supply_Chain[[#This Row],[Stock_On_Hand]]</f>
        <v>0.28122071516646113</v>
      </c>
    </row>
    <row r="720" spans="1:33" x14ac:dyDescent="0.25">
      <c r="A720" t="s">
        <v>2097</v>
      </c>
      <c r="B720" t="s">
        <v>2098</v>
      </c>
      <c r="C720" s="1">
        <v>45083</v>
      </c>
      <c r="D720" s="1">
        <v>45350</v>
      </c>
      <c r="E720" t="s">
        <v>55</v>
      </c>
      <c r="F720" t="s">
        <v>44</v>
      </c>
      <c r="G720" t="s">
        <v>65</v>
      </c>
      <c r="H720" t="s">
        <v>116</v>
      </c>
      <c r="I720" s="3" t="s">
        <v>2936</v>
      </c>
      <c r="J720" s="3" t="s">
        <v>84</v>
      </c>
      <c r="K720" s="3" t="s">
        <v>3531</v>
      </c>
      <c r="L720" s="3" t="s">
        <v>3735</v>
      </c>
      <c r="M720">
        <v>259.32</v>
      </c>
      <c r="N720">
        <v>86</v>
      </c>
      <c r="O720">
        <f>Supply_Chain[[#This Row],[Unit_Price]]*Supply_Chain[[#This Row],[Quantity]]</f>
        <v>22301.52</v>
      </c>
      <c r="P720" t="s">
        <v>1739</v>
      </c>
      <c r="Q720" t="s">
        <v>35</v>
      </c>
      <c r="R720" t="s">
        <v>130</v>
      </c>
      <c r="S720" t="s">
        <v>50</v>
      </c>
      <c r="T720" t="s">
        <v>79</v>
      </c>
      <c r="U720" t="s">
        <v>619</v>
      </c>
      <c r="V720">
        <v>3606</v>
      </c>
      <c r="W720">
        <v>482</v>
      </c>
      <c r="X720">
        <v>15</v>
      </c>
      <c r="Y720">
        <v>1841.16</v>
      </c>
      <c r="Z720">
        <v>274.52</v>
      </c>
      <c r="AA720" s="9">
        <v>2115.6799999999998</v>
      </c>
      <c r="AB720" t="s">
        <v>52</v>
      </c>
      <c r="AC720">
        <v>0</v>
      </c>
      <c r="AD720">
        <v>84.97</v>
      </c>
      <c r="AE720">
        <v>484</v>
      </c>
      <c r="AF720">
        <v>502</v>
      </c>
      <c r="AG720" s="11">
        <f>Supply_Chain[[#This Row],[Total_Cost]]/Supply_Chain[[#This Row],[Stock_On_Hand]]</f>
        <v>0.58671103716028838</v>
      </c>
    </row>
    <row r="721" spans="1:33" x14ac:dyDescent="0.25">
      <c r="A721" t="s">
        <v>2099</v>
      </c>
      <c r="B721" t="s">
        <v>2100</v>
      </c>
      <c r="C721" s="1">
        <v>44779</v>
      </c>
      <c r="D721" s="1">
        <v>44430</v>
      </c>
      <c r="E721" t="s">
        <v>55</v>
      </c>
      <c r="F721" t="s">
        <v>44</v>
      </c>
      <c r="G721" t="s">
        <v>91</v>
      </c>
      <c r="H721" t="s">
        <v>166</v>
      </c>
      <c r="I721" s="3" t="s">
        <v>3321</v>
      </c>
      <c r="J721" s="3" t="s">
        <v>3518</v>
      </c>
      <c r="K721" s="3" t="s">
        <v>3525</v>
      </c>
      <c r="L721" s="3" t="s">
        <v>4076</v>
      </c>
      <c r="M721">
        <v>93.29</v>
      </c>
      <c r="N721">
        <v>77</v>
      </c>
      <c r="O721">
        <f>Supply_Chain[[#This Row],[Unit_Price]]*Supply_Chain[[#This Row],[Quantity]]</f>
        <v>7183.3300000000008</v>
      </c>
      <c r="P721" t="s">
        <v>373</v>
      </c>
      <c r="Q721" t="s">
        <v>110</v>
      </c>
      <c r="R721" t="s">
        <v>99</v>
      </c>
      <c r="S721" t="s">
        <v>37</v>
      </c>
      <c r="T721" t="s">
        <v>79</v>
      </c>
      <c r="U721" t="s">
        <v>440</v>
      </c>
      <c r="V721">
        <v>3231</v>
      </c>
      <c r="W721">
        <v>64</v>
      </c>
      <c r="X721">
        <v>26</v>
      </c>
      <c r="Y721">
        <v>1161.1199999999999</v>
      </c>
      <c r="Z721">
        <v>361.54</v>
      </c>
      <c r="AA721" s="9">
        <v>1522.66</v>
      </c>
      <c r="AB721" t="s">
        <v>52</v>
      </c>
      <c r="AC721">
        <v>0</v>
      </c>
      <c r="AD721">
        <v>87.19</v>
      </c>
      <c r="AE721">
        <v>156</v>
      </c>
      <c r="AF721">
        <v>178</v>
      </c>
      <c r="AG721" s="11">
        <f>Supply_Chain[[#This Row],[Total_Cost]]/Supply_Chain[[#This Row],[Stock_On_Hand]]</f>
        <v>0.4712658619622408</v>
      </c>
    </row>
    <row r="722" spans="1:33" x14ac:dyDescent="0.25">
      <c r="A722" t="s">
        <v>2101</v>
      </c>
      <c r="B722" t="s">
        <v>2102</v>
      </c>
      <c r="C722" s="1">
        <v>44014</v>
      </c>
      <c r="D722" s="1">
        <v>45575</v>
      </c>
      <c r="E722" t="s">
        <v>55</v>
      </c>
      <c r="F722" t="s">
        <v>31</v>
      </c>
      <c r="G722" t="s">
        <v>65</v>
      </c>
      <c r="H722" t="s">
        <v>128</v>
      </c>
      <c r="I722" s="3" t="s">
        <v>3322</v>
      </c>
      <c r="J722" s="3" t="s">
        <v>3518</v>
      </c>
      <c r="K722" s="3" t="s">
        <v>3522</v>
      </c>
      <c r="L722" s="3" t="s">
        <v>4109</v>
      </c>
      <c r="M722">
        <v>467.8</v>
      </c>
      <c r="N722">
        <v>15</v>
      </c>
      <c r="O722">
        <f>Supply_Chain[[#This Row],[Unit_Price]]*Supply_Chain[[#This Row],[Quantity]]</f>
        <v>7017</v>
      </c>
      <c r="P722" t="s">
        <v>904</v>
      </c>
      <c r="Q722" t="s">
        <v>48</v>
      </c>
      <c r="R722" t="s">
        <v>819</v>
      </c>
      <c r="S722" t="s">
        <v>70</v>
      </c>
      <c r="T722" t="s">
        <v>100</v>
      </c>
      <c r="U722" t="s">
        <v>389</v>
      </c>
      <c r="V722">
        <v>3915</v>
      </c>
      <c r="W722">
        <v>440</v>
      </c>
      <c r="X722">
        <v>16</v>
      </c>
      <c r="Y722">
        <v>1259.19</v>
      </c>
      <c r="Z722">
        <v>124.5</v>
      </c>
      <c r="AA722" s="9">
        <v>1383.69</v>
      </c>
      <c r="AB722" t="s">
        <v>40</v>
      </c>
      <c r="AC722">
        <v>13</v>
      </c>
      <c r="AD722">
        <v>71.36</v>
      </c>
      <c r="AE722">
        <v>461</v>
      </c>
      <c r="AF722">
        <v>489</v>
      </c>
      <c r="AG722" s="11">
        <f>Supply_Chain[[#This Row],[Total_Cost]]/Supply_Chain[[#This Row],[Stock_On_Hand]]</f>
        <v>0.35343295019157089</v>
      </c>
    </row>
    <row r="723" spans="1:33" x14ac:dyDescent="0.25">
      <c r="A723" t="s">
        <v>2103</v>
      </c>
      <c r="B723" t="s">
        <v>2104</v>
      </c>
      <c r="C723" s="1">
        <v>44865</v>
      </c>
      <c r="D723" s="1">
        <v>44065</v>
      </c>
      <c r="E723" t="s">
        <v>43</v>
      </c>
      <c r="F723" t="s">
        <v>31</v>
      </c>
      <c r="G723" t="s">
        <v>247</v>
      </c>
      <c r="H723" t="s">
        <v>57</v>
      </c>
      <c r="I723" s="3" t="s">
        <v>2840</v>
      </c>
      <c r="J723" s="3" t="s">
        <v>3518</v>
      </c>
      <c r="K723" s="3" t="s">
        <v>3522</v>
      </c>
      <c r="L723" s="3" t="s">
        <v>3639</v>
      </c>
      <c r="M723">
        <v>393.51</v>
      </c>
      <c r="N723">
        <v>66</v>
      </c>
      <c r="O723">
        <f>Supply_Chain[[#This Row],[Unit_Price]]*Supply_Chain[[#This Row],[Quantity]]</f>
        <v>25971.66</v>
      </c>
      <c r="P723" t="s">
        <v>754</v>
      </c>
      <c r="Q723" t="s">
        <v>68</v>
      </c>
      <c r="R723" t="s">
        <v>140</v>
      </c>
      <c r="S723" t="s">
        <v>37</v>
      </c>
      <c r="T723" t="s">
        <v>79</v>
      </c>
      <c r="U723" t="s">
        <v>215</v>
      </c>
      <c r="V723">
        <v>1738</v>
      </c>
      <c r="W723">
        <v>247</v>
      </c>
      <c r="X723">
        <v>17</v>
      </c>
      <c r="Y723">
        <v>1299.0999999999999</v>
      </c>
      <c r="Z723">
        <v>185.45</v>
      </c>
      <c r="AA723" s="9">
        <v>1484.55</v>
      </c>
      <c r="AB723" t="s">
        <v>52</v>
      </c>
      <c r="AC723">
        <v>0</v>
      </c>
      <c r="AD723">
        <v>77.650000000000006</v>
      </c>
      <c r="AE723">
        <v>379</v>
      </c>
      <c r="AF723">
        <v>386</v>
      </c>
      <c r="AG723" s="11">
        <f>Supply_Chain[[#This Row],[Total_Cost]]/Supply_Chain[[#This Row],[Stock_On_Hand]]</f>
        <v>0.85417146144994238</v>
      </c>
    </row>
    <row r="724" spans="1:33" x14ac:dyDescent="0.25">
      <c r="A724" t="s">
        <v>2105</v>
      </c>
      <c r="B724" t="s">
        <v>2106</v>
      </c>
      <c r="C724" s="1">
        <v>43998</v>
      </c>
      <c r="D724" s="1">
        <v>44755</v>
      </c>
      <c r="E724" t="s">
        <v>30</v>
      </c>
      <c r="F724" t="s">
        <v>64</v>
      </c>
      <c r="G724" t="s">
        <v>45</v>
      </c>
      <c r="H724" t="s">
        <v>116</v>
      </c>
      <c r="I724" s="3" t="s">
        <v>3323</v>
      </c>
      <c r="J724" s="3" t="s">
        <v>3518</v>
      </c>
      <c r="K724" s="3" t="s">
        <v>3523</v>
      </c>
      <c r="L724" s="3" t="s">
        <v>4110</v>
      </c>
      <c r="M724">
        <v>377.76</v>
      </c>
      <c r="N724">
        <v>31</v>
      </c>
      <c r="O724">
        <f>Supply_Chain[[#This Row],[Unit_Price]]*Supply_Chain[[#This Row],[Quantity]]</f>
        <v>11710.56</v>
      </c>
      <c r="P724" t="s">
        <v>2107</v>
      </c>
      <c r="Q724" t="s">
        <v>35</v>
      </c>
      <c r="R724" t="s">
        <v>610</v>
      </c>
      <c r="S724" t="s">
        <v>70</v>
      </c>
      <c r="T724" t="s">
        <v>60</v>
      </c>
      <c r="U724" t="s">
        <v>302</v>
      </c>
      <c r="V724">
        <v>4547</v>
      </c>
      <c r="W724">
        <v>292</v>
      </c>
      <c r="X724">
        <v>29</v>
      </c>
      <c r="Y724">
        <v>1841.9</v>
      </c>
      <c r="Z724">
        <v>34.1</v>
      </c>
      <c r="AA724" s="9">
        <v>1876</v>
      </c>
      <c r="AB724" t="s">
        <v>52</v>
      </c>
      <c r="AC724">
        <v>0</v>
      </c>
      <c r="AD724">
        <v>71.03</v>
      </c>
      <c r="AE724">
        <v>251</v>
      </c>
      <c r="AF724">
        <v>278</v>
      </c>
      <c r="AG724" s="11">
        <f>Supply_Chain[[#This Row],[Total_Cost]]/Supply_Chain[[#This Row],[Stock_On_Hand]]</f>
        <v>0.41257972289421596</v>
      </c>
    </row>
    <row r="725" spans="1:33" x14ac:dyDescent="0.25">
      <c r="A725" t="s">
        <v>2108</v>
      </c>
      <c r="B725" t="s">
        <v>2109</v>
      </c>
      <c r="C725" s="1">
        <v>44430</v>
      </c>
      <c r="D725" s="1">
        <v>44070</v>
      </c>
      <c r="E725" t="s">
        <v>55</v>
      </c>
      <c r="F725" t="s">
        <v>75</v>
      </c>
      <c r="G725" t="s">
        <v>83</v>
      </c>
      <c r="H725" t="s">
        <v>92</v>
      </c>
      <c r="I725" s="3" t="s">
        <v>3324</v>
      </c>
      <c r="J725" s="3" t="s">
        <v>3518</v>
      </c>
      <c r="K725" s="3" t="s">
        <v>3521</v>
      </c>
      <c r="L725" s="3" t="s">
        <v>4111</v>
      </c>
      <c r="M725">
        <v>340.31</v>
      </c>
      <c r="N725">
        <v>47</v>
      </c>
      <c r="O725">
        <f>Supply_Chain[[#This Row],[Unit_Price]]*Supply_Chain[[#This Row],[Quantity]]</f>
        <v>15994.57</v>
      </c>
      <c r="P725" t="s">
        <v>1839</v>
      </c>
      <c r="Q725" t="s">
        <v>48</v>
      </c>
      <c r="R725" t="s">
        <v>327</v>
      </c>
      <c r="S725" t="s">
        <v>37</v>
      </c>
      <c r="T725" t="s">
        <v>71</v>
      </c>
      <c r="U725" t="s">
        <v>168</v>
      </c>
      <c r="V725">
        <v>225</v>
      </c>
      <c r="W725">
        <v>220</v>
      </c>
      <c r="X725">
        <v>6</v>
      </c>
      <c r="Y725">
        <v>324.87</v>
      </c>
      <c r="Z725">
        <v>426.26</v>
      </c>
      <c r="AA725" s="9">
        <v>751.13</v>
      </c>
      <c r="AB725" t="s">
        <v>52</v>
      </c>
      <c r="AC725">
        <v>0</v>
      </c>
      <c r="AD725">
        <v>89.76</v>
      </c>
      <c r="AE725">
        <v>434</v>
      </c>
      <c r="AF725">
        <v>446</v>
      </c>
      <c r="AG725" s="11">
        <f>Supply_Chain[[#This Row],[Total_Cost]]/Supply_Chain[[#This Row],[Stock_On_Hand]]</f>
        <v>3.3383555555555557</v>
      </c>
    </row>
    <row r="726" spans="1:33" x14ac:dyDescent="0.25">
      <c r="A726" t="s">
        <v>2110</v>
      </c>
      <c r="B726" t="s">
        <v>2111</v>
      </c>
      <c r="C726" s="1">
        <v>45547</v>
      </c>
      <c r="D726" s="1">
        <v>44055</v>
      </c>
      <c r="E726" t="s">
        <v>55</v>
      </c>
      <c r="F726" t="s">
        <v>44</v>
      </c>
      <c r="G726" t="s">
        <v>32</v>
      </c>
      <c r="H726" t="s">
        <v>57</v>
      </c>
      <c r="I726" s="3" t="s">
        <v>2931</v>
      </c>
      <c r="J726" s="3" t="s">
        <v>3518</v>
      </c>
      <c r="K726" s="3" t="s">
        <v>3521</v>
      </c>
      <c r="L726" s="3" t="s">
        <v>3730</v>
      </c>
      <c r="M726">
        <v>473.42</v>
      </c>
      <c r="N726">
        <v>9</v>
      </c>
      <c r="O726">
        <f>Supply_Chain[[#This Row],[Unit_Price]]*Supply_Chain[[#This Row],[Quantity]]</f>
        <v>4260.78</v>
      </c>
      <c r="P726" t="s">
        <v>2112</v>
      </c>
      <c r="Q726" t="s">
        <v>35</v>
      </c>
      <c r="R726" t="s">
        <v>87</v>
      </c>
      <c r="S726" t="s">
        <v>50</v>
      </c>
      <c r="T726" t="s">
        <v>79</v>
      </c>
      <c r="U726" t="s">
        <v>227</v>
      </c>
      <c r="V726">
        <v>1052</v>
      </c>
      <c r="W726">
        <v>268</v>
      </c>
      <c r="X726">
        <v>24</v>
      </c>
      <c r="Y726">
        <v>439.48</v>
      </c>
      <c r="Z726">
        <v>304.36</v>
      </c>
      <c r="AA726" s="9">
        <v>743.84</v>
      </c>
      <c r="AB726" t="s">
        <v>52</v>
      </c>
      <c r="AC726">
        <v>0</v>
      </c>
      <c r="AD726">
        <v>90.91</v>
      </c>
      <c r="AE726">
        <v>169</v>
      </c>
      <c r="AF726">
        <v>216</v>
      </c>
      <c r="AG726" s="11">
        <f>Supply_Chain[[#This Row],[Total_Cost]]/Supply_Chain[[#This Row],[Stock_On_Hand]]</f>
        <v>0.7070722433460076</v>
      </c>
    </row>
    <row r="727" spans="1:33" x14ac:dyDescent="0.25">
      <c r="A727" t="s">
        <v>2113</v>
      </c>
      <c r="B727" t="s">
        <v>2114</v>
      </c>
      <c r="C727" s="1">
        <v>44862</v>
      </c>
      <c r="D727" s="1">
        <v>44567</v>
      </c>
      <c r="E727" t="s">
        <v>55</v>
      </c>
      <c r="F727" t="s">
        <v>31</v>
      </c>
      <c r="G727" t="s">
        <v>65</v>
      </c>
      <c r="H727" t="s">
        <v>128</v>
      </c>
      <c r="I727" s="3" t="s">
        <v>2811</v>
      </c>
      <c r="J727" s="3" t="s">
        <v>3518</v>
      </c>
      <c r="K727" s="3" t="s">
        <v>3521</v>
      </c>
      <c r="L727" s="3" t="s">
        <v>3610</v>
      </c>
      <c r="M727">
        <v>148.03</v>
      </c>
      <c r="N727">
        <v>45</v>
      </c>
      <c r="O727">
        <f>Supply_Chain[[#This Row],[Unit_Price]]*Supply_Chain[[#This Row],[Quantity]]</f>
        <v>6661.35</v>
      </c>
      <c r="P727" t="s">
        <v>222</v>
      </c>
      <c r="Q727" t="s">
        <v>110</v>
      </c>
      <c r="R727" t="s">
        <v>176</v>
      </c>
      <c r="S727" t="s">
        <v>37</v>
      </c>
      <c r="T727" t="s">
        <v>38</v>
      </c>
      <c r="U727" t="s">
        <v>207</v>
      </c>
      <c r="V727">
        <v>1757</v>
      </c>
      <c r="W727">
        <v>111</v>
      </c>
      <c r="X727">
        <v>6</v>
      </c>
      <c r="Y727">
        <v>490.04</v>
      </c>
      <c r="Z727">
        <v>89.22</v>
      </c>
      <c r="AA727" s="9">
        <v>579.26</v>
      </c>
      <c r="AB727" t="s">
        <v>52</v>
      </c>
      <c r="AC727">
        <v>0</v>
      </c>
      <c r="AD727">
        <v>72.12</v>
      </c>
      <c r="AE727">
        <v>80</v>
      </c>
      <c r="AF727">
        <v>68</v>
      </c>
      <c r="AG727" s="11">
        <f>Supply_Chain[[#This Row],[Total_Cost]]/Supply_Chain[[#This Row],[Stock_On_Hand]]</f>
        <v>0.32968696642003414</v>
      </c>
    </row>
    <row r="728" spans="1:33" x14ac:dyDescent="0.25">
      <c r="A728" t="s">
        <v>2115</v>
      </c>
      <c r="B728" t="s">
        <v>2116</v>
      </c>
      <c r="C728" s="1">
        <v>45144</v>
      </c>
      <c r="D728" s="1">
        <v>44561</v>
      </c>
      <c r="E728" t="s">
        <v>43</v>
      </c>
      <c r="F728" t="s">
        <v>64</v>
      </c>
      <c r="G728" t="s">
        <v>56</v>
      </c>
      <c r="H728" t="s">
        <v>33</v>
      </c>
      <c r="I728" s="3" t="s">
        <v>3325</v>
      </c>
      <c r="J728" s="3" t="s">
        <v>3518</v>
      </c>
      <c r="K728" s="3" t="s">
        <v>3524</v>
      </c>
      <c r="L728" s="3" t="s">
        <v>4112</v>
      </c>
      <c r="M728">
        <v>145.82</v>
      </c>
      <c r="N728">
        <v>12</v>
      </c>
      <c r="O728">
        <f>Supply_Chain[[#This Row],[Unit_Price]]*Supply_Chain[[#This Row],[Quantity]]</f>
        <v>1749.84</v>
      </c>
      <c r="P728" t="s">
        <v>2117</v>
      </c>
      <c r="Q728" t="s">
        <v>35</v>
      </c>
      <c r="R728" t="s">
        <v>248</v>
      </c>
      <c r="S728" t="s">
        <v>119</v>
      </c>
      <c r="T728" t="s">
        <v>38</v>
      </c>
      <c r="U728" t="s">
        <v>499</v>
      </c>
      <c r="V728">
        <v>2888</v>
      </c>
      <c r="W728">
        <v>424</v>
      </c>
      <c r="X728">
        <v>9</v>
      </c>
      <c r="Y728">
        <v>1521.87</v>
      </c>
      <c r="Z728">
        <v>342.97</v>
      </c>
      <c r="AA728" s="9">
        <v>1864.84</v>
      </c>
      <c r="AB728" t="s">
        <v>52</v>
      </c>
      <c r="AC728">
        <v>0</v>
      </c>
      <c r="AD728">
        <v>89.52</v>
      </c>
      <c r="AE728">
        <v>493</v>
      </c>
      <c r="AF728">
        <v>502</v>
      </c>
      <c r="AG728" s="11">
        <f>Supply_Chain[[#This Row],[Total_Cost]]/Supply_Chain[[#This Row],[Stock_On_Hand]]</f>
        <v>0.64572022160664821</v>
      </c>
    </row>
    <row r="729" spans="1:33" x14ac:dyDescent="0.25">
      <c r="A729" t="s">
        <v>2118</v>
      </c>
      <c r="B729" t="s">
        <v>2119</v>
      </c>
      <c r="C729" s="1">
        <v>45387</v>
      </c>
      <c r="D729" s="1">
        <v>44375</v>
      </c>
      <c r="E729" t="s">
        <v>55</v>
      </c>
      <c r="F729" t="s">
        <v>115</v>
      </c>
      <c r="G729" t="s">
        <v>76</v>
      </c>
      <c r="H729" t="s">
        <v>128</v>
      </c>
      <c r="I729" s="3" t="s">
        <v>2905</v>
      </c>
      <c r="J729" s="3" t="s">
        <v>84</v>
      </c>
      <c r="K729" s="3" t="s">
        <v>3526</v>
      </c>
      <c r="L729" s="3" t="s">
        <v>3704</v>
      </c>
      <c r="M729">
        <v>258.77</v>
      </c>
      <c r="N729">
        <v>32</v>
      </c>
      <c r="O729">
        <f>Supply_Chain[[#This Row],[Unit_Price]]*Supply_Chain[[#This Row],[Quantity]]</f>
        <v>8280.64</v>
      </c>
      <c r="P729" t="s">
        <v>1328</v>
      </c>
      <c r="Q729" t="s">
        <v>68</v>
      </c>
      <c r="R729" t="s">
        <v>145</v>
      </c>
      <c r="S729" t="s">
        <v>50</v>
      </c>
      <c r="T729" t="s">
        <v>71</v>
      </c>
      <c r="U729" t="s">
        <v>545</v>
      </c>
      <c r="V729">
        <v>4312</v>
      </c>
      <c r="W729">
        <v>232</v>
      </c>
      <c r="X729">
        <v>1</v>
      </c>
      <c r="Y729">
        <v>948.87</v>
      </c>
      <c r="Z729">
        <v>159.35</v>
      </c>
      <c r="AA729" s="9">
        <v>1108.22</v>
      </c>
      <c r="AB729" t="s">
        <v>52</v>
      </c>
      <c r="AC729">
        <v>0</v>
      </c>
      <c r="AD729">
        <v>92.41</v>
      </c>
      <c r="AE729">
        <v>416</v>
      </c>
      <c r="AF729">
        <v>431</v>
      </c>
      <c r="AG729" s="11">
        <f>Supply_Chain[[#This Row],[Total_Cost]]/Supply_Chain[[#This Row],[Stock_On_Hand]]</f>
        <v>0.25700834879406309</v>
      </c>
    </row>
    <row r="730" spans="1:33" x14ac:dyDescent="0.25">
      <c r="A730" t="s">
        <v>2120</v>
      </c>
      <c r="B730" t="s">
        <v>2121</v>
      </c>
      <c r="C730" s="1">
        <v>44779</v>
      </c>
      <c r="D730" s="1">
        <v>44442</v>
      </c>
      <c r="E730" t="s">
        <v>55</v>
      </c>
      <c r="F730" t="s">
        <v>44</v>
      </c>
      <c r="G730" t="s">
        <v>65</v>
      </c>
      <c r="H730" t="s">
        <v>46</v>
      </c>
      <c r="I730" s="3" t="s">
        <v>3326</v>
      </c>
      <c r="J730" s="3" t="s">
        <v>84</v>
      </c>
      <c r="K730" s="3" t="s">
        <v>3529</v>
      </c>
      <c r="L730" s="3" t="s">
        <v>4113</v>
      </c>
      <c r="M730">
        <v>189.54</v>
      </c>
      <c r="N730">
        <v>12</v>
      </c>
      <c r="O730">
        <f>Supply_Chain[[#This Row],[Unit_Price]]*Supply_Chain[[#This Row],[Quantity]]</f>
        <v>2274.48</v>
      </c>
      <c r="P730" t="s">
        <v>2122</v>
      </c>
      <c r="Q730" t="s">
        <v>68</v>
      </c>
      <c r="R730" t="s">
        <v>819</v>
      </c>
      <c r="S730" t="s">
        <v>37</v>
      </c>
      <c r="T730" t="s">
        <v>38</v>
      </c>
      <c r="U730" t="s">
        <v>809</v>
      </c>
      <c r="V730">
        <v>32</v>
      </c>
      <c r="W730">
        <v>427</v>
      </c>
      <c r="X730">
        <v>7</v>
      </c>
      <c r="Y730">
        <v>309.01</v>
      </c>
      <c r="Z730">
        <v>171.3</v>
      </c>
      <c r="AA730" s="9">
        <v>480.31</v>
      </c>
      <c r="AB730" t="s">
        <v>52</v>
      </c>
      <c r="AC730">
        <v>0</v>
      </c>
      <c r="AD730">
        <v>76.88</v>
      </c>
      <c r="AE730">
        <v>437</v>
      </c>
      <c r="AF730">
        <v>412</v>
      </c>
      <c r="AG730" s="11">
        <f>Supply_Chain[[#This Row],[Total_Cost]]/Supply_Chain[[#This Row],[Stock_On_Hand]]</f>
        <v>15.0096875</v>
      </c>
    </row>
    <row r="731" spans="1:33" x14ac:dyDescent="0.25">
      <c r="A731" t="s">
        <v>2123</v>
      </c>
      <c r="B731" t="s">
        <v>2124</v>
      </c>
      <c r="C731" s="1">
        <v>44149</v>
      </c>
      <c r="D731" s="1">
        <v>44486</v>
      </c>
      <c r="E731" t="s">
        <v>55</v>
      </c>
      <c r="F731" t="s">
        <v>31</v>
      </c>
      <c r="G731" t="s">
        <v>83</v>
      </c>
      <c r="H731" t="s">
        <v>166</v>
      </c>
      <c r="I731" s="3" t="s">
        <v>3327</v>
      </c>
      <c r="J731" s="3" t="s">
        <v>3518</v>
      </c>
      <c r="K731" s="3" t="s">
        <v>3522</v>
      </c>
      <c r="L731" s="3" t="s">
        <v>4114</v>
      </c>
      <c r="M731">
        <v>295.95</v>
      </c>
      <c r="N731">
        <v>43</v>
      </c>
      <c r="O731">
        <f>Supply_Chain[[#This Row],[Unit_Price]]*Supply_Chain[[#This Row],[Quantity]]</f>
        <v>12725.85</v>
      </c>
      <c r="P731" t="s">
        <v>1174</v>
      </c>
      <c r="Q731" t="s">
        <v>68</v>
      </c>
      <c r="R731" t="s">
        <v>466</v>
      </c>
      <c r="S731" t="s">
        <v>50</v>
      </c>
      <c r="T731" t="s">
        <v>71</v>
      </c>
      <c r="U731" t="s">
        <v>370</v>
      </c>
      <c r="V731">
        <v>1154</v>
      </c>
      <c r="W731">
        <v>194</v>
      </c>
      <c r="X731">
        <v>9</v>
      </c>
      <c r="Y731">
        <v>106.49</v>
      </c>
      <c r="Z731">
        <v>123.51</v>
      </c>
      <c r="AA731" s="9">
        <v>230</v>
      </c>
      <c r="AB731" t="s">
        <v>52</v>
      </c>
      <c r="AC731">
        <v>0</v>
      </c>
      <c r="AD731">
        <v>78.930000000000007</v>
      </c>
      <c r="AE731">
        <v>469</v>
      </c>
      <c r="AF731">
        <v>423</v>
      </c>
      <c r="AG731" s="11">
        <f>Supply_Chain[[#This Row],[Total_Cost]]/Supply_Chain[[#This Row],[Stock_On_Hand]]</f>
        <v>0.19930675909878684</v>
      </c>
    </row>
    <row r="732" spans="1:33" x14ac:dyDescent="0.25">
      <c r="A732" t="s">
        <v>2125</v>
      </c>
      <c r="B732" t="s">
        <v>2126</v>
      </c>
      <c r="C732" s="1">
        <v>45615</v>
      </c>
      <c r="D732" s="1">
        <v>44425</v>
      </c>
      <c r="E732" t="s">
        <v>55</v>
      </c>
      <c r="F732" t="s">
        <v>44</v>
      </c>
      <c r="G732" t="s">
        <v>32</v>
      </c>
      <c r="H732" t="s">
        <v>166</v>
      </c>
      <c r="I732" s="3" t="s">
        <v>3328</v>
      </c>
      <c r="J732" s="3" t="s">
        <v>3518</v>
      </c>
      <c r="K732" s="3" t="s">
        <v>3523</v>
      </c>
      <c r="L732" s="3" t="s">
        <v>4115</v>
      </c>
      <c r="M732">
        <v>114.26</v>
      </c>
      <c r="N732">
        <v>4</v>
      </c>
      <c r="O732">
        <f>Supply_Chain[[#This Row],[Unit_Price]]*Supply_Chain[[#This Row],[Quantity]]</f>
        <v>457.04</v>
      </c>
      <c r="P732" t="s">
        <v>1582</v>
      </c>
      <c r="Q732" t="s">
        <v>86</v>
      </c>
      <c r="R732" t="s">
        <v>135</v>
      </c>
      <c r="S732" t="s">
        <v>70</v>
      </c>
      <c r="T732" t="s">
        <v>100</v>
      </c>
      <c r="U732" t="s">
        <v>291</v>
      </c>
      <c r="V732">
        <v>4767</v>
      </c>
      <c r="W732">
        <v>297</v>
      </c>
      <c r="X732">
        <v>27</v>
      </c>
      <c r="Y732">
        <v>1095.25</v>
      </c>
      <c r="Z732">
        <v>120.39</v>
      </c>
      <c r="AA732" s="9">
        <v>1215.6400000000001</v>
      </c>
      <c r="AB732" t="s">
        <v>40</v>
      </c>
      <c r="AC732">
        <v>11</v>
      </c>
      <c r="AD732">
        <v>83.49</v>
      </c>
      <c r="AE732">
        <v>101</v>
      </c>
      <c r="AF732">
        <v>59</v>
      </c>
      <c r="AG732" s="11">
        <f>Supply_Chain[[#This Row],[Total_Cost]]/Supply_Chain[[#This Row],[Stock_On_Hand]]</f>
        <v>0.25501153765470946</v>
      </c>
    </row>
    <row r="733" spans="1:33" x14ac:dyDescent="0.25">
      <c r="A733" t="s">
        <v>2127</v>
      </c>
      <c r="B733" t="s">
        <v>2128</v>
      </c>
      <c r="C733" s="1">
        <v>45066</v>
      </c>
      <c r="D733" s="1">
        <v>44551</v>
      </c>
      <c r="E733" t="s">
        <v>43</v>
      </c>
      <c r="F733" t="s">
        <v>64</v>
      </c>
      <c r="G733" t="s">
        <v>32</v>
      </c>
      <c r="H733" t="s">
        <v>66</v>
      </c>
      <c r="I733" s="3" t="s">
        <v>3118</v>
      </c>
      <c r="J733" s="3" t="s">
        <v>3518</v>
      </c>
      <c r="K733" s="3" t="s">
        <v>3521</v>
      </c>
      <c r="L733" s="3" t="s">
        <v>3913</v>
      </c>
      <c r="M733">
        <v>276.55</v>
      </c>
      <c r="N733">
        <v>92</v>
      </c>
      <c r="O733">
        <f>Supply_Chain[[#This Row],[Unit_Price]]*Supply_Chain[[#This Row],[Quantity]]</f>
        <v>25442.600000000002</v>
      </c>
      <c r="P733" t="s">
        <v>2129</v>
      </c>
      <c r="Q733" t="s">
        <v>110</v>
      </c>
      <c r="R733" t="s">
        <v>176</v>
      </c>
      <c r="S733" t="s">
        <v>37</v>
      </c>
      <c r="T733" t="s">
        <v>79</v>
      </c>
      <c r="U733" t="s">
        <v>265</v>
      </c>
      <c r="V733">
        <v>676</v>
      </c>
      <c r="W733">
        <v>473</v>
      </c>
      <c r="X733">
        <v>26</v>
      </c>
      <c r="Y733">
        <v>622.55999999999995</v>
      </c>
      <c r="Z733">
        <v>22.22</v>
      </c>
      <c r="AA733" s="9">
        <v>644.78</v>
      </c>
      <c r="AB733" t="s">
        <v>52</v>
      </c>
      <c r="AC733">
        <v>0</v>
      </c>
      <c r="AD733">
        <v>96.24</v>
      </c>
      <c r="AE733">
        <v>58</v>
      </c>
      <c r="AF733">
        <v>101</v>
      </c>
      <c r="AG733" s="11">
        <f>Supply_Chain[[#This Row],[Total_Cost]]/Supply_Chain[[#This Row],[Stock_On_Hand]]</f>
        <v>0.95381656804733728</v>
      </c>
    </row>
    <row r="734" spans="1:33" x14ac:dyDescent="0.25">
      <c r="A734" t="s">
        <v>2130</v>
      </c>
      <c r="B734" t="s">
        <v>2131</v>
      </c>
      <c r="C734" s="1">
        <v>44270</v>
      </c>
      <c r="D734" s="1">
        <v>45003</v>
      </c>
      <c r="E734" t="s">
        <v>43</v>
      </c>
      <c r="F734" t="s">
        <v>31</v>
      </c>
      <c r="G734" t="s">
        <v>91</v>
      </c>
      <c r="H734" t="s">
        <v>57</v>
      </c>
      <c r="I734" s="3" t="s">
        <v>3329</v>
      </c>
      <c r="J734" s="3" t="s">
        <v>3518</v>
      </c>
      <c r="K734" s="3" t="s">
        <v>3521</v>
      </c>
      <c r="L734" s="3" t="s">
        <v>4116</v>
      </c>
      <c r="M734">
        <v>128.09</v>
      </c>
      <c r="N734">
        <v>39</v>
      </c>
      <c r="O734">
        <f>Supply_Chain[[#This Row],[Unit_Price]]*Supply_Chain[[#This Row],[Quantity]]</f>
        <v>4995.51</v>
      </c>
      <c r="P734" t="s">
        <v>2132</v>
      </c>
      <c r="Q734" t="s">
        <v>86</v>
      </c>
      <c r="R734" t="s">
        <v>99</v>
      </c>
      <c r="S734" t="s">
        <v>119</v>
      </c>
      <c r="T734" t="s">
        <v>100</v>
      </c>
      <c r="U734" t="s">
        <v>378</v>
      </c>
      <c r="V734">
        <v>2572</v>
      </c>
      <c r="W734">
        <v>463</v>
      </c>
      <c r="X734">
        <v>28</v>
      </c>
      <c r="Y734">
        <v>305.69</v>
      </c>
      <c r="Z734">
        <v>476.01</v>
      </c>
      <c r="AA734" s="9">
        <v>781.7</v>
      </c>
      <c r="AB734" t="s">
        <v>40</v>
      </c>
      <c r="AC734">
        <v>5</v>
      </c>
      <c r="AD734">
        <v>85.57</v>
      </c>
      <c r="AE734">
        <v>371</v>
      </c>
      <c r="AF734">
        <v>387</v>
      </c>
      <c r="AG734" s="11">
        <f>Supply_Chain[[#This Row],[Total_Cost]]/Supply_Chain[[#This Row],[Stock_On_Hand]]</f>
        <v>0.30392690513219284</v>
      </c>
    </row>
    <row r="735" spans="1:33" x14ac:dyDescent="0.25">
      <c r="A735" t="s">
        <v>2133</v>
      </c>
      <c r="B735" t="s">
        <v>2134</v>
      </c>
      <c r="C735" s="1">
        <v>44538</v>
      </c>
      <c r="D735" s="1">
        <v>44330</v>
      </c>
      <c r="E735" t="s">
        <v>55</v>
      </c>
      <c r="F735" t="s">
        <v>64</v>
      </c>
      <c r="G735" t="s">
        <v>83</v>
      </c>
      <c r="H735" t="s">
        <v>128</v>
      </c>
      <c r="I735" s="3" t="s">
        <v>3330</v>
      </c>
      <c r="J735" s="3" t="s">
        <v>3518</v>
      </c>
      <c r="K735" s="3" t="s">
        <v>3521</v>
      </c>
      <c r="L735" s="3" t="s">
        <v>4117</v>
      </c>
      <c r="M735">
        <v>264.52999999999997</v>
      </c>
      <c r="N735">
        <v>19</v>
      </c>
      <c r="O735">
        <f>Supply_Chain[[#This Row],[Unit_Price]]*Supply_Chain[[#This Row],[Quantity]]</f>
        <v>5026.07</v>
      </c>
      <c r="P735" t="s">
        <v>1772</v>
      </c>
      <c r="Q735" t="s">
        <v>68</v>
      </c>
      <c r="R735" t="s">
        <v>124</v>
      </c>
      <c r="S735" t="s">
        <v>119</v>
      </c>
      <c r="T735" t="s">
        <v>100</v>
      </c>
      <c r="U735" t="s">
        <v>499</v>
      </c>
      <c r="V735">
        <v>1522</v>
      </c>
      <c r="W735">
        <v>299</v>
      </c>
      <c r="X735">
        <v>6</v>
      </c>
      <c r="Y735">
        <v>88.1</v>
      </c>
      <c r="Z735">
        <v>288.42</v>
      </c>
      <c r="AA735" s="9">
        <v>376.52</v>
      </c>
      <c r="AB735" t="s">
        <v>52</v>
      </c>
      <c r="AC735">
        <v>0</v>
      </c>
      <c r="AD735">
        <v>82.37</v>
      </c>
      <c r="AE735">
        <v>81</v>
      </c>
      <c r="AF735">
        <v>52</v>
      </c>
      <c r="AG735" s="11">
        <f>Supply_Chain[[#This Row],[Total_Cost]]/Supply_Chain[[#This Row],[Stock_On_Hand]]</f>
        <v>0.24738501971090668</v>
      </c>
    </row>
    <row r="736" spans="1:33" x14ac:dyDescent="0.25">
      <c r="A736" t="s">
        <v>2135</v>
      </c>
      <c r="B736" t="s">
        <v>2136</v>
      </c>
      <c r="C736" s="1">
        <v>43968</v>
      </c>
      <c r="D736" s="1">
        <v>45091</v>
      </c>
      <c r="E736" t="s">
        <v>55</v>
      </c>
      <c r="F736" t="s">
        <v>64</v>
      </c>
      <c r="G736" t="s">
        <v>247</v>
      </c>
      <c r="H736" t="s">
        <v>33</v>
      </c>
      <c r="I736" s="3" t="s">
        <v>3331</v>
      </c>
      <c r="J736" s="3" t="s">
        <v>3519</v>
      </c>
      <c r="K736" s="3" t="s">
        <v>3528</v>
      </c>
      <c r="L736" s="3" t="s">
        <v>4118</v>
      </c>
      <c r="M736">
        <v>251.22</v>
      </c>
      <c r="N736">
        <v>23</v>
      </c>
      <c r="O736">
        <f>Supply_Chain[[#This Row],[Unit_Price]]*Supply_Chain[[#This Row],[Quantity]]</f>
        <v>5778.06</v>
      </c>
      <c r="P736" t="s">
        <v>425</v>
      </c>
      <c r="Q736" t="s">
        <v>86</v>
      </c>
      <c r="R736" t="s">
        <v>87</v>
      </c>
      <c r="S736" t="s">
        <v>37</v>
      </c>
      <c r="T736" t="s">
        <v>38</v>
      </c>
      <c r="U736" t="s">
        <v>168</v>
      </c>
      <c r="V736">
        <v>548</v>
      </c>
      <c r="W736">
        <v>98</v>
      </c>
      <c r="X736">
        <v>29</v>
      </c>
      <c r="Y736">
        <v>1407.31</v>
      </c>
      <c r="Z736">
        <v>181.74</v>
      </c>
      <c r="AA736" s="9">
        <v>1589.05</v>
      </c>
      <c r="AB736" t="s">
        <v>52</v>
      </c>
      <c r="AC736">
        <v>0</v>
      </c>
      <c r="AD736">
        <v>95.94</v>
      </c>
      <c r="AE736">
        <v>218</v>
      </c>
      <c r="AF736">
        <v>245</v>
      </c>
      <c r="AG736" s="11">
        <f>Supply_Chain[[#This Row],[Total_Cost]]/Supply_Chain[[#This Row],[Stock_On_Hand]]</f>
        <v>2.8997262773722627</v>
      </c>
    </row>
    <row r="737" spans="1:33" x14ac:dyDescent="0.25">
      <c r="A737" t="s">
        <v>2137</v>
      </c>
      <c r="B737" t="s">
        <v>2138</v>
      </c>
      <c r="C737" s="1">
        <v>44506</v>
      </c>
      <c r="D737" s="1">
        <v>45455</v>
      </c>
      <c r="E737" t="s">
        <v>55</v>
      </c>
      <c r="F737" t="s">
        <v>64</v>
      </c>
      <c r="G737" t="s">
        <v>83</v>
      </c>
      <c r="H737" t="s">
        <v>128</v>
      </c>
      <c r="I737" s="3" t="s">
        <v>3332</v>
      </c>
      <c r="J737" s="3" t="s">
        <v>3519</v>
      </c>
      <c r="K737" s="3" t="s">
        <v>3528</v>
      </c>
      <c r="L737" s="3" t="s">
        <v>4119</v>
      </c>
      <c r="M737">
        <v>109.84</v>
      </c>
      <c r="N737">
        <v>58</v>
      </c>
      <c r="O737">
        <f>Supply_Chain[[#This Row],[Unit_Price]]*Supply_Chain[[#This Row],[Quantity]]</f>
        <v>6370.72</v>
      </c>
      <c r="P737" t="s">
        <v>2139</v>
      </c>
      <c r="Q737" t="s">
        <v>110</v>
      </c>
      <c r="R737" t="s">
        <v>369</v>
      </c>
      <c r="S737" t="s">
        <v>37</v>
      </c>
      <c r="T737" t="s">
        <v>71</v>
      </c>
      <c r="U737" t="s">
        <v>125</v>
      </c>
      <c r="V737">
        <v>3221</v>
      </c>
      <c r="W737">
        <v>351</v>
      </c>
      <c r="X737">
        <v>9</v>
      </c>
      <c r="Y737">
        <v>138.69999999999999</v>
      </c>
      <c r="Z737">
        <v>153.74</v>
      </c>
      <c r="AA737" s="9">
        <v>292.44</v>
      </c>
      <c r="AB737" t="s">
        <v>52</v>
      </c>
      <c r="AC737">
        <v>0</v>
      </c>
      <c r="AD737">
        <v>82.81</v>
      </c>
      <c r="AE737">
        <v>422</v>
      </c>
      <c r="AF737">
        <v>378</v>
      </c>
      <c r="AG737" s="11">
        <f>Supply_Chain[[#This Row],[Total_Cost]]/Supply_Chain[[#This Row],[Stock_On_Hand]]</f>
        <v>9.079167960260788E-2</v>
      </c>
    </row>
    <row r="738" spans="1:33" x14ac:dyDescent="0.25">
      <c r="A738" t="s">
        <v>2140</v>
      </c>
      <c r="B738" t="s">
        <v>2141</v>
      </c>
      <c r="C738" s="1">
        <v>44595</v>
      </c>
      <c r="D738" s="1">
        <v>45641</v>
      </c>
      <c r="E738" t="s">
        <v>55</v>
      </c>
      <c r="F738" t="s">
        <v>31</v>
      </c>
      <c r="G738" t="s">
        <v>56</v>
      </c>
      <c r="H738" t="s">
        <v>46</v>
      </c>
      <c r="I738" s="3" t="s">
        <v>3333</v>
      </c>
      <c r="J738" s="3" t="s">
        <v>3519</v>
      </c>
      <c r="K738" s="3" t="s">
        <v>3528</v>
      </c>
      <c r="L738" s="3" t="s">
        <v>4120</v>
      </c>
      <c r="M738">
        <v>322.3</v>
      </c>
      <c r="N738">
        <v>12</v>
      </c>
      <c r="O738">
        <f>Supply_Chain[[#This Row],[Unit_Price]]*Supply_Chain[[#This Row],[Quantity]]</f>
        <v>3867.6000000000004</v>
      </c>
      <c r="P738" t="s">
        <v>161</v>
      </c>
      <c r="Q738" t="s">
        <v>48</v>
      </c>
      <c r="R738" t="s">
        <v>269</v>
      </c>
      <c r="S738" t="s">
        <v>119</v>
      </c>
      <c r="T738" t="s">
        <v>38</v>
      </c>
      <c r="U738" t="s">
        <v>232</v>
      </c>
      <c r="V738">
        <v>426</v>
      </c>
      <c r="W738">
        <v>153</v>
      </c>
      <c r="X738">
        <v>5</v>
      </c>
      <c r="Y738">
        <v>671.13</v>
      </c>
      <c r="Z738">
        <v>219.86</v>
      </c>
      <c r="AA738" s="9">
        <v>890.99</v>
      </c>
      <c r="AB738" t="s">
        <v>52</v>
      </c>
      <c r="AC738">
        <v>0</v>
      </c>
      <c r="AD738">
        <v>75.790000000000006</v>
      </c>
      <c r="AE738">
        <v>497</v>
      </c>
      <c r="AF738">
        <v>492</v>
      </c>
      <c r="AG738" s="11">
        <f>Supply_Chain[[#This Row],[Total_Cost]]/Supply_Chain[[#This Row],[Stock_On_Hand]]</f>
        <v>2.0915258215962442</v>
      </c>
    </row>
    <row r="739" spans="1:33" x14ac:dyDescent="0.25">
      <c r="A739" t="s">
        <v>2142</v>
      </c>
      <c r="B739" t="s">
        <v>2143</v>
      </c>
      <c r="C739" s="1">
        <v>43916</v>
      </c>
      <c r="D739" s="1">
        <v>44363</v>
      </c>
      <c r="E739" t="s">
        <v>55</v>
      </c>
      <c r="F739" t="s">
        <v>44</v>
      </c>
      <c r="G739" t="s">
        <v>65</v>
      </c>
      <c r="H739" t="s">
        <v>46</v>
      </c>
      <c r="I739" s="3" t="s">
        <v>3334</v>
      </c>
      <c r="J739" s="3" t="s">
        <v>84</v>
      </c>
      <c r="K739" s="3" t="s">
        <v>3526</v>
      </c>
      <c r="L739" s="3" t="s">
        <v>4121</v>
      </c>
      <c r="M739">
        <v>33.6</v>
      </c>
      <c r="N739">
        <v>6</v>
      </c>
      <c r="O739">
        <f>Supply_Chain[[#This Row],[Unit_Price]]*Supply_Chain[[#This Row],[Quantity]]</f>
        <v>201.60000000000002</v>
      </c>
      <c r="P739" t="s">
        <v>2144</v>
      </c>
      <c r="Q739" t="s">
        <v>35</v>
      </c>
      <c r="R739" t="s">
        <v>369</v>
      </c>
      <c r="S739" t="s">
        <v>50</v>
      </c>
      <c r="T739" t="s">
        <v>38</v>
      </c>
      <c r="U739" t="s">
        <v>95</v>
      </c>
      <c r="V739">
        <v>3815</v>
      </c>
      <c r="W739">
        <v>195</v>
      </c>
      <c r="X739">
        <v>18</v>
      </c>
      <c r="Y739">
        <v>114.27</v>
      </c>
      <c r="Z739">
        <v>419.71</v>
      </c>
      <c r="AA739" s="9">
        <v>533.98</v>
      </c>
      <c r="AB739" t="s">
        <v>52</v>
      </c>
      <c r="AC739">
        <v>0</v>
      </c>
      <c r="AD739">
        <v>90.65</v>
      </c>
      <c r="AE739">
        <v>357</v>
      </c>
      <c r="AF739">
        <v>371</v>
      </c>
      <c r="AG739" s="11">
        <f>Supply_Chain[[#This Row],[Total_Cost]]/Supply_Chain[[#This Row],[Stock_On_Hand]]</f>
        <v>0.13996854521625166</v>
      </c>
    </row>
    <row r="740" spans="1:33" x14ac:dyDescent="0.25">
      <c r="A740" t="s">
        <v>2145</v>
      </c>
      <c r="B740" t="s">
        <v>2146</v>
      </c>
      <c r="C740" s="1">
        <v>44928</v>
      </c>
      <c r="D740" s="1">
        <v>44146</v>
      </c>
      <c r="E740" t="s">
        <v>55</v>
      </c>
      <c r="F740" t="s">
        <v>64</v>
      </c>
      <c r="G740" t="s">
        <v>91</v>
      </c>
      <c r="H740" t="s">
        <v>128</v>
      </c>
      <c r="I740" s="3" t="s">
        <v>3335</v>
      </c>
      <c r="J740" s="3" t="s">
        <v>84</v>
      </c>
      <c r="K740" s="3" t="s">
        <v>3526</v>
      </c>
      <c r="L740" s="3" t="s">
        <v>4122</v>
      </c>
      <c r="M740">
        <v>361.76</v>
      </c>
      <c r="N740">
        <v>1</v>
      </c>
      <c r="O740">
        <f>Supply_Chain[[#This Row],[Unit_Price]]*Supply_Chain[[#This Row],[Quantity]]</f>
        <v>361.76</v>
      </c>
      <c r="P740" t="s">
        <v>1348</v>
      </c>
      <c r="Q740" t="s">
        <v>35</v>
      </c>
      <c r="R740" t="s">
        <v>176</v>
      </c>
      <c r="S740" t="s">
        <v>37</v>
      </c>
      <c r="T740" t="s">
        <v>79</v>
      </c>
      <c r="U740" t="s">
        <v>125</v>
      </c>
      <c r="V740">
        <v>1440</v>
      </c>
      <c r="W740">
        <v>384</v>
      </c>
      <c r="X740">
        <v>4</v>
      </c>
      <c r="Y740">
        <v>781.84</v>
      </c>
      <c r="Z740">
        <v>454.11</v>
      </c>
      <c r="AA740" s="9">
        <v>1235.95</v>
      </c>
      <c r="AB740" t="s">
        <v>52</v>
      </c>
      <c r="AC740">
        <v>0</v>
      </c>
      <c r="AD740">
        <v>82.89</v>
      </c>
      <c r="AE740">
        <v>428</v>
      </c>
      <c r="AF740">
        <v>477</v>
      </c>
      <c r="AG740" s="11">
        <f>Supply_Chain[[#This Row],[Total_Cost]]/Supply_Chain[[#This Row],[Stock_On_Hand]]</f>
        <v>0.85829861111111116</v>
      </c>
    </row>
    <row r="741" spans="1:33" x14ac:dyDescent="0.25">
      <c r="A741" t="s">
        <v>2147</v>
      </c>
      <c r="B741" t="s">
        <v>2148</v>
      </c>
      <c r="C741" s="1">
        <v>45568</v>
      </c>
      <c r="D741" s="1">
        <v>44860</v>
      </c>
      <c r="E741" t="s">
        <v>43</v>
      </c>
      <c r="F741" t="s">
        <v>31</v>
      </c>
      <c r="G741" t="s">
        <v>32</v>
      </c>
      <c r="H741" t="s">
        <v>57</v>
      </c>
      <c r="I741" s="3" t="s">
        <v>3336</v>
      </c>
      <c r="J741" s="3" t="s">
        <v>84</v>
      </c>
      <c r="K741" s="3" t="s">
        <v>3534</v>
      </c>
      <c r="L741" s="3" t="s">
        <v>4123</v>
      </c>
      <c r="M741">
        <v>424.26</v>
      </c>
      <c r="N741">
        <v>27</v>
      </c>
      <c r="O741">
        <f>Supply_Chain[[#This Row],[Unit_Price]]*Supply_Chain[[#This Row],[Quantity]]</f>
        <v>11455.02</v>
      </c>
      <c r="P741" t="s">
        <v>194</v>
      </c>
      <c r="Q741" t="s">
        <v>86</v>
      </c>
      <c r="R741" t="s">
        <v>301</v>
      </c>
      <c r="S741" t="s">
        <v>70</v>
      </c>
      <c r="T741" t="s">
        <v>71</v>
      </c>
      <c r="U741" t="s">
        <v>691</v>
      </c>
      <c r="V741">
        <v>1293</v>
      </c>
      <c r="W741">
        <v>456</v>
      </c>
      <c r="X741">
        <v>16</v>
      </c>
      <c r="Y741">
        <v>1830.9</v>
      </c>
      <c r="Z741">
        <v>282.63</v>
      </c>
      <c r="AA741" s="9">
        <v>2113.5300000000002</v>
      </c>
      <c r="AB741" t="s">
        <v>52</v>
      </c>
      <c r="AC741">
        <v>0</v>
      </c>
      <c r="AD741">
        <v>83.49</v>
      </c>
      <c r="AE741">
        <v>206</v>
      </c>
      <c r="AF741">
        <v>159</v>
      </c>
      <c r="AG741" s="11">
        <f>Supply_Chain[[#This Row],[Total_Cost]]/Supply_Chain[[#This Row],[Stock_On_Hand]]</f>
        <v>1.6345939675174015</v>
      </c>
    </row>
    <row r="742" spans="1:33" x14ac:dyDescent="0.25">
      <c r="A742" t="s">
        <v>2149</v>
      </c>
      <c r="B742" t="s">
        <v>2150</v>
      </c>
      <c r="C742" s="1">
        <v>45572</v>
      </c>
      <c r="D742" s="1">
        <v>45398</v>
      </c>
      <c r="E742" t="s">
        <v>43</v>
      </c>
      <c r="F742" t="s">
        <v>31</v>
      </c>
      <c r="G742" t="s">
        <v>247</v>
      </c>
      <c r="H742" t="s">
        <v>116</v>
      </c>
      <c r="I742" s="3" t="s">
        <v>3337</v>
      </c>
      <c r="J742" s="3" t="s">
        <v>3518</v>
      </c>
      <c r="K742" s="3" t="s">
        <v>3525</v>
      </c>
      <c r="L742" s="3" t="s">
        <v>4124</v>
      </c>
      <c r="M742">
        <v>358.62</v>
      </c>
      <c r="N742">
        <v>63</v>
      </c>
      <c r="O742">
        <f>Supply_Chain[[#This Row],[Unit_Price]]*Supply_Chain[[#This Row],[Quantity]]</f>
        <v>22593.06</v>
      </c>
      <c r="P742" t="s">
        <v>387</v>
      </c>
      <c r="Q742" t="s">
        <v>86</v>
      </c>
      <c r="R742" t="s">
        <v>369</v>
      </c>
      <c r="S742" t="s">
        <v>50</v>
      </c>
      <c r="T742" t="s">
        <v>79</v>
      </c>
      <c r="U742" t="s">
        <v>72</v>
      </c>
      <c r="V742">
        <v>153</v>
      </c>
      <c r="W742">
        <v>317</v>
      </c>
      <c r="X742">
        <v>17</v>
      </c>
      <c r="Y742">
        <v>1258.8499999999999</v>
      </c>
      <c r="Z742">
        <v>490.03</v>
      </c>
      <c r="AA742" s="9">
        <v>1748.88</v>
      </c>
      <c r="AB742" t="s">
        <v>52</v>
      </c>
      <c r="AC742">
        <v>0</v>
      </c>
      <c r="AD742">
        <v>73.05</v>
      </c>
      <c r="AE742">
        <v>170</v>
      </c>
      <c r="AF742">
        <v>153</v>
      </c>
      <c r="AG742" s="11">
        <f>Supply_Chain[[#This Row],[Total_Cost]]/Supply_Chain[[#This Row],[Stock_On_Hand]]</f>
        <v>11.430588235294119</v>
      </c>
    </row>
    <row r="743" spans="1:33" x14ac:dyDescent="0.25">
      <c r="A743" t="s">
        <v>2151</v>
      </c>
      <c r="B743" t="s">
        <v>2152</v>
      </c>
      <c r="C743" s="1">
        <v>45151</v>
      </c>
      <c r="D743" s="1">
        <v>44964</v>
      </c>
      <c r="E743" t="s">
        <v>43</v>
      </c>
      <c r="F743" t="s">
        <v>115</v>
      </c>
      <c r="G743" t="s">
        <v>247</v>
      </c>
      <c r="H743" t="s">
        <v>46</v>
      </c>
      <c r="I743" s="3" t="s">
        <v>3294</v>
      </c>
      <c r="J743" s="3" t="s">
        <v>3518</v>
      </c>
      <c r="K743" s="3" t="s">
        <v>3522</v>
      </c>
      <c r="L743" s="3" t="s">
        <v>4083</v>
      </c>
      <c r="M743">
        <v>458.08</v>
      </c>
      <c r="N743">
        <v>55</v>
      </c>
      <c r="O743">
        <f>Supply_Chain[[#This Row],[Unit_Price]]*Supply_Chain[[#This Row],[Quantity]]</f>
        <v>25194.399999999998</v>
      </c>
      <c r="P743" t="s">
        <v>2153</v>
      </c>
      <c r="Q743" t="s">
        <v>110</v>
      </c>
      <c r="R743" t="s">
        <v>36</v>
      </c>
      <c r="S743" t="s">
        <v>119</v>
      </c>
      <c r="T743" t="s">
        <v>60</v>
      </c>
      <c r="U743" t="s">
        <v>182</v>
      </c>
      <c r="V743">
        <v>4437</v>
      </c>
      <c r="W743">
        <v>438</v>
      </c>
      <c r="X743">
        <v>2</v>
      </c>
      <c r="Y743">
        <v>836.57</v>
      </c>
      <c r="Z743">
        <v>341.12</v>
      </c>
      <c r="AA743" s="9">
        <v>1177.69</v>
      </c>
      <c r="AB743" t="s">
        <v>52</v>
      </c>
      <c r="AC743">
        <v>0</v>
      </c>
      <c r="AD743">
        <v>72.27</v>
      </c>
      <c r="AE743">
        <v>116</v>
      </c>
      <c r="AF743">
        <v>133</v>
      </c>
      <c r="AG743" s="11">
        <f>Supply_Chain[[#This Row],[Total_Cost]]/Supply_Chain[[#This Row],[Stock_On_Hand]]</f>
        <v>0.26542483660130722</v>
      </c>
    </row>
    <row r="744" spans="1:33" x14ac:dyDescent="0.25">
      <c r="A744" t="s">
        <v>2154</v>
      </c>
      <c r="B744" t="s">
        <v>2155</v>
      </c>
      <c r="C744" s="1">
        <v>44803</v>
      </c>
      <c r="D744" s="1">
        <v>44519</v>
      </c>
      <c r="E744" t="s">
        <v>55</v>
      </c>
      <c r="F744" t="s">
        <v>115</v>
      </c>
      <c r="G744" t="s">
        <v>83</v>
      </c>
      <c r="H744" t="s">
        <v>166</v>
      </c>
      <c r="I744" s="3" t="s">
        <v>3338</v>
      </c>
      <c r="J744" s="3" t="s">
        <v>3518</v>
      </c>
      <c r="K744" s="3" t="s">
        <v>3522</v>
      </c>
      <c r="L744" s="3" t="s">
        <v>4125</v>
      </c>
      <c r="M744">
        <v>53.36</v>
      </c>
      <c r="N744">
        <v>84</v>
      </c>
      <c r="O744">
        <f>Supply_Chain[[#This Row],[Unit_Price]]*Supply_Chain[[#This Row],[Quantity]]</f>
        <v>4482.24</v>
      </c>
      <c r="P744" t="s">
        <v>971</v>
      </c>
      <c r="Q744" t="s">
        <v>68</v>
      </c>
      <c r="R744" t="s">
        <v>59</v>
      </c>
      <c r="S744" t="s">
        <v>37</v>
      </c>
      <c r="T744" t="s">
        <v>38</v>
      </c>
      <c r="U744" t="s">
        <v>611</v>
      </c>
      <c r="V744">
        <v>4959</v>
      </c>
      <c r="W744">
        <v>63</v>
      </c>
      <c r="X744">
        <v>7</v>
      </c>
      <c r="Y744">
        <v>1828.81</v>
      </c>
      <c r="Z744">
        <v>127.38</v>
      </c>
      <c r="AA744" s="9">
        <v>1956.19</v>
      </c>
      <c r="AB744" t="s">
        <v>52</v>
      </c>
      <c r="AC744">
        <v>0</v>
      </c>
      <c r="AD744">
        <v>86.36</v>
      </c>
      <c r="AE744">
        <v>425</v>
      </c>
      <c r="AF744">
        <v>443</v>
      </c>
      <c r="AG744" s="11">
        <f>Supply_Chain[[#This Row],[Total_Cost]]/Supply_Chain[[#This Row],[Stock_On_Hand]]</f>
        <v>0.39447267594273039</v>
      </c>
    </row>
    <row r="745" spans="1:33" x14ac:dyDescent="0.25">
      <c r="A745" t="s">
        <v>2156</v>
      </c>
      <c r="B745" t="s">
        <v>2157</v>
      </c>
      <c r="C745" s="1">
        <v>44124</v>
      </c>
      <c r="D745" s="1">
        <v>45219</v>
      </c>
      <c r="E745" t="s">
        <v>55</v>
      </c>
      <c r="F745" t="s">
        <v>31</v>
      </c>
      <c r="G745" t="s">
        <v>65</v>
      </c>
      <c r="H745" t="s">
        <v>33</v>
      </c>
      <c r="I745" s="3" t="s">
        <v>2900</v>
      </c>
      <c r="J745" s="3" t="s">
        <v>3518</v>
      </c>
      <c r="K745" s="3" t="s">
        <v>3527</v>
      </c>
      <c r="L745" s="3" t="s">
        <v>3699</v>
      </c>
      <c r="M745">
        <v>487.95</v>
      </c>
      <c r="N745">
        <v>93</v>
      </c>
      <c r="O745">
        <f>Supply_Chain[[#This Row],[Unit_Price]]*Supply_Chain[[#This Row],[Quantity]]</f>
        <v>45379.35</v>
      </c>
      <c r="P745" t="s">
        <v>1653</v>
      </c>
      <c r="Q745" t="s">
        <v>48</v>
      </c>
      <c r="R745" t="s">
        <v>130</v>
      </c>
      <c r="S745" t="s">
        <v>37</v>
      </c>
      <c r="T745" t="s">
        <v>100</v>
      </c>
      <c r="U745" t="s">
        <v>136</v>
      </c>
      <c r="V745">
        <v>398</v>
      </c>
      <c r="W745">
        <v>374</v>
      </c>
      <c r="X745">
        <v>3</v>
      </c>
      <c r="Y745">
        <v>1447.69</v>
      </c>
      <c r="Z745">
        <v>468.76</v>
      </c>
      <c r="AA745" s="9">
        <v>1916.45</v>
      </c>
      <c r="AB745" t="s">
        <v>52</v>
      </c>
      <c r="AC745">
        <v>0</v>
      </c>
      <c r="AD745">
        <v>74.150000000000006</v>
      </c>
      <c r="AE745">
        <v>460</v>
      </c>
      <c r="AF745">
        <v>501</v>
      </c>
      <c r="AG745" s="11">
        <f>Supply_Chain[[#This Row],[Total_Cost]]/Supply_Chain[[#This Row],[Stock_On_Hand]]</f>
        <v>4.8152010050251262</v>
      </c>
    </row>
    <row r="746" spans="1:33" x14ac:dyDescent="0.25">
      <c r="A746" t="s">
        <v>2158</v>
      </c>
      <c r="B746" t="s">
        <v>2159</v>
      </c>
      <c r="C746" s="1">
        <v>44936</v>
      </c>
      <c r="D746" s="1">
        <v>44489</v>
      </c>
      <c r="E746" t="s">
        <v>43</v>
      </c>
      <c r="F746" t="s">
        <v>31</v>
      </c>
      <c r="G746" t="s">
        <v>32</v>
      </c>
      <c r="H746" t="s">
        <v>66</v>
      </c>
      <c r="I746" s="3" t="s">
        <v>3153</v>
      </c>
      <c r="J746" s="3" t="s">
        <v>3518</v>
      </c>
      <c r="K746" s="3" t="s">
        <v>3521</v>
      </c>
      <c r="L746" s="3" t="s">
        <v>3947</v>
      </c>
      <c r="M746">
        <v>461.8</v>
      </c>
      <c r="N746">
        <v>79</v>
      </c>
      <c r="O746">
        <f>Supply_Chain[[#This Row],[Unit_Price]]*Supply_Chain[[#This Row],[Quantity]]</f>
        <v>36482.200000000004</v>
      </c>
      <c r="P746" t="s">
        <v>2160</v>
      </c>
      <c r="Q746" t="s">
        <v>48</v>
      </c>
      <c r="R746" t="s">
        <v>269</v>
      </c>
      <c r="S746" t="s">
        <v>70</v>
      </c>
      <c r="T746" t="s">
        <v>79</v>
      </c>
      <c r="U746" t="s">
        <v>297</v>
      </c>
      <c r="V746">
        <v>3308</v>
      </c>
      <c r="W746">
        <v>376</v>
      </c>
      <c r="X746">
        <v>21</v>
      </c>
      <c r="Y746">
        <v>92.08</v>
      </c>
      <c r="Z746">
        <v>262.56</v>
      </c>
      <c r="AA746" s="9">
        <v>354.64</v>
      </c>
      <c r="AB746" t="s">
        <v>52</v>
      </c>
      <c r="AC746">
        <v>0</v>
      </c>
      <c r="AD746">
        <v>73.86</v>
      </c>
      <c r="AE746">
        <v>85</v>
      </c>
      <c r="AF746">
        <v>122</v>
      </c>
      <c r="AG746" s="11">
        <f>Supply_Chain[[#This Row],[Total_Cost]]/Supply_Chain[[#This Row],[Stock_On_Hand]]</f>
        <v>0.1072067714631197</v>
      </c>
    </row>
    <row r="747" spans="1:33" x14ac:dyDescent="0.25">
      <c r="A747" t="s">
        <v>2161</v>
      </c>
      <c r="B747" t="s">
        <v>2162</v>
      </c>
      <c r="C747" s="1">
        <v>44060</v>
      </c>
      <c r="D747" s="1">
        <v>45117</v>
      </c>
      <c r="E747" t="s">
        <v>55</v>
      </c>
      <c r="F747" t="s">
        <v>31</v>
      </c>
      <c r="G747" t="s">
        <v>56</v>
      </c>
      <c r="H747" t="s">
        <v>128</v>
      </c>
      <c r="I747" s="3" t="s">
        <v>2805</v>
      </c>
      <c r="J747" s="3" t="s">
        <v>3518</v>
      </c>
      <c r="K747" s="3" t="s">
        <v>3521</v>
      </c>
      <c r="L747" s="3" t="s">
        <v>3604</v>
      </c>
      <c r="M747">
        <v>335.21</v>
      </c>
      <c r="N747">
        <v>32</v>
      </c>
      <c r="O747">
        <f>Supply_Chain[[#This Row],[Unit_Price]]*Supply_Chain[[#This Row],[Quantity]]</f>
        <v>10726.72</v>
      </c>
      <c r="P747" t="s">
        <v>190</v>
      </c>
      <c r="Q747" t="s">
        <v>35</v>
      </c>
      <c r="R747" t="s">
        <v>369</v>
      </c>
      <c r="S747" t="s">
        <v>70</v>
      </c>
      <c r="T747" t="s">
        <v>79</v>
      </c>
      <c r="U747" t="s">
        <v>125</v>
      </c>
      <c r="V747">
        <v>2668</v>
      </c>
      <c r="W747">
        <v>142</v>
      </c>
      <c r="X747">
        <v>13</v>
      </c>
      <c r="Y747">
        <v>910.99</v>
      </c>
      <c r="Z747">
        <v>137.4</v>
      </c>
      <c r="AA747" s="9">
        <v>1048.3900000000001</v>
      </c>
      <c r="AB747" t="s">
        <v>52</v>
      </c>
      <c r="AC747">
        <v>0</v>
      </c>
      <c r="AD747">
        <v>75.069999999999993</v>
      </c>
      <c r="AE747">
        <v>407</v>
      </c>
      <c r="AF747">
        <v>378</v>
      </c>
      <c r="AG747" s="11">
        <f>Supply_Chain[[#This Row],[Total_Cost]]/Supply_Chain[[#This Row],[Stock_On_Hand]]</f>
        <v>0.39294977511244383</v>
      </c>
    </row>
    <row r="748" spans="1:33" x14ac:dyDescent="0.25">
      <c r="A748" t="s">
        <v>2163</v>
      </c>
      <c r="B748" t="s">
        <v>2164</v>
      </c>
      <c r="C748" s="1">
        <v>44669</v>
      </c>
      <c r="D748" s="1">
        <v>44439</v>
      </c>
      <c r="E748" t="s">
        <v>43</v>
      </c>
      <c r="F748" t="s">
        <v>64</v>
      </c>
      <c r="G748" t="s">
        <v>247</v>
      </c>
      <c r="H748" t="s">
        <v>57</v>
      </c>
      <c r="I748" s="3" t="s">
        <v>3129</v>
      </c>
      <c r="J748" s="3" t="s">
        <v>3518</v>
      </c>
      <c r="K748" s="3" t="s">
        <v>3524</v>
      </c>
      <c r="L748" s="3" t="s">
        <v>3924</v>
      </c>
      <c r="M748">
        <v>431.66</v>
      </c>
      <c r="N748">
        <v>91</v>
      </c>
      <c r="O748">
        <f>Supply_Chain[[#This Row],[Unit_Price]]*Supply_Chain[[#This Row],[Quantity]]</f>
        <v>39281.060000000005</v>
      </c>
      <c r="P748" t="s">
        <v>1091</v>
      </c>
      <c r="Q748" t="s">
        <v>110</v>
      </c>
      <c r="R748" t="s">
        <v>78</v>
      </c>
      <c r="S748" t="s">
        <v>70</v>
      </c>
      <c r="T748" t="s">
        <v>71</v>
      </c>
      <c r="U748" t="s">
        <v>177</v>
      </c>
      <c r="V748">
        <v>4277</v>
      </c>
      <c r="W748">
        <v>461</v>
      </c>
      <c r="X748">
        <v>15</v>
      </c>
      <c r="Y748">
        <v>1548.87</v>
      </c>
      <c r="Z748">
        <v>363.11</v>
      </c>
      <c r="AA748" s="9">
        <v>1911.98</v>
      </c>
      <c r="AB748" t="s">
        <v>52</v>
      </c>
      <c r="AC748">
        <v>0</v>
      </c>
      <c r="AD748">
        <v>84.44</v>
      </c>
      <c r="AE748">
        <v>442</v>
      </c>
      <c r="AF748">
        <v>426</v>
      </c>
      <c r="AG748" s="11">
        <f>Supply_Chain[[#This Row],[Total_Cost]]/Supply_Chain[[#This Row],[Stock_On_Hand]]</f>
        <v>0.44703764320785599</v>
      </c>
    </row>
    <row r="749" spans="1:33" x14ac:dyDescent="0.25">
      <c r="A749" t="s">
        <v>2165</v>
      </c>
      <c r="B749" t="s">
        <v>555</v>
      </c>
      <c r="C749" s="1">
        <v>44529</v>
      </c>
      <c r="D749" s="1">
        <v>44454</v>
      </c>
      <c r="E749" t="s">
        <v>55</v>
      </c>
      <c r="F749" t="s">
        <v>44</v>
      </c>
      <c r="G749" t="s">
        <v>247</v>
      </c>
      <c r="H749" t="s">
        <v>166</v>
      </c>
      <c r="I749" s="3" t="s">
        <v>3339</v>
      </c>
      <c r="J749" s="3" t="s">
        <v>3519</v>
      </c>
      <c r="K749" s="3" t="s">
        <v>3530</v>
      </c>
      <c r="L749" s="3" t="s">
        <v>4126</v>
      </c>
      <c r="M749">
        <v>368.67</v>
      </c>
      <c r="N749">
        <v>49</v>
      </c>
      <c r="O749">
        <f>Supply_Chain[[#This Row],[Unit_Price]]*Supply_Chain[[#This Row],[Quantity]]</f>
        <v>18064.830000000002</v>
      </c>
      <c r="P749" t="s">
        <v>1830</v>
      </c>
      <c r="Q749" t="s">
        <v>86</v>
      </c>
      <c r="R749" t="s">
        <v>344</v>
      </c>
      <c r="S749" t="s">
        <v>37</v>
      </c>
      <c r="T749" t="s">
        <v>79</v>
      </c>
      <c r="U749" t="s">
        <v>291</v>
      </c>
      <c r="V749">
        <v>2691</v>
      </c>
      <c r="W749">
        <v>74</v>
      </c>
      <c r="X749">
        <v>4</v>
      </c>
      <c r="Y749">
        <v>566.82000000000005</v>
      </c>
      <c r="Z749">
        <v>369.7</v>
      </c>
      <c r="AA749" s="9">
        <v>936.52</v>
      </c>
      <c r="AB749" t="s">
        <v>52</v>
      </c>
      <c r="AC749">
        <v>0</v>
      </c>
      <c r="AD749">
        <v>97.16</v>
      </c>
      <c r="AE749">
        <v>459</v>
      </c>
      <c r="AF749">
        <v>489</v>
      </c>
      <c r="AG749" s="11">
        <f>Supply_Chain[[#This Row],[Total_Cost]]/Supply_Chain[[#This Row],[Stock_On_Hand]]</f>
        <v>0.34801932367149757</v>
      </c>
    </row>
    <row r="750" spans="1:33" x14ac:dyDescent="0.25">
      <c r="A750" t="s">
        <v>2166</v>
      </c>
      <c r="B750" t="s">
        <v>2167</v>
      </c>
      <c r="C750" s="1">
        <v>44646</v>
      </c>
      <c r="D750" s="1">
        <v>44789</v>
      </c>
      <c r="E750" t="s">
        <v>55</v>
      </c>
      <c r="F750" t="s">
        <v>75</v>
      </c>
      <c r="G750" t="s">
        <v>76</v>
      </c>
      <c r="H750" t="s">
        <v>92</v>
      </c>
      <c r="I750" s="3" t="s">
        <v>3340</v>
      </c>
      <c r="J750" s="3" t="s">
        <v>3519</v>
      </c>
      <c r="K750" s="3" t="s">
        <v>3528</v>
      </c>
      <c r="L750" s="3" t="s">
        <v>4127</v>
      </c>
      <c r="M750">
        <v>412.17</v>
      </c>
      <c r="N750">
        <v>81</v>
      </c>
      <c r="O750">
        <f>Supply_Chain[[#This Row],[Unit_Price]]*Supply_Chain[[#This Row],[Quantity]]</f>
        <v>33385.770000000004</v>
      </c>
      <c r="P750" t="s">
        <v>2168</v>
      </c>
      <c r="Q750" t="s">
        <v>110</v>
      </c>
      <c r="R750" t="s">
        <v>377</v>
      </c>
      <c r="S750" t="s">
        <v>70</v>
      </c>
      <c r="T750" t="s">
        <v>79</v>
      </c>
      <c r="U750" t="s">
        <v>489</v>
      </c>
      <c r="V750">
        <v>2668</v>
      </c>
      <c r="W750">
        <v>341</v>
      </c>
      <c r="X750">
        <v>16</v>
      </c>
      <c r="Y750">
        <v>756.15</v>
      </c>
      <c r="Z750">
        <v>469.87</v>
      </c>
      <c r="AA750" s="9">
        <v>1226.02</v>
      </c>
      <c r="AB750" t="s">
        <v>52</v>
      </c>
      <c r="AC750">
        <v>0</v>
      </c>
      <c r="AD750">
        <v>77.489999999999995</v>
      </c>
      <c r="AE750">
        <v>308</v>
      </c>
      <c r="AF750">
        <v>283</v>
      </c>
      <c r="AG750" s="11">
        <f>Supply_Chain[[#This Row],[Total_Cost]]/Supply_Chain[[#This Row],[Stock_On_Hand]]</f>
        <v>0.45952773613193404</v>
      </c>
    </row>
    <row r="751" spans="1:33" x14ac:dyDescent="0.25">
      <c r="A751" t="s">
        <v>2169</v>
      </c>
      <c r="B751" t="s">
        <v>2170</v>
      </c>
      <c r="C751" s="1">
        <v>45454</v>
      </c>
      <c r="D751" s="1">
        <v>44321</v>
      </c>
      <c r="E751" t="s">
        <v>55</v>
      </c>
      <c r="F751" t="s">
        <v>64</v>
      </c>
      <c r="G751" t="s">
        <v>91</v>
      </c>
      <c r="H751" t="s">
        <v>57</v>
      </c>
      <c r="I751" s="3" t="s">
        <v>3341</v>
      </c>
      <c r="J751" s="3" t="s">
        <v>84</v>
      </c>
      <c r="K751" s="3" t="s">
        <v>3534</v>
      </c>
      <c r="L751" s="3" t="s">
        <v>4128</v>
      </c>
      <c r="M751">
        <v>26.47</v>
      </c>
      <c r="N751">
        <v>56</v>
      </c>
      <c r="O751">
        <f>Supply_Chain[[#This Row],[Unit_Price]]*Supply_Chain[[#This Row],[Quantity]]</f>
        <v>1482.32</v>
      </c>
      <c r="P751" t="s">
        <v>2171</v>
      </c>
      <c r="Q751" t="s">
        <v>48</v>
      </c>
      <c r="R751" t="s">
        <v>176</v>
      </c>
      <c r="S751" t="s">
        <v>70</v>
      </c>
      <c r="T751" t="s">
        <v>100</v>
      </c>
      <c r="U751" t="s">
        <v>227</v>
      </c>
      <c r="V751">
        <v>1915</v>
      </c>
      <c r="W751">
        <v>466</v>
      </c>
      <c r="X751">
        <v>2</v>
      </c>
      <c r="Y751">
        <v>272.56</v>
      </c>
      <c r="Z751">
        <v>309.7</v>
      </c>
      <c r="AA751" s="9">
        <v>582.26</v>
      </c>
      <c r="AB751" t="s">
        <v>52</v>
      </c>
      <c r="AC751">
        <v>0</v>
      </c>
      <c r="AD751">
        <v>79.75</v>
      </c>
      <c r="AE751">
        <v>453</v>
      </c>
      <c r="AF751">
        <v>443</v>
      </c>
      <c r="AG751" s="11">
        <f>Supply_Chain[[#This Row],[Total_Cost]]/Supply_Chain[[#This Row],[Stock_On_Hand]]</f>
        <v>0.30405221932114884</v>
      </c>
    </row>
    <row r="752" spans="1:33" x14ac:dyDescent="0.25">
      <c r="A752" t="s">
        <v>2172</v>
      </c>
      <c r="B752" t="s">
        <v>2173</v>
      </c>
      <c r="C752" s="1">
        <v>45553</v>
      </c>
      <c r="D752" s="1">
        <v>45047</v>
      </c>
      <c r="E752" t="s">
        <v>43</v>
      </c>
      <c r="F752" t="s">
        <v>31</v>
      </c>
      <c r="G752" t="s">
        <v>91</v>
      </c>
      <c r="H752" t="s">
        <v>57</v>
      </c>
      <c r="I752" s="3" t="s">
        <v>3342</v>
      </c>
      <c r="J752" s="3" t="s">
        <v>84</v>
      </c>
      <c r="K752" s="3" t="s">
        <v>3529</v>
      </c>
      <c r="L752" s="3" t="s">
        <v>4129</v>
      </c>
      <c r="M752">
        <v>368.36</v>
      </c>
      <c r="N752">
        <v>70</v>
      </c>
      <c r="O752">
        <f>Supply_Chain[[#This Row],[Unit_Price]]*Supply_Chain[[#This Row],[Quantity]]</f>
        <v>25785.200000000001</v>
      </c>
      <c r="P752" t="s">
        <v>1693</v>
      </c>
      <c r="Q752" t="s">
        <v>86</v>
      </c>
      <c r="R752" t="s">
        <v>94</v>
      </c>
      <c r="S752" t="s">
        <v>119</v>
      </c>
      <c r="T752" t="s">
        <v>100</v>
      </c>
      <c r="U752" t="s">
        <v>619</v>
      </c>
      <c r="V752">
        <v>1577</v>
      </c>
      <c r="W752">
        <v>61</v>
      </c>
      <c r="X752">
        <v>12</v>
      </c>
      <c r="Y752">
        <v>797.96</v>
      </c>
      <c r="Z752">
        <v>35.03</v>
      </c>
      <c r="AA752" s="9">
        <v>832.99</v>
      </c>
      <c r="AB752" t="s">
        <v>52</v>
      </c>
      <c r="AC752">
        <v>0</v>
      </c>
      <c r="AD752">
        <v>77.069999999999993</v>
      </c>
      <c r="AE752">
        <v>97</v>
      </c>
      <c r="AF752">
        <v>120</v>
      </c>
      <c r="AG752" s="11">
        <f>Supply_Chain[[#This Row],[Total_Cost]]/Supply_Chain[[#This Row],[Stock_On_Hand]]</f>
        <v>0.52821179454660749</v>
      </c>
    </row>
    <row r="753" spans="1:33" x14ac:dyDescent="0.25">
      <c r="A753" t="s">
        <v>2174</v>
      </c>
      <c r="B753" t="s">
        <v>2175</v>
      </c>
      <c r="C753" s="1">
        <v>45299</v>
      </c>
      <c r="D753" s="1">
        <v>45292</v>
      </c>
      <c r="E753" t="s">
        <v>43</v>
      </c>
      <c r="F753" t="s">
        <v>31</v>
      </c>
      <c r="G753" t="s">
        <v>76</v>
      </c>
      <c r="H753" t="s">
        <v>66</v>
      </c>
      <c r="I753" s="3" t="s">
        <v>3343</v>
      </c>
      <c r="J753" s="3" t="s">
        <v>3518</v>
      </c>
      <c r="K753" s="3" t="s">
        <v>3533</v>
      </c>
      <c r="L753" s="3" t="s">
        <v>4130</v>
      </c>
      <c r="M753">
        <v>387.21</v>
      </c>
      <c r="N753">
        <v>74</v>
      </c>
      <c r="O753">
        <f>Supply_Chain[[#This Row],[Unit_Price]]*Supply_Chain[[#This Row],[Quantity]]</f>
        <v>28653.539999999997</v>
      </c>
      <c r="P753" t="s">
        <v>1174</v>
      </c>
      <c r="Q753" t="s">
        <v>68</v>
      </c>
      <c r="R753" t="s">
        <v>105</v>
      </c>
      <c r="S753" t="s">
        <v>119</v>
      </c>
      <c r="T753" t="s">
        <v>60</v>
      </c>
      <c r="U753" t="s">
        <v>215</v>
      </c>
      <c r="V753">
        <v>4182</v>
      </c>
      <c r="W753">
        <v>166</v>
      </c>
      <c r="X753">
        <v>24</v>
      </c>
      <c r="Y753">
        <v>361.64</v>
      </c>
      <c r="Z753">
        <v>140.94</v>
      </c>
      <c r="AA753" s="9">
        <v>502.58</v>
      </c>
      <c r="AB753" t="s">
        <v>52</v>
      </c>
      <c r="AC753">
        <v>0</v>
      </c>
      <c r="AD753">
        <v>70.56</v>
      </c>
      <c r="AE753">
        <v>232</v>
      </c>
      <c r="AF753">
        <v>188</v>
      </c>
      <c r="AG753" s="11">
        <f>Supply_Chain[[#This Row],[Total_Cost]]/Supply_Chain[[#This Row],[Stock_On_Hand]]</f>
        <v>0.12017694882831181</v>
      </c>
    </row>
    <row r="754" spans="1:33" x14ac:dyDescent="0.25">
      <c r="A754" t="s">
        <v>2176</v>
      </c>
      <c r="B754" t="s">
        <v>2177</v>
      </c>
      <c r="C754" s="1">
        <v>44633</v>
      </c>
      <c r="D754" s="1">
        <v>44265</v>
      </c>
      <c r="E754" t="s">
        <v>55</v>
      </c>
      <c r="F754" t="s">
        <v>44</v>
      </c>
      <c r="G754" t="s">
        <v>76</v>
      </c>
      <c r="H754" t="s">
        <v>128</v>
      </c>
      <c r="I754" s="3" t="s">
        <v>2895</v>
      </c>
      <c r="J754" s="3" t="s">
        <v>3518</v>
      </c>
      <c r="K754" s="3" t="s">
        <v>3525</v>
      </c>
      <c r="L754" s="3" t="s">
        <v>3694</v>
      </c>
      <c r="M754">
        <v>200.29</v>
      </c>
      <c r="N754">
        <v>36</v>
      </c>
      <c r="O754">
        <f>Supply_Chain[[#This Row],[Unit_Price]]*Supply_Chain[[#This Row],[Quantity]]</f>
        <v>7210.44</v>
      </c>
      <c r="P754" t="s">
        <v>2178</v>
      </c>
      <c r="Q754" t="s">
        <v>86</v>
      </c>
      <c r="R754" t="s">
        <v>140</v>
      </c>
      <c r="S754" t="s">
        <v>119</v>
      </c>
      <c r="T754" t="s">
        <v>79</v>
      </c>
      <c r="U754" t="s">
        <v>265</v>
      </c>
      <c r="V754">
        <v>3758</v>
      </c>
      <c r="W754">
        <v>335</v>
      </c>
      <c r="X754">
        <v>29</v>
      </c>
      <c r="Y754">
        <v>810.91</v>
      </c>
      <c r="Z754">
        <v>269.94</v>
      </c>
      <c r="AA754" s="9">
        <v>1080.8499999999999</v>
      </c>
      <c r="AB754" t="s">
        <v>40</v>
      </c>
      <c r="AC754">
        <v>1</v>
      </c>
      <c r="AD754">
        <v>98.38</v>
      </c>
      <c r="AE754">
        <v>321</v>
      </c>
      <c r="AF754">
        <v>292</v>
      </c>
      <c r="AG754" s="11">
        <f>Supply_Chain[[#This Row],[Total_Cost]]/Supply_Chain[[#This Row],[Stock_On_Hand]]</f>
        <v>0.2876130920702501</v>
      </c>
    </row>
    <row r="755" spans="1:33" x14ac:dyDescent="0.25">
      <c r="A755" t="s">
        <v>2179</v>
      </c>
      <c r="B755" t="s">
        <v>2180</v>
      </c>
      <c r="C755" s="1">
        <v>44558</v>
      </c>
      <c r="D755" s="1">
        <v>44225</v>
      </c>
      <c r="E755" t="s">
        <v>55</v>
      </c>
      <c r="F755" t="s">
        <v>115</v>
      </c>
      <c r="G755" t="s">
        <v>45</v>
      </c>
      <c r="H755" t="s">
        <v>116</v>
      </c>
      <c r="I755" s="3" t="s">
        <v>3344</v>
      </c>
      <c r="J755" s="3" t="s">
        <v>3518</v>
      </c>
      <c r="K755" s="3" t="s">
        <v>3525</v>
      </c>
      <c r="L755" s="3" t="s">
        <v>4131</v>
      </c>
      <c r="M755">
        <v>120.06</v>
      </c>
      <c r="N755">
        <v>1</v>
      </c>
      <c r="O755">
        <f>Supply_Chain[[#This Row],[Unit_Price]]*Supply_Chain[[#This Row],[Quantity]]</f>
        <v>120.06</v>
      </c>
      <c r="P755" t="s">
        <v>1923</v>
      </c>
      <c r="Q755" t="s">
        <v>35</v>
      </c>
      <c r="R755" t="s">
        <v>269</v>
      </c>
      <c r="S755" t="s">
        <v>50</v>
      </c>
      <c r="T755" t="s">
        <v>38</v>
      </c>
      <c r="U755" t="s">
        <v>146</v>
      </c>
      <c r="V755">
        <v>231</v>
      </c>
      <c r="W755">
        <v>238</v>
      </c>
      <c r="X755">
        <v>4</v>
      </c>
      <c r="Y755">
        <v>1761.25</v>
      </c>
      <c r="Z755">
        <v>484.39</v>
      </c>
      <c r="AA755" s="9">
        <v>2245.64</v>
      </c>
      <c r="AB755" t="s">
        <v>52</v>
      </c>
      <c r="AC755">
        <v>0</v>
      </c>
      <c r="AD755">
        <v>84.67</v>
      </c>
      <c r="AE755">
        <v>244</v>
      </c>
      <c r="AF755">
        <v>198</v>
      </c>
      <c r="AG755" s="11">
        <f>Supply_Chain[[#This Row],[Total_Cost]]/Supply_Chain[[#This Row],[Stock_On_Hand]]</f>
        <v>9.721385281385281</v>
      </c>
    </row>
    <row r="756" spans="1:33" x14ac:dyDescent="0.25">
      <c r="A756" t="s">
        <v>2181</v>
      </c>
      <c r="B756" t="s">
        <v>2182</v>
      </c>
      <c r="C756" s="1">
        <v>45515</v>
      </c>
      <c r="D756" s="1">
        <v>45357</v>
      </c>
      <c r="E756" t="s">
        <v>43</v>
      </c>
      <c r="F756" t="s">
        <v>64</v>
      </c>
      <c r="G756" t="s">
        <v>83</v>
      </c>
      <c r="H756" t="s">
        <v>66</v>
      </c>
      <c r="I756" s="3" t="s">
        <v>3345</v>
      </c>
      <c r="J756" s="3" t="s">
        <v>3518</v>
      </c>
      <c r="K756" s="3" t="s">
        <v>3522</v>
      </c>
      <c r="L756" s="3" t="s">
        <v>4132</v>
      </c>
      <c r="M756">
        <v>435.99</v>
      </c>
      <c r="N756">
        <v>14</v>
      </c>
      <c r="O756">
        <f>Supply_Chain[[#This Row],[Unit_Price]]*Supply_Chain[[#This Row],[Quantity]]</f>
        <v>6103.8600000000006</v>
      </c>
      <c r="P756" t="s">
        <v>2183</v>
      </c>
      <c r="Q756" t="s">
        <v>110</v>
      </c>
      <c r="R756" t="s">
        <v>214</v>
      </c>
      <c r="S756" t="s">
        <v>37</v>
      </c>
      <c r="T756" t="s">
        <v>100</v>
      </c>
      <c r="U756" t="s">
        <v>125</v>
      </c>
      <c r="V756">
        <v>2081</v>
      </c>
      <c r="W756">
        <v>345</v>
      </c>
      <c r="X756">
        <v>21</v>
      </c>
      <c r="Y756">
        <v>1361.09</v>
      </c>
      <c r="Z756">
        <v>484.04</v>
      </c>
      <c r="AA756" s="9">
        <v>1845.13</v>
      </c>
      <c r="AB756" t="s">
        <v>52</v>
      </c>
      <c r="AC756">
        <v>0</v>
      </c>
      <c r="AD756">
        <v>97.57</v>
      </c>
      <c r="AE756">
        <v>480</v>
      </c>
      <c r="AF756">
        <v>497</v>
      </c>
      <c r="AG756" s="11">
        <f>Supply_Chain[[#This Row],[Total_Cost]]/Supply_Chain[[#This Row],[Stock_On_Hand]]</f>
        <v>0.88665545410860169</v>
      </c>
    </row>
    <row r="757" spans="1:33" x14ac:dyDescent="0.25">
      <c r="A757" t="s">
        <v>2184</v>
      </c>
      <c r="B757" t="s">
        <v>2185</v>
      </c>
      <c r="C757" s="1">
        <v>44860</v>
      </c>
      <c r="D757" s="1">
        <v>44723</v>
      </c>
      <c r="E757" t="s">
        <v>43</v>
      </c>
      <c r="F757" t="s">
        <v>31</v>
      </c>
      <c r="G757" t="s">
        <v>65</v>
      </c>
      <c r="H757" t="s">
        <v>92</v>
      </c>
      <c r="I757" s="3" t="s">
        <v>2795</v>
      </c>
      <c r="J757" s="3" t="s">
        <v>3518</v>
      </c>
      <c r="K757" s="3" t="s">
        <v>3524</v>
      </c>
      <c r="L757" s="3" t="s">
        <v>3594</v>
      </c>
      <c r="M757">
        <v>386.09</v>
      </c>
      <c r="N757">
        <v>29</v>
      </c>
      <c r="O757">
        <f>Supply_Chain[[#This Row],[Unit_Price]]*Supply_Chain[[#This Row],[Quantity]]</f>
        <v>11196.609999999999</v>
      </c>
      <c r="P757" t="s">
        <v>1800</v>
      </c>
      <c r="Q757" t="s">
        <v>86</v>
      </c>
      <c r="R757" t="s">
        <v>248</v>
      </c>
      <c r="S757" t="s">
        <v>119</v>
      </c>
      <c r="T757" t="s">
        <v>60</v>
      </c>
      <c r="U757" t="s">
        <v>436</v>
      </c>
      <c r="V757">
        <v>4389</v>
      </c>
      <c r="W757">
        <v>451</v>
      </c>
      <c r="X757">
        <v>29</v>
      </c>
      <c r="Y757">
        <v>1645.62</v>
      </c>
      <c r="Z757">
        <v>377.39</v>
      </c>
      <c r="AA757" s="9">
        <v>2023.01</v>
      </c>
      <c r="AB757" t="s">
        <v>40</v>
      </c>
      <c r="AC757">
        <v>8</v>
      </c>
      <c r="AD757">
        <v>88.66</v>
      </c>
      <c r="AE757">
        <v>193</v>
      </c>
      <c r="AF757">
        <v>167</v>
      </c>
      <c r="AG757" s="11">
        <f>Supply_Chain[[#This Row],[Total_Cost]]/Supply_Chain[[#This Row],[Stock_On_Hand]]</f>
        <v>0.46092731829573935</v>
      </c>
    </row>
    <row r="758" spans="1:33" x14ac:dyDescent="0.25">
      <c r="A758" t="s">
        <v>2186</v>
      </c>
      <c r="B758" t="s">
        <v>2187</v>
      </c>
      <c r="C758" s="1">
        <v>44921</v>
      </c>
      <c r="D758" s="1">
        <v>44589</v>
      </c>
      <c r="E758" t="s">
        <v>55</v>
      </c>
      <c r="F758" t="s">
        <v>115</v>
      </c>
      <c r="G758" t="s">
        <v>83</v>
      </c>
      <c r="H758" t="s">
        <v>46</v>
      </c>
      <c r="I758" s="3" t="s">
        <v>3195</v>
      </c>
      <c r="J758" s="3" t="s">
        <v>3519</v>
      </c>
      <c r="K758" s="3" t="s">
        <v>3528</v>
      </c>
      <c r="L758" s="3" t="s">
        <v>3987</v>
      </c>
      <c r="M758">
        <v>447.45</v>
      </c>
      <c r="N758">
        <v>92</v>
      </c>
      <c r="O758">
        <f>Supply_Chain[[#This Row],[Unit_Price]]*Supply_Chain[[#This Row],[Quantity]]</f>
        <v>41165.4</v>
      </c>
      <c r="P758" t="s">
        <v>2188</v>
      </c>
      <c r="Q758" t="s">
        <v>35</v>
      </c>
      <c r="R758" t="s">
        <v>172</v>
      </c>
      <c r="S758" t="s">
        <v>37</v>
      </c>
      <c r="T758" t="s">
        <v>38</v>
      </c>
      <c r="U758" t="s">
        <v>131</v>
      </c>
      <c r="V758">
        <v>2022</v>
      </c>
      <c r="W758">
        <v>199</v>
      </c>
      <c r="X758">
        <v>23</v>
      </c>
      <c r="Y758">
        <v>525.09</v>
      </c>
      <c r="Z758">
        <v>433.98</v>
      </c>
      <c r="AA758" s="9">
        <v>959.07</v>
      </c>
      <c r="AB758" t="s">
        <v>52</v>
      </c>
      <c r="AC758">
        <v>0</v>
      </c>
      <c r="AD758">
        <v>71.09</v>
      </c>
      <c r="AE758">
        <v>52</v>
      </c>
      <c r="AF758">
        <v>55</v>
      </c>
      <c r="AG758" s="11">
        <f>Supply_Chain[[#This Row],[Total_Cost]]/Supply_Chain[[#This Row],[Stock_On_Hand]]</f>
        <v>0.47431750741839768</v>
      </c>
    </row>
    <row r="759" spans="1:33" x14ac:dyDescent="0.25">
      <c r="A759" t="s">
        <v>2189</v>
      </c>
      <c r="B759" t="s">
        <v>2190</v>
      </c>
      <c r="C759" s="1">
        <v>44706</v>
      </c>
      <c r="D759" s="1">
        <v>44506</v>
      </c>
      <c r="E759" t="s">
        <v>55</v>
      </c>
      <c r="F759" t="s">
        <v>75</v>
      </c>
      <c r="G759" t="s">
        <v>247</v>
      </c>
      <c r="H759" t="s">
        <v>116</v>
      </c>
      <c r="I759" s="3" t="s">
        <v>3346</v>
      </c>
      <c r="J759" s="3" t="s">
        <v>3519</v>
      </c>
      <c r="K759" s="3" t="s">
        <v>3528</v>
      </c>
      <c r="L759" s="3" t="s">
        <v>4133</v>
      </c>
      <c r="M759">
        <v>220.32</v>
      </c>
      <c r="N759">
        <v>67</v>
      </c>
      <c r="O759">
        <f>Supply_Chain[[#This Row],[Unit_Price]]*Supply_Chain[[#This Row],[Quantity]]</f>
        <v>14761.439999999999</v>
      </c>
      <c r="P759" t="s">
        <v>884</v>
      </c>
      <c r="Q759" t="s">
        <v>35</v>
      </c>
      <c r="R759" t="s">
        <v>99</v>
      </c>
      <c r="S759" t="s">
        <v>119</v>
      </c>
      <c r="T759" t="s">
        <v>60</v>
      </c>
      <c r="U759" t="s">
        <v>187</v>
      </c>
      <c r="V759">
        <v>457</v>
      </c>
      <c r="W759">
        <v>296</v>
      </c>
      <c r="X759">
        <v>2</v>
      </c>
      <c r="Y759">
        <v>434.43</v>
      </c>
      <c r="Z759">
        <v>14.08</v>
      </c>
      <c r="AA759" s="9">
        <v>448.51</v>
      </c>
      <c r="AB759" t="s">
        <v>52</v>
      </c>
      <c r="AC759">
        <v>0</v>
      </c>
      <c r="AD759">
        <v>99.5</v>
      </c>
      <c r="AE759">
        <v>213</v>
      </c>
      <c r="AF759">
        <v>211</v>
      </c>
      <c r="AG759" s="11">
        <f>Supply_Chain[[#This Row],[Total_Cost]]/Supply_Chain[[#This Row],[Stock_On_Hand]]</f>
        <v>0.98142231947483582</v>
      </c>
    </row>
    <row r="760" spans="1:33" x14ac:dyDescent="0.25">
      <c r="A760" t="s">
        <v>2191</v>
      </c>
      <c r="B760" t="s">
        <v>2192</v>
      </c>
      <c r="C760" s="1">
        <v>45377</v>
      </c>
      <c r="D760" s="1">
        <v>44993</v>
      </c>
      <c r="E760" t="s">
        <v>55</v>
      </c>
      <c r="F760" t="s">
        <v>44</v>
      </c>
      <c r="G760" t="s">
        <v>65</v>
      </c>
      <c r="H760" t="s">
        <v>66</v>
      </c>
      <c r="I760" s="3" t="s">
        <v>3347</v>
      </c>
      <c r="J760" s="3" t="s">
        <v>3519</v>
      </c>
      <c r="K760" s="3" t="s">
        <v>3528</v>
      </c>
      <c r="L760" s="3" t="s">
        <v>4134</v>
      </c>
      <c r="M760">
        <v>35.69</v>
      </c>
      <c r="N760">
        <v>45</v>
      </c>
      <c r="O760">
        <f>Supply_Chain[[#This Row],[Unit_Price]]*Supply_Chain[[#This Row],[Quantity]]</f>
        <v>1606.05</v>
      </c>
      <c r="P760" t="s">
        <v>1003</v>
      </c>
      <c r="Q760" t="s">
        <v>110</v>
      </c>
      <c r="R760" t="s">
        <v>36</v>
      </c>
      <c r="S760" t="s">
        <v>119</v>
      </c>
      <c r="T760" t="s">
        <v>71</v>
      </c>
      <c r="U760" t="s">
        <v>378</v>
      </c>
      <c r="V760">
        <v>271</v>
      </c>
      <c r="W760">
        <v>343</v>
      </c>
      <c r="X760">
        <v>23</v>
      </c>
      <c r="Y760">
        <v>876.65</v>
      </c>
      <c r="Z760">
        <v>186.29</v>
      </c>
      <c r="AA760" s="9">
        <v>1062.94</v>
      </c>
      <c r="AB760" t="s">
        <v>52</v>
      </c>
      <c r="AC760">
        <v>0</v>
      </c>
      <c r="AD760">
        <v>89.21</v>
      </c>
      <c r="AE760">
        <v>160</v>
      </c>
      <c r="AF760">
        <v>158</v>
      </c>
      <c r="AG760" s="11">
        <f>Supply_Chain[[#This Row],[Total_Cost]]/Supply_Chain[[#This Row],[Stock_On_Hand]]</f>
        <v>3.922287822878229</v>
      </c>
    </row>
    <row r="761" spans="1:33" x14ac:dyDescent="0.25">
      <c r="A761" t="s">
        <v>2193</v>
      </c>
      <c r="B761" t="s">
        <v>2194</v>
      </c>
      <c r="C761" s="1">
        <v>45283</v>
      </c>
      <c r="D761" s="1">
        <v>44986</v>
      </c>
      <c r="E761" t="s">
        <v>43</v>
      </c>
      <c r="F761" t="s">
        <v>44</v>
      </c>
      <c r="G761" t="s">
        <v>56</v>
      </c>
      <c r="H761" t="s">
        <v>128</v>
      </c>
      <c r="I761" s="3" t="s">
        <v>3348</v>
      </c>
      <c r="J761" s="3" t="s">
        <v>3518</v>
      </c>
      <c r="K761" s="3" t="s">
        <v>3527</v>
      </c>
      <c r="L761" s="3" t="s">
        <v>4135</v>
      </c>
      <c r="M761">
        <v>38.5</v>
      </c>
      <c r="N761">
        <v>28</v>
      </c>
      <c r="O761">
        <f>Supply_Chain[[#This Row],[Unit_Price]]*Supply_Chain[[#This Row],[Quantity]]</f>
        <v>1078</v>
      </c>
      <c r="P761" t="s">
        <v>2195</v>
      </c>
      <c r="Q761" t="s">
        <v>86</v>
      </c>
      <c r="R761" t="s">
        <v>301</v>
      </c>
      <c r="S761" t="s">
        <v>50</v>
      </c>
      <c r="T761" t="s">
        <v>71</v>
      </c>
      <c r="U761" t="s">
        <v>619</v>
      </c>
      <c r="V761">
        <v>217</v>
      </c>
      <c r="W761">
        <v>219</v>
      </c>
      <c r="X761">
        <v>10</v>
      </c>
      <c r="Y761">
        <v>426.28</v>
      </c>
      <c r="Z761">
        <v>116.32</v>
      </c>
      <c r="AA761" s="9">
        <v>542.59999999999991</v>
      </c>
      <c r="AB761" t="s">
        <v>52</v>
      </c>
      <c r="AC761">
        <v>0</v>
      </c>
      <c r="AD761">
        <v>73.83</v>
      </c>
      <c r="AE761">
        <v>79</v>
      </c>
      <c r="AF761">
        <v>90</v>
      </c>
      <c r="AG761" s="11">
        <f>Supply_Chain[[#This Row],[Total_Cost]]/Supply_Chain[[#This Row],[Stock_On_Hand]]</f>
        <v>2.500460829493087</v>
      </c>
    </row>
    <row r="762" spans="1:33" x14ac:dyDescent="0.25">
      <c r="A762" t="s">
        <v>2196</v>
      </c>
      <c r="B762" t="s">
        <v>2197</v>
      </c>
      <c r="C762" s="1">
        <v>45207</v>
      </c>
      <c r="D762" s="1">
        <v>44979</v>
      </c>
      <c r="E762" t="s">
        <v>55</v>
      </c>
      <c r="F762" t="s">
        <v>44</v>
      </c>
      <c r="G762" t="s">
        <v>32</v>
      </c>
      <c r="H762" t="s">
        <v>33</v>
      </c>
      <c r="I762" s="3" t="s">
        <v>3349</v>
      </c>
      <c r="J762" s="3" t="s">
        <v>3519</v>
      </c>
      <c r="K762" s="3" t="s">
        <v>3530</v>
      </c>
      <c r="L762" s="3" t="s">
        <v>4136</v>
      </c>
      <c r="M762">
        <v>325.98</v>
      </c>
      <c r="N762">
        <v>37</v>
      </c>
      <c r="O762">
        <f>Supply_Chain[[#This Row],[Unit_Price]]*Supply_Chain[[#This Row],[Quantity]]</f>
        <v>12061.26</v>
      </c>
      <c r="P762" t="s">
        <v>2198</v>
      </c>
      <c r="Q762" t="s">
        <v>68</v>
      </c>
      <c r="R762" t="s">
        <v>172</v>
      </c>
      <c r="S762" t="s">
        <v>50</v>
      </c>
      <c r="T762" t="s">
        <v>38</v>
      </c>
      <c r="U762" t="s">
        <v>72</v>
      </c>
      <c r="V762">
        <v>2856</v>
      </c>
      <c r="W762">
        <v>408</v>
      </c>
      <c r="X762">
        <v>29</v>
      </c>
      <c r="Y762">
        <v>1998.97</v>
      </c>
      <c r="Z762">
        <v>135.30000000000001</v>
      </c>
      <c r="AA762" s="9">
        <v>2134.27</v>
      </c>
      <c r="AB762" t="s">
        <v>52</v>
      </c>
      <c r="AC762">
        <v>0</v>
      </c>
      <c r="AD762">
        <v>86.1</v>
      </c>
      <c r="AE762">
        <v>144</v>
      </c>
      <c r="AF762">
        <v>149</v>
      </c>
      <c r="AG762" s="11">
        <f>Supply_Chain[[#This Row],[Total_Cost]]/Supply_Chain[[#This Row],[Stock_On_Hand]]</f>
        <v>0.74729341736694677</v>
      </c>
    </row>
    <row r="763" spans="1:33" x14ac:dyDescent="0.25">
      <c r="A763" t="s">
        <v>2199</v>
      </c>
      <c r="B763" t="s">
        <v>2200</v>
      </c>
      <c r="C763" s="1">
        <v>43992</v>
      </c>
      <c r="D763" s="1">
        <v>44103</v>
      </c>
      <c r="E763" t="s">
        <v>55</v>
      </c>
      <c r="F763" t="s">
        <v>75</v>
      </c>
      <c r="G763" t="s">
        <v>65</v>
      </c>
      <c r="H763" t="s">
        <v>57</v>
      </c>
      <c r="I763" s="3" t="s">
        <v>3350</v>
      </c>
      <c r="J763" s="3" t="s">
        <v>84</v>
      </c>
      <c r="K763" s="3" t="s">
        <v>3526</v>
      </c>
      <c r="L763" s="3" t="s">
        <v>4137</v>
      </c>
      <c r="M763">
        <v>35.46</v>
      </c>
      <c r="N763">
        <v>70</v>
      </c>
      <c r="O763">
        <f>Supply_Chain[[#This Row],[Unit_Price]]*Supply_Chain[[#This Row],[Quantity]]</f>
        <v>2482.2000000000003</v>
      </c>
      <c r="P763" t="s">
        <v>1268</v>
      </c>
      <c r="Q763" t="s">
        <v>68</v>
      </c>
      <c r="R763" t="s">
        <v>130</v>
      </c>
      <c r="S763" t="s">
        <v>37</v>
      </c>
      <c r="T763" t="s">
        <v>38</v>
      </c>
      <c r="U763" t="s">
        <v>770</v>
      </c>
      <c r="V763">
        <v>3075</v>
      </c>
      <c r="W763">
        <v>251</v>
      </c>
      <c r="X763">
        <v>9</v>
      </c>
      <c r="Y763">
        <v>1401.76</v>
      </c>
      <c r="Z763">
        <v>149.66999999999999</v>
      </c>
      <c r="AA763" s="9">
        <v>1551.43</v>
      </c>
      <c r="AB763" t="s">
        <v>52</v>
      </c>
      <c r="AC763">
        <v>0</v>
      </c>
      <c r="AD763">
        <v>94.7</v>
      </c>
      <c r="AE763">
        <v>497</v>
      </c>
      <c r="AF763">
        <v>478</v>
      </c>
      <c r="AG763" s="11">
        <f>Supply_Chain[[#This Row],[Total_Cost]]/Supply_Chain[[#This Row],[Stock_On_Hand]]</f>
        <v>0.504530081300813</v>
      </c>
    </row>
    <row r="764" spans="1:33" x14ac:dyDescent="0.25">
      <c r="A764" t="s">
        <v>2201</v>
      </c>
      <c r="B764" t="s">
        <v>2202</v>
      </c>
      <c r="C764" s="1">
        <v>44565</v>
      </c>
      <c r="D764" s="1">
        <v>45476</v>
      </c>
      <c r="E764" t="s">
        <v>55</v>
      </c>
      <c r="F764" t="s">
        <v>115</v>
      </c>
      <c r="G764" t="s">
        <v>91</v>
      </c>
      <c r="H764" t="s">
        <v>46</v>
      </c>
      <c r="I764" s="3" t="s">
        <v>3351</v>
      </c>
      <c r="J764" s="3" t="s">
        <v>3518</v>
      </c>
      <c r="K764" s="3" t="s">
        <v>3522</v>
      </c>
      <c r="L764" s="3" t="s">
        <v>4138</v>
      </c>
      <c r="M764">
        <v>179.02</v>
      </c>
      <c r="N764">
        <v>79</v>
      </c>
      <c r="O764">
        <f>Supply_Chain[[#This Row],[Unit_Price]]*Supply_Chain[[#This Row],[Quantity]]</f>
        <v>14142.58</v>
      </c>
      <c r="P764" t="s">
        <v>2203</v>
      </c>
      <c r="Q764" t="s">
        <v>35</v>
      </c>
      <c r="R764" t="s">
        <v>124</v>
      </c>
      <c r="S764" t="s">
        <v>70</v>
      </c>
      <c r="T764" t="s">
        <v>71</v>
      </c>
      <c r="U764" t="s">
        <v>72</v>
      </c>
      <c r="V764">
        <v>1114</v>
      </c>
      <c r="W764">
        <v>483</v>
      </c>
      <c r="X764">
        <v>18</v>
      </c>
      <c r="Y764">
        <v>1582.49</v>
      </c>
      <c r="Z764">
        <v>319.60000000000002</v>
      </c>
      <c r="AA764" s="9">
        <v>1902.09</v>
      </c>
      <c r="AB764" t="s">
        <v>52</v>
      </c>
      <c r="AC764">
        <v>0</v>
      </c>
      <c r="AD764">
        <v>87.52</v>
      </c>
      <c r="AE764">
        <v>421</v>
      </c>
      <c r="AF764">
        <v>438</v>
      </c>
      <c r="AG764" s="11">
        <f>Supply_Chain[[#This Row],[Total_Cost]]/Supply_Chain[[#This Row],[Stock_On_Hand]]</f>
        <v>1.7074416517055655</v>
      </c>
    </row>
    <row r="765" spans="1:33" x14ac:dyDescent="0.25">
      <c r="A765" t="s">
        <v>2204</v>
      </c>
      <c r="B765" t="s">
        <v>2205</v>
      </c>
      <c r="C765" s="1">
        <v>45042</v>
      </c>
      <c r="D765" s="1">
        <v>44471</v>
      </c>
      <c r="E765" t="s">
        <v>55</v>
      </c>
      <c r="F765" t="s">
        <v>31</v>
      </c>
      <c r="G765" t="s">
        <v>56</v>
      </c>
      <c r="H765" t="s">
        <v>46</v>
      </c>
      <c r="I765" s="3" t="s">
        <v>3352</v>
      </c>
      <c r="J765" s="3" t="s">
        <v>84</v>
      </c>
      <c r="K765" s="3" t="s">
        <v>3534</v>
      </c>
      <c r="L765" s="3" t="s">
        <v>4139</v>
      </c>
      <c r="M765">
        <v>374.12</v>
      </c>
      <c r="N765">
        <v>7</v>
      </c>
      <c r="O765">
        <f>Supply_Chain[[#This Row],[Unit_Price]]*Supply_Chain[[#This Row],[Quantity]]</f>
        <v>2618.84</v>
      </c>
      <c r="P765" t="s">
        <v>601</v>
      </c>
      <c r="Q765" t="s">
        <v>35</v>
      </c>
      <c r="R765" t="s">
        <v>323</v>
      </c>
      <c r="S765" t="s">
        <v>70</v>
      </c>
      <c r="T765" t="s">
        <v>38</v>
      </c>
      <c r="U765" t="s">
        <v>141</v>
      </c>
      <c r="V765">
        <v>442</v>
      </c>
      <c r="W765">
        <v>330</v>
      </c>
      <c r="X765">
        <v>18</v>
      </c>
      <c r="Y765">
        <v>237.65</v>
      </c>
      <c r="Z765">
        <v>431.92</v>
      </c>
      <c r="AA765" s="9">
        <v>669.57</v>
      </c>
      <c r="AB765" t="s">
        <v>52</v>
      </c>
      <c r="AC765">
        <v>0</v>
      </c>
      <c r="AD765">
        <v>70.61</v>
      </c>
      <c r="AE765">
        <v>170</v>
      </c>
      <c r="AF765">
        <v>157</v>
      </c>
      <c r="AG765" s="11">
        <f>Supply_Chain[[#This Row],[Total_Cost]]/Supply_Chain[[#This Row],[Stock_On_Hand]]</f>
        <v>1.5148642533936654</v>
      </c>
    </row>
    <row r="766" spans="1:33" x14ac:dyDescent="0.25">
      <c r="A766" t="s">
        <v>2206</v>
      </c>
      <c r="B766" t="s">
        <v>1532</v>
      </c>
      <c r="C766" s="1">
        <v>44396</v>
      </c>
      <c r="D766" s="1">
        <v>45075</v>
      </c>
      <c r="E766" t="s">
        <v>55</v>
      </c>
      <c r="F766" t="s">
        <v>75</v>
      </c>
      <c r="G766" t="s">
        <v>247</v>
      </c>
      <c r="H766" t="s">
        <v>116</v>
      </c>
      <c r="I766" s="3" t="s">
        <v>3353</v>
      </c>
      <c r="J766" s="3" t="s">
        <v>3518</v>
      </c>
      <c r="K766" s="3" t="s">
        <v>3522</v>
      </c>
      <c r="L766" s="3" t="s">
        <v>4140</v>
      </c>
      <c r="M766">
        <v>479.41</v>
      </c>
      <c r="N766">
        <v>50</v>
      </c>
      <c r="O766">
        <f>Supply_Chain[[#This Row],[Unit_Price]]*Supply_Chain[[#This Row],[Quantity]]</f>
        <v>23970.5</v>
      </c>
      <c r="P766" t="s">
        <v>2207</v>
      </c>
      <c r="Q766" t="s">
        <v>68</v>
      </c>
      <c r="R766" t="s">
        <v>145</v>
      </c>
      <c r="S766" t="s">
        <v>50</v>
      </c>
      <c r="T766" t="s">
        <v>60</v>
      </c>
      <c r="U766" t="s">
        <v>669</v>
      </c>
      <c r="V766">
        <v>2164</v>
      </c>
      <c r="W766">
        <v>140</v>
      </c>
      <c r="X766">
        <v>7</v>
      </c>
      <c r="Y766">
        <v>1064.1600000000001</v>
      </c>
      <c r="Z766">
        <v>269.77</v>
      </c>
      <c r="AA766" s="9">
        <v>1333.93</v>
      </c>
      <c r="AB766" t="s">
        <v>52</v>
      </c>
      <c r="AC766">
        <v>0</v>
      </c>
      <c r="AD766">
        <v>81.569999999999993</v>
      </c>
      <c r="AE766">
        <v>363</v>
      </c>
      <c r="AF766">
        <v>363</v>
      </c>
      <c r="AG766" s="11">
        <f>Supply_Chain[[#This Row],[Total_Cost]]/Supply_Chain[[#This Row],[Stock_On_Hand]]</f>
        <v>0.61641866913123844</v>
      </c>
    </row>
    <row r="767" spans="1:33" x14ac:dyDescent="0.25">
      <c r="A767" t="s">
        <v>2208</v>
      </c>
      <c r="B767" t="s">
        <v>2209</v>
      </c>
      <c r="C767" s="1">
        <v>44800</v>
      </c>
      <c r="D767" s="1">
        <v>44127</v>
      </c>
      <c r="E767" t="s">
        <v>55</v>
      </c>
      <c r="F767" t="s">
        <v>31</v>
      </c>
      <c r="G767" t="s">
        <v>56</v>
      </c>
      <c r="H767" t="s">
        <v>116</v>
      </c>
      <c r="I767" s="3" t="s">
        <v>3354</v>
      </c>
      <c r="J767" s="3" t="s">
        <v>3518</v>
      </c>
      <c r="K767" s="3" t="s">
        <v>3522</v>
      </c>
      <c r="L767" s="3" t="s">
        <v>4141</v>
      </c>
      <c r="M767">
        <v>414.13</v>
      </c>
      <c r="N767">
        <v>6</v>
      </c>
      <c r="O767">
        <f>Supply_Chain[[#This Row],[Unit_Price]]*Supply_Chain[[#This Row],[Quantity]]</f>
        <v>2484.7799999999997</v>
      </c>
      <c r="P767" t="s">
        <v>2210</v>
      </c>
      <c r="Q767" t="s">
        <v>68</v>
      </c>
      <c r="R767" t="s">
        <v>306</v>
      </c>
      <c r="S767" t="s">
        <v>37</v>
      </c>
      <c r="T767" t="s">
        <v>71</v>
      </c>
      <c r="U767" t="s">
        <v>101</v>
      </c>
      <c r="V767">
        <v>1650</v>
      </c>
      <c r="W767">
        <v>457</v>
      </c>
      <c r="X767">
        <v>14</v>
      </c>
      <c r="Y767">
        <v>142.9</v>
      </c>
      <c r="Z767">
        <v>165.67</v>
      </c>
      <c r="AA767" s="9">
        <v>308.57</v>
      </c>
      <c r="AB767" t="s">
        <v>52</v>
      </c>
      <c r="AC767">
        <v>0</v>
      </c>
      <c r="AD767">
        <v>73.95</v>
      </c>
      <c r="AE767">
        <v>411</v>
      </c>
      <c r="AF767">
        <v>391</v>
      </c>
      <c r="AG767" s="11">
        <f>Supply_Chain[[#This Row],[Total_Cost]]/Supply_Chain[[#This Row],[Stock_On_Hand]]</f>
        <v>0.18701212121212121</v>
      </c>
    </row>
    <row r="768" spans="1:33" x14ac:dyDescent="0.25">
      <c r="A768" t="s">
        <v>2211</v>
      </c>
      <c r="B768" t="s">
        <v>1358</v>
      </c>
      <c r="C768" s="1">
        <v>45281</v>
      </c>
      <c r="D768" s="1">
        <v>44386</v>
      </c>
      <c r="E768" t="s">
        <v>55</v>
      </c>
      <c r="F768" t="s">
        <v>75</v>
      </c>
      <c r="G768" t="s">
        <v>83</v>
      </c>
      <c r="H768" t="s">
        <v>116</v>
      </c>
      <c r="I768" s="3" t="s">
        <v>3355</v>
      </c>
      <c r="J768" s="3" t="s">
        <v>3518</v>
      </c>
      <c r="K768" s="3" t="s">
        <v>3522</v>
      </c>
      <c r="L768" s="3" t="s">
        <v>4142</v>
      </c>
      <c r="M768">
        <v>219.07</v>
      </c>
      <c r="N768">
        <v>10</v>
      </c>
      <c r="O768">
        <f>Supply_Chain[[#This Row],[Unit_Price]]*Supply_Chain[[#This Row],[Quantity]]</f>
        <v>2190.6999999999998</v>
      </c>
      <c r="P768" t="s">
        <v>2212</v>
      </c>
      <c r="Q768" t="s">
        <v>48</v>
      </c>
      <c r="R768" t="s">
        <v>323</v>
      </c>
      <c r="S768" t="s">
        <v>119</v>
      </c>
      <c r="T768" t="s">
        <v>38</v>
      </c>
      <c r="U768" t="s">
        <v>72</v>
      </c>
      <c r="V768">
        <v>698</v>
      </c>
      <c r="W768">
        <v>355</v>
      </c>
      <c r="X768">
        <v>16</v>
      </c>
      <c r="Y768">
        <v>1060.48</v>
      </c>
      <c r="Z768">
        <v>280.38</v>
      </c>
      <c r="AA768" s="9">
        <v>1340.86</v>
      </c>
      <c r="AB768" t="s">
        <v>40</v>
      </c>
      <c r="AC768">
        <v>5</v>
      </c>
      <c r="AD768">
        <v>83.26</v>
      </c>
      <c r="AE768">
        <v>365</v>
      </c>
      <c r="AF768">
        <v>329</v>
      </c>
      <c r="AG768" s="11">
        <f>Supply_Chain[[#This Row],[Total_Cost]]/Supply_Chain[[#This Row],[Stock_On_Hand]]</f>
        <v>1.9210028653295128</v>
      </c>
    </row>
    <row r="769" spans="1:33" x14ac:dyDescent="0.25">
      <c r="A769" t="s">
        <v>2213</v>
      </c>
      <c r="B769" t="s">
        <v>2214</v>
      </c>
      <c r="C769" s="1">
        <v>45588</v>
      </c>
      <c r="D769" s="1">
        <v>45406</v>
      </c>
      <c r="E769" t="s">
        <v>30</v>
      </c>
      <c r="F769" t="s">
        <v>75</v>
      </c>
      <c r="G769" t="s">
        <v>83</v>
      </c>
      <c r="H769" t="s">
        <v>57</v>
      </c>
      <c r="I769" s="3" t="s">
        <v>3331</v>
      </c>
      <c r="J769" s="3" t="s">
        <v>3519</v>
      </c>
      <c r="K769" s="3" t="s">
        <v>3528</v>
      </c>
      <c r="L769" s="3" t="s">
        <v>4118</v>
      </c>
      <c r="M769">
        <v>118.62</v>
      </c>
      <c r="N769">
        <v>88</v>
      </c>
      <c r="O769">
        <f>Supply_Chain[[#This Row],[Unit_Price]]*Supply_Chain[[#This Row],[Quantity]]</f>
        <v>10438.560000000001</v>
      </c>
      <c r="P769" t="s">
        <v>1102</v>
      </c>
      <c r="Q769" t="s">
        <v>110</v>
      </c>
      <c r="R769" t="s">
        <v>176</v>
      </c>
      <c r="S769" t="s">
        <v>119</v>
      </c>
      <c r="T769" t="s">
        <v>38</v>
      </c>
      <c r="U769" t="s">
        <v>459</v>
      </c>
      <c r="V769">
        <v>2414</v>
      </c>
      <c r="W769">
        <v>479</v>
      </c>
      <c r="X769">
        <v>1</v>
      </c>
      <c r="Y769">
        <v>790.7</v>
      </c>
      <c r="Z769">
        <v>345.76</v>
      </c>
      <c r="AA769" s="9">
        <v>1136.46</v>
      </c>
      <c r="AB769" t="s">
        <v>52</v>
      </c>
      <c r="AC769">
        <v>0</v>
      </c>
      <c r="AD769">
        <v>86.81</v>
      </c>
      <c r="AE769">
        <v>238</v>
      </c>
      <c r="AF769">
        <v>217</v>
      </c>
      <c r="AG769" s="11">
        <f>Supply_Chain[[#This Row],[Total_Cost]]/Supply_Chain[[#This Row],[Stock_On_Hand]]</f>
        <v>0.47077879038939519</v>
      </c>
    </row>
    <row r="770" spans="1:33" x14ac:dyDescent="0.25">
      <c r="A770" t="s">
        <v>2215</v>
      </c>
      <c r="B770" t="s">
        <v>2216</v>
      </c>
      <c r="C770" s="1">
        <v>44818</v>
      </c>
      <c r="D770" s="1">
        <v>44977</v>
      </c>
      <c r="E770" t="s">
        <v>55</v>
      </c>
      <c r="F770" t="s">
        <v>115</v>
      </c>
      <c r="G770" t="s">
        <v>45</v>
      </c>
      <c r="H770" t="s">
        <v>66</v>
      </c>
      <c r="I770" s="3" t="s">
        <v>3356</v>
      </c>
      <c r="J770" s="3" t="s">
        <v>84</v>
      </c>
      <c r="K770" s="3" t="s">
        <v>3526</v>
      </c>
      <c r="L770" s="3" t="s">
        <v>4143</v>
      </c>
      <c r="M770">
        <v>299.63</v>
      </c>
      <c r="N770">
        <v>26</v>
      </c>
      <c r="O770">
        <f>Supply_Chain[[#This Row],[Unit_Price]]*Supply_Chain[[#This Row],[Quantity]]</f>
        <v>7790.38</v>
      </c>
      <c r="P770" t="s">
        <v>812</v>
      </c>
      <c r="Q770" t="s">
        <v>48</v>
      </c>
      <c r="R770" t="s">
        <v>231</v>
      </c>
      <c r="S770" t="s">
        <v>50</v>
      </c>
      <c r="T770" t="s">
        <v>38</v>
      </c>
      <c r="U770" t="s">
        <v>446</v>
      </c>
      <c r="V770">
        <v>368</v>
      </c>
      <c r="W770">
        <v>427</v>
      </c>
      <c r="X770">
        <v>1</v>
      </c>
      <c r="Y770">
        <v>1714.32</v>
      </c>
      <c r="Z770">
        <v>355.99</v>
      </c>
      <c r="AA770" s="9">
        <v>2070.31</v>
      </c>
      <c r="AB770" t="s">
        <v>52</v>
      </c>
      <c r="AC770">
        <v>0</v>
      </c>
      <c r="AD770">
        <v>75.260000000000005</v>
      </c>
      <c r="AE770">
        <v>159</v>
      </c>
      <c r="AF770">
        <v>191</v>
      </c>
      <c r="AG770" s="11">
        <f>Supply_Chain[[#This Row],[Total_Cost]]/Supply_Chain[[#This Row],[Stock_On_Hand]]</f>
        <v>5.6258423913043476</v>
      </c>
    </row>
    <row r="771" spans="1:33" x14ac:dyDescent="0.25">
      <c r="A771" t="s">
        <v>2217</v>
      </c>
      <c r="B771" t="s">
        <v>2218</v>
      </c>
      <c r="C771" s="1">
        <v>43972</v>
      </c>
      <c r="D771" s="1">
        <v>43875</v>
      </c>
      <c r="E771" t="s">
        <v>30</v>
      </c>
      <c r="F771" t="s">
        <v>64</v>
      </c>
      <c r="G771" t="s">
        <v>76</v>
      </c>
      <c r="H771" t="s">
        <v>116</v>
      </c>
      <c r="I771" s="3" t="s">
        <v>3357</v>
      </c>
      <c r="J771" s="3" t="s">
        <v>84</v>
      </c>
      <c r="K771" s="3" t="s">
        <v>3529</v>
      </c>
      <c r="L771" s="3" t="s">
        <v>4144</v>
      </c>
      <c r="M771">
        <v>325.52999999999997</v>
      </c>
      <c r="N771">
        <v>57</v>
      </c>
      <c r="O771">
        <f>Supply_Chain[[#This Row],[Unit_Price]]*Supply_Chain[[#This Row],[Quantity]]</f>
        <v>18555.21</v>
      </c>
      <c r="P771" t="s">
        <v>1199</v>
      </c>
      <c r="Q771" t="s">
        <v>35</v>
      </c>
      <c r="R771" t="s">
        <v>135</v>
      </c>
      <c r="S771" t="s">
        <v>119</v>
      </c>
      <c r="T771" t="s">
        <v>38</v>
      </c>
      <c r="U771" t="s">
        <v>770</v>
      </c>
      <c r="V771">
        <v>3091</v>
      </c>
      <c r="W771">
        <v>171</v>
      </c>
      <c r="X771">
        <v>25</v>
      </c>
      <c r="Y771">
        <v>1530.3</v>
      </c>
      <c r="Z771">
        <v>430.9</v>
      </c>
      <c r="AA771" s="9">
        <v>1961.2</v>
      </c>
      <c r="AB771" t="s">
        <v>40</v>
      </c>
      <c r="AC771">
        <v>12</v>
      </c>
      <c r="AD771">
        <v>93.64</v>
      </c>
      <c r="AE771">
        <v>162</v>
      </c>
      <c r="AF771">
        <v>190</v>
      </c>
      <c r="AG771" s="11">
        <f>Supply_Chain[[#This Row],[Total_Cost]]/Supply_Chain[[#This Row],[Stock_On_Hand]]</f>
        <v>0.63448722096408927</v>
      </c>
    </row>
    <row r="772" spans="1:33" x14ac:dyDescent="0.25">
      <c r="A772" t="s">
        <v>2219</v>
      </c>
      <c r="B772" t="s">
        <v>2220</v>
      </c>
      <c r="C772" s="1">
        <v>44648</v>
      </c>
      <c r="D772" s="1">
        <v>44147</v>
      </c>
      <c r="E772" t="s">
        <v>43</v>
      </c>
      <c r="F772" t="s">
        <v>75</v>
      </c>
      <c r="G772" t="s">
        <v>65</v>
      </c>
      <c r="H772" t="s">
        <v>66</v>
      </c>
      <c r="I772" s="3" t="s">
        <v>3358</v>
      </c>
      <c r="J772" s="3" t="s">
        <v>84</v>
      </c>
      <c r="K772" s="3" t="s">
        <v>3529</v>
      </c>
      <c r="L772" s="3" t="s">
        <v>4145</v>
      </c>
      <c r="M772">
        <v>384</v>
      </c>
      <c r="N772">
        <v>12</v>
      </c>
      <c r="O772">
        <f>Supply_Chain[[#This Row],[Unit_Price]]*Supply_Chain[[#This Row],[Quantity]]</f>
        <v>4608</v>
      </c>
      <c r="P772" t="s">
        <v>915</v>
      </c>
      <c r="Q772" t="s">
        <v>110</v>
      </c>
      <c r="R772" t="s">
        <v>466</v>
      </c>
      <c r="S772" t="s">
        <v>70</v>
      </c>
      <c r="T772" t="s">
        <v>71</v>
      </c>
      <c r="U772" t="s">
        <v>291</v>
      </c>
      <c r="V772">
        <v>4591</v>
      </c>
      <c r="W772">
        <v>144</v>
      </c>
      <c r="X772">
        <v>28</v>
      </c>
      <c r="Y772">
        <v>653.53</v>
      </c>
      <c r="Z772">
        <v>446.68</v>
      </c>
      <c r="AA772" s="9">
        <v>1100.21</v>
      </c>
      <c r="AB772" t="s">
        <v>40</v>
      </c>
      <c r="AC772">
        <v>12</v>
      </c>
      <c r="AD772">
        <v>81.23</v>
      </c>
      <c r="AE772">
        <v>305</v>
      </c>
      <c r="AF772">
        <v>319</v>
      </c>
      <c r="AG772" s="11">
        <f>Supply_Chain[[#This Row],[Total_Cost]]/Supply_Chain[[#This Row],[Stock_On_Hand]]</f>
        <v>0.23964495752559356</v>
      </c>
    </row>
    <row r="773" spans="1:33" x14ac:dyDescent="0.25">
      <c r="A773" t="s">
        <v>2221</v>
      </c>
      <c r="B773" t="s">
        <v>2222</v>
      </c>
      <c r="C773" s="1">
        <v>44805</v>
      </c>
      <c r="D773" s="1">
        <v>44262</v>
      </c>
      <c r="E773" t="s">
        <v>55</v>
      </c>
      <c r="F773" t="s">
        <v>75</v>
      </c>
      <c r="G773" t="s">
        <v>83</v>
      </c>
      <c r="H773" t="s">
        <v>128</v>
      </c>
      <c r="I773" s="3" t="s">
        <v>3359</v>
      </c>
      <c r="J773" s="3" t="s">
        <v>3518</v>
      </c>
      <c r="K773" s="3" t="s">
        <v>3525</v>
      </c>
      <c r="L773" s="3" t="s">
        <v>4146</v>
      </c>
      <c r="M773">
        <v>497.26</v>
      </c>
      <c r="N773">
        <v>9</v>
      </c>
      <c r="O773">
        <f>Supply_Chain[[#This Row],[Unit_Price]]*Supply_Chain[[#This Row],[Quantity]]</f>
        <v>4475.34</v>
      </c>
      <c r="P773" t="s">
        <v>2223</v>
      </c>
      <c r="Q773" t="s">
        <v>86</v>
      </c>
      <c r="R773" t="s">
        <v>130</v>
      </c>
      <c r="S773" t="s">
        <v>119</v>
      </c>
      <c r="T773" t="s">
        <v>79</v>
      </c>
      <c r="U773" t="s">
        <v>316</v>
      </c>
      <c r="V773">
        <v>3995</v>
      </c>
      <c r="W773">
        <v>125</v>
      </c>
      <c r="X773">
        <v>1</v>
      </c>
      <c r="Y773">
        <v>1920.91</v>
      </c>
      <c r="Z773">
        <v>143.01</v>
      </c>
      <c r="AA773" s="9">
        <v>2063.92</v>
      </c>
      <c r="AB773" t="s">
        <v>52</v>
      </c>
      <c r="AC773">
        <v>0</v>
      </c>
      <c r="AD773">
        <v>92.53</v>
      </c>
      <c r="AE773">
        <v>110</v>
      </c>
      <c r="AF773">
        <v>86</v>
      </c>
      <c r="AG773" s="11">
        <f>Supply_Chain[[#This Row],[Total_Cost]]/Supply_Chain[[#This Row],[Stock_On_Hand]]</f>
        <v>0.51662578222778477</v>
      </c>
    </row>
    <row r="774" spans="1:33" x14ac:dyDescent="0.25">
      <c r="A774" t="s">
        <v>2224</v>
      </c>
      <c r="B774" t="s">
        <v>2225</v>
      </c>
      <c r="C774" s="1">
        <v>43847</v>
      </c>
      <c r="D774" s="1">
        <v>44822</v>
      </c>
      <c r="E774" t="s">
        <v>55</v>
      </c>
      <c r="F774" t="s">
        <v>64</v>
      </c>
      <c r="G774" t="s">
        <v>56</v>
      </c>
      <c r="H774" t="s">
        <v>33</v>
      </c>
      <c r="I774" s="3" t="s">
        <v>3163</v>
      </c>
      <c r="J774" s="3" t="s">
        <v>3518</v>
      </c>
      <c r="K774" s="3" t="s">
        <v>3522</v>
      </c>
      <c r="L774" s="3" t="s">
        <v>3957</v>
      </c>
      <c r="M774">
        <v>180.25</v>
      </c>
      <c r="N774">
        <v>68</v>
      </c>
      <c r="O774">
        <f>Supply_Chain[[#This Row],[Unit_Price]]*Supply_Chain[[#This Row],[Quantity]]</f>
        <v>12257</v>
      </c>
      <c r="P774" t="s">
        <v>2210</v>
      </c>
      <c r="Q774" t="s">
        <v>86</v>
      </c>
      <c r="R774" t="s">
        <v>231</v>
      </c>
      <c r="S774" t="s">
        <v>37</v>
      </c>
      <c r="T774" t="s">
        <v>79</v>
      </c>
      <c r="U774" t="s">
        <v>125</v>
      </c>
      <c r="V774">
        <v>2721</v>
      </c>
      <c r="W774">
        <v>349</v>
      </c>
      <c r="X774">
        <v>22</v>
      </c>
      <c r="Y774">
        <v>1633.8</v>
      </c>
      <c r="Z774">
        <v>280.23</v>
      </c>
      <c r="AA774" s="9">
        <v>1914.03</v>
      </c>
      <c r="AB774" t="s">
        <v>52</v>
      </c>
      <c r="AC774">
        <v>0</v>
      </c>
      <c r="AD774">
        <v>98.82</v>
      </c>
      <c r="AE774">
        <v>124</v>
      </c>
      <c r="AF774">
        <v>91</v>
      </c>
      <c r="AG774" s="11">
        <f>Supply_Chain[[#This Row],[Total_Cost]]/Supply_Chain[[#This Row],[Stock_On_Hand]]</f>
        <v>0.7034288864388093</v>
      </c>
    </row>
    <row r="775" spans="1:33" x14ac:dyDescent="0.25">
      <c r="A775" t="s">
        <v>2226</v>
      </c>
      <c r="B775" t="s">
        <v>2227</v>
      </c>
      <c r="C775" s="1">
        <v>44993</v>
      </c>
      <c r="D775" s="1">
        <v>45032</v>
      </c>
      <c r="E775" t="s">
        <v>55</v>
      </c>
      <c r="F775" t="s">
        <v>64</v>
      </c>
      <c r="G775" t="s">
        <v>32</v>
      </c>
      <c r="H775" t="s">
        <v>46</v>
      </c>
      <c r="I775" s="3" t="s">
        <v>3360</v>
      </c>
      <c r="J775" s="3" t="s">
        <v>3518</v>
      </c>
      <c r="K775" s="3" t="s">
        <v>3522</v>
      </c>
      <c r="L775" s="3" t="s">
        <v>4147</v>
      </c>
      <c r="M775">
        <v>12.72</v>
      </c>
      <c r="N775">
        <v>61</v>
      </c>
      <c r="O775">
        <f>Supply_Chain[[#This Row],[Unit_Price]]*Supply_Chain[[#This Row],[Quantity]]</f>
        <v>775.92000000000007</v>
      </c>
      <c r="P775" t="s">
        <v>2228</v>
      </c>
      <c r="Q775" t="s">
        <v>48</v>
      </c>
      <c r="R775" t="s">
        <v>59</v>
      </c>
      <c r="S775" t="s">
        <v>70</v>
      </c>
      <c r="T775" t="s">
        <v>79</v>
      </c>
      <c r="U775" t="s">
        <v>669</v>
      </c>
      <c r="V775">
        <v>2182</v>
      </c>
      <c r="W775">
        <v>121</v>
      </c>
      <c r="X775">
        <v>22</v>
      </c>
      <c r="Y775">
        <v>1837.49</v>
      </c>
      <c r="Z775">
        <v>307.20999999999998</v>
      </c>
      <c r="AA775" s="9">
        <v>2144.6999999999998</v>
      </c>
      <c r="AB775" t="s">
        <v>52</v>
      </c>
      <c r="AC775">
        <v>0</v>
      </c>
      <c r="AD775">
        <v>89.68</v>
      </c>
      <c r="AE775">
        <v>165</v>
      </c>
      <c r="AF775">
        <v>158</v>
      </c>
      <c r="AG775" s="11">
        <f>Supply_Chain[[#This Row],[Total_Cost]]/Supply_Chain[[#This Row],[Stock_On_Hand]]</f>
        <v>0.98290559120073318</v>
      </c>
    </row>
    <row r="776" spans="1:33" x14ac:dyDescent="0.25">
      <c r="A776" t="s">
        <v>2229</v>
      </c>
      <c r="B776" t="s">
        <v>2230</v>
      </c>
      <c r="C776" s="1">
        <v>45087</v>
      </c>
      <c r="D776" s="1">
        <v>45265</v>
      </c>
      <c r="E776" t="s">
        <v>55</v>
      </c>
      <c r="F776" t="s">
        <v>115</v>
      </c>
      <c r="G776" t="s">
        <v>65</v>
      </c>
      <c r="H776" t="s">
        <v>116</v>
      </c>
      <c r="I776" s="3" t="s">
        <v>3361</v>
      </c>
      <c r="J776" s="3" t="s">
        <v>3518</v>
      </c>
      <c r="K776" s="3" t="s">
        <v>3522</v>
      </c>
      <c r="L776" s="3" t="s">
        <v>4148</v>
      </c>
      <c r="M776">
        <v>10.78</v>
      </c>
      <c r="N776">
        <v>28</v>
      </c>
      <c r="O776">
        <f>Supply_Chain[[#This Row],[Unit_Price]]*Supply_Chain[[#This Row],[Quantity]]</f>
        <v>301.83999999999997</v>
      </c>
      <c r="P776" t="s">
        <v>2231</v>
      </c>
      <c r="Q776" t="s">
        <v>35</v>
      </c>
      <c r="R776" t="s">
        <v>253</v>
      </c>
      <c r="S776" t="s">
        <v>37</v>
      </c>
      <c r="T776" t="s">
        <v>60</v>
      </c>
      <c r="U776" t="s">
        <v>855</v>
      </c>
      <c r="V776">
        <v>3651</v>
      </c>
      <c r="W776">
        <v>447</v>
      </c>
      <c r="X776">
        <v>21</v>
      </c>
      <c r="Y776">
        <v>344.9</v>
      </c>
      <c r="Z776">
        <v>106.86</v>
      </c>
      <c r="AA776" s="9">
        <v>451.76</v>
      </c>
      <c r="AB776" t="s">
        <v>52</v>
      </c>
      <c r="AC776">
        <v>0</v>
      </c>
      <c r="AD776">
        <v>84</v>
      </c>
      <c r="AE776">
        <v>247</v>
      </c>
      <c r="AF776">
        <v>288</v>
      </c>
      <c r="AG776" s="11">
        <f>Supply_Chain[[#This Row],[Total_Cost]]/Supply_Chain[[#This Row],[Stock_On_Hand]]</f>
        <v>0.12373596274993152</v>
      </c>
    </row>
    <row r="777" spans="1:33" x14ac:dyDescent="0.25">
      <c r="A777" t="s">
        <v>2232</v>
      </c>
      <c r="B777" t="s">
        <v>2233</v>
      </c>
      <c r="C777" s="1">
        <v>44965</v>
      </c>
      <c r="D777" s="1">
        <v>44388</v>
      </c>
      <c r="E777" t="s">
        <v>55</v>
      </c>
      <c r="F777" t="s">
        <v>31</v>
      </c>
      <c r="G777" t="s">
        <v>76</v>
      </c>
      <c r="H777" t="s">
        <v>116</v>
      </c>
      <c r="I777" s="3" t="s">
        <v>3362</v>
      </c>
      <c r="J777" s="3" t="s">
        <v>3518</v>
      </c>
      <c r="K777" s="3" t="s">
        <v>3521</v>
      </c>
      <c r="L777" s="3" t="s">
        <v>4149</v>
      </c>
      <c r="M777">
        <v>64.150000000000006</v>
      </c>
      <c r="N777">
        <v>53</v>
      </c>
      <c r="O777">
        <f>Supply_Chain[[#This Row],[Unit_Price]]*Supply_Chain[[#This Row],[Quantity]]</f>
        <v>3399.9500000000003</v>
      </c>
      <c r="P777" t="s">
        <v>2234</v>
      </c>
      <c r="Q777" t="s">
        <v>35</v>
      </c>
      <c r="R777" t="s">
        <v>195</v>
      </c>
      <c r="S777" t="s">
        <v>119</v>
      </c>
      <c r="T777" t="s">
        <v>100</v>
      </c>
      <c r="U777" t="s">
        <v>291</v>
      </c>
      <c r="V777">
        <v>3264</v>
      </c>
      <c r="W777">
        <v>383</v>
      </c>
      <c r="X777">
        <v>2</v>
      </c>
      <c r="Y777">
        <v>1021.61</v>
      </c>
      <c r="Z777">
        <v>126.53</v>
      </c>
      <c r="AA777" s="9">
        <v>1148.1400000000001</v>
      </c>
      <c r="AB777" t="s">
        <v>40</v>
      </c>
      <c r="AC777">
        <v>14</v>
      </c>
      <c r="AD777">
        <v>73.41</v>
      </c>
      <c r="AE777">
        <v>481</v>
      </c>
      <c r="AF777">
        <v>486</v>
      </c>
      <c r="AG777" s="11">
        <f>Supply_Chain[[#This Row],[Total_Cost]]/Supply_Chain[[#This Row],[Stock_On_Hand]]</f>
        <v>0.35175857843137259</v>
      </c>
    </row>
    <row r="778" spans="1:33" x14ac:dyDescent="0.25">
      <c r="A778" t="s">
        <v>2235</v>
      </c>
      <c r="B778" t="s">
        <v>2236</v>
      </c>
      <c r="C778" s="1">
        <v>45561</v>
      </c>
      <c r="D778" s="1">
        <v>44941</v>
      </c>
      <c r="E778" t="s">
        <v>55</v>
      </c>
      <c r="F778" t="s">
        <v>44</v>
      </c>
      <c r="G778" t="s">
        <v>45</v>
      </c>
      <c r="H778" t="s">
        <v>46</v>
      </c>
      <c r="I778" s="3" t="s">
        <v>3363</v>
      </c>
      <c r="J778" s="3" t="s">
        <v>3518</v>
      </c>
      <c r="K778" s="3" t="s">
        <v>3521</v>
      </c>
      <c r="L778" s="3" t="s">
        <v>4150</v>
      </c>
      <c r="M778">
        <v>232.6</v>
      </c>
      <c r="N778">
        <v>95</v>
      </c>
      <c r="O778">
        <f>Supply_Chain[[#This Row],[Unit_Price]]*Supply_Chain[[#This Row],[Quantity]]</f>
        <v>22097</v>
      </c>
      <c r="P778" t="s">
        <v>2237</v>
      </c>
      <c r="Q778" t="s">
        <v>110</v>
      </c>
      <c r="R778" t="s">
        <v>277</v>
      </c>
      <c r="S778" t="s">
        <v>50</v>
      </c>
      <c r="T778" t="s">
        <v>60</v>
      </c>
      <c r="U778" t="s">
        <v>378</v>
      </c>
      <c r="V778">
        <v>2453</v>
      </c>
      <c r="W778">
        <v>262</v>
      </c>
      <c r="X778">
        <v>13</v>
      </c>
      <c r="Y778">
        <v>1984.6</v>
      </c>
      <c r="Z778">
        <v>74.67</v>
      </c>
      <c r="AA778" s="9">
        <v>2059.27</v>
      </c>
      <c r="AB778" t="s">
        <v>52</v>
      </c>
      <c r="AC778">
        <v>0</v>
      </c>
      <c r="AD778">
        <v>75.099999999999994</v>
      </c>
      <c r="AE778">
        <v>465</v>
      </c>
      <c r="AF778">
        <v>434</v>
      </c>
      <c r="AG778" s="11">
        <f>Supply_Chain[[#This Row],[Total_Cost]]/Supply_Chain[[#This Row],[Stock_On_Hand]]</f>
        <v>0.8394904198940073</v>
      </c>
    </row>
    <row r="779" spans="1:33" x14ac:dyDescent="0.25">
      <c r="A779" t="s">
        <v>2238</v>
      </c>
      <c r="B779" t="s">
        <v>2239</v>
      </c>
      <c r="C779" s="1">
        <v>44892</v>
      </c>
      <c r="D779" s="1">
        <v>44601</v>
      </c>
      <c r="E779" t="s">
        <v>43</v>
      </c>
      <c r="F779" t="s">
        <v>64</v>
      </c>
      <c r="G779" t="s">
        <v>247</v>
      </c>
      <c r="H779" t="s">
        <v>57</v>
      </c>
      <c r="I779" s="3" t="s">
        <v>3364</v>
      </c>
      <c r="J779" s="3" t="s">
        <v>3518</v>
      </c>
      <c r="K779" s="3" t="s">
        <v>3521</v>
      </c>
      <c r="L779" s="3" t="s">
        <v>4151</v>
      </c>
      <c r="M779">
        <v>58.47</v>
      </c>
      <c r="N779">
        <v>24</v>
      </c>
      <c r="O779">
        <f>Supply_Chain[[#This Row],[Unit_Price]]*Supply_Chain[[#This Row],[Quantity]]</f>
        <v>1403.28</v>
      </c>
      <c r="P779" t="s">
        <v>707</v>
      </c>
      <c r="Q779" t="s">
        <v>68</v>
      </c>
      <c r="R779" t="s">
        <v>231</v>
      </c>
      <c r="S779" t="s">
        <v>37</v>
      </c>
      <c r="T779" t="s">
        <v>60</v>
      </c>
      <c r="U779" t="s">
        <v>669</v>
      </c>
      <c r="V779">
        <v>2763</v>
      </c>
      <c r="W779">
        <v>66</v>
      </c>
      <c r="X779">
        <v>9</v>
      </c>
      <c r="Y779">
        <v>1234.31</v>
      </c>
      <c r="Z779">
        <v>93.47</v>
      </c>
      <c r="AA779" s="9">
        <v>1327.78</v>
      </c>
      <c r="AB779" t="s">
        <v>52</v>
      </c>
      <c r="AC779">
        <v>0</v>
      </c>
      <c r="AD779">
        <v>99.38</v>
      </c>
      <c r="AE779">
        <v>485</v>
      </c>
      <c r="AF779">
        <v>503</v>
      </c>
      <c r="AG779" s="11">
        <f>Supply_Chain[[#This Row],[Total_Cost]]/Supply_Chain[[#This Row],[Stock_On_Hand]]</f>
        <v>0.48055736518277231</v>
      </c>
    </row>
    <row r="780" spans="1:33" x14ac:dyDescent="0.25">
      <c r="A780" t="s">
        <v>2240</v>
      </c>
      <c r="B780" t="s">
        <v>2241</v>
      </c>
      <c r="C780" s="1">
        <v>45339</v>
      </c>
      <c r="D780" s="1">
        <v>43996</v>
      </c>
      <c r="E780" t="s">
        <v>43</v>
      </c>
      <c r="F780" t="s">
        <v>64</v>
      </c>
      <c r="G780" t="s">
        <v>83</v>
      </c>
      <c r="H780" t="s">
        <v>33</v>
      </c>
      <c r="I780" s="3" t="s">
        <v>3365</v>
      </c>
      <c r="J780" s="3" t="s">
        <v>3518</v>
      </c>
      <c r="K780" s="3" t="s">
        <v>3521</v>
      </c>
      <c r="L780" s="3" t="s">
        <v>4152</v>
      </c>
      <c r="M780">
        <v>95.78</v>
      </c>
      <c r="N780">
        <v>24</v>
      </c>
      <c r="O780">
        <f>Supply_Chain[[#This Row],[Unit_Price]]*Supply_Chain[[#This Row],[Quantity]]</f>
        <v>2298.7200000000003</v>
      </c>
      <c r="P780" t="s">
        <v>2242</v>
      </c>
      <c r="Q780" t="s">
        <v>48</v>
      </c>
      <c r="R780" t="s">
        <v>172</v>
      </c>
      <c r="S780" t="s">
        <v>37</v>
      </c>
      <c r="T780" t="s">
        <v>100</v>
      </c>
      <c r="U780" t="s">
        <v>80</v>
      </c>
      <c r="V780">
        <v>641</v>
      </c>
      <c r="W780">
        <v>292</v>
      </c>
      <c r="X780">
        <v>26</v>
      </c>
      <c r="Y780">
        <v>970.53</v>
      </c>
      <c r="Z780">
        <v>144.61000000000001</v>
      </c>
      <c r="AA780" s="9">
        <v>1115.1400000000001</v>
      </c>
      <c r="AB780" t="s">
        <v>52</v>
      </c>
      <c r="AC780">
        <v>0</v>
      </c>
      <c r="AD780">
        <v>91.36</v>
      </c>
      <c r="AE780">
        <v>264</v>
      </c>
      <c r="AF780">
        <v>248</v>
      </c>
      <c r="AG780" s="11">
        <f>Supply_Chain[[#This Row],[Total_Cost]]/Supply_Chain[[#This Row],[Stock_On_Hand]]</f>
        <v>1.739687987519501</v>
      </c>
    </row>
    <row r="781" spans="1:33" x14ac:dyDescent="0.25">
      <c r="A781" t="s">
        <v>2243</v>
      </c>
      <c r="B781" t="s">
        <v>2244</v>
      </c>
      <c r="C781" s="1">
        <v>44579</v>
      </c>
      <c r="D781" s="1">
        <v>44826</v>
      </c>
      <c r="E781" t="s">
        <v>55</v>
      </c>
      <c r="F781" t="s">
        <v>44</v>
      </c>
      <c r="G781" t="s">
        <v>247</v>
      </c>
      <c r="H781" t="s">
        <v>116</v>
      </c>
      <c r="I781" s="3" t="s">
        <v>2918</v>
      </c>
      <c r="J781" s="3" t="s">
        <v>3518</v>
      </c>
      <c r="K781" s="3" t="s">
        <v>3524</v>
      </c>
      <c r="L781" s="3" t="s">
        <v>3717</v>
      </c>
      <c r="M781">
        <v>453.78</v>
      </c>
      <c r="N781">
        <v>75</v>
      </c>
      <c r="O781">
        <f>Supply_Chain[[#This Row],[Unit_Price]]*Supply_Chain[[#This Row],[Quantity]]</f>
        <v>34033.5</v>
      </c>
      <c r="P781" t="s">
        <v>1720</v>
      </c>
      <c r="Q781" t="s">
        <v>86</v>
      </c>
      <c r="R781" t="s">
        <v>360</v>
      </c>
      <c r="S781" t="s">
        <v>50</v>
      </c>
      <c r="T781" t="s">
        <v>71</v>
      </c>
      <c r="U781" t="s">
        <v>331</v>
      </c>
      <c r="V781">
        <v>4113</v>
      </c>
      <c r="W781">
        <v>194</v>
      </c>
      <c r="X781">
        <v>2</v>
      </c>
      <c r="Y781">
        <v>1456.29</v>
      </c>
      <c r="Z781">
        <v>83.03</v>
      </c>
      <c r="AA781" s="9">
        <v>1539.32</v>
      </c>
      <c r="AB781" t="s">
        <v>52</v>
      </c>
      <c r="AC781">
        <v>0</v>
      </c>
      <c r="AD781">
        <v>91.4</v>
      </c>
      <c r="AE781">
        <v>400</v>
      </c>
      <c r="AF781">
        <v>423</v>
      </c>
      <c r="AG781" s="11">
        <f>Supply_Chain[[#This Row],[Total_Cost]]/Supply_Chain[[#This Row],[Stock_On_Hand]]</f>
        <v>0.37425723316314125</v>
      </c>
    </row>
    <row r="782" spans="1:33" x14ac:dyDescent="0.25">
      <c r="A782" t="s">
        <v>2245</v>
      </c>
      <c r="B782" t="s">
        <v>2246</v>
      </c>
      <c r="C782" s="1">
        <v>44793</v>
      </c>
      <c r="D782" s="1">
        <v>44837</v>
      </c>
      <c r="E782" t="s">
        <v>43</v>
      </c>
      <c r="F782" t="s">
        <v>115</v>
      </c>
      <c r="G782" t="s">
        <v>32</v>
      </c>
      <c r="H782" t="s">
        <v>66</v>
      </c>
      <c r="I782" s="3" t="s">
        <v>2844</v>
      </c>
      <c r="J782" s="3" t="s">
        <v>3518</v>
      </c>
      <c r="K782" s="3" t="s">
        <v>3524</v>
      </c>
      <c r="L782" s="3" t="s">
        <v>3643</v>
      </c>
      <c r="M782">
        <v>432.89</v>
      </c>
      <c r="N782">
        <v>94</v>
      </c>
      <c r="O782">
        <f>Supply_Chain[[#This Row],[Unit_Price]]*Supply_Chain[[#This Row],[Quantity]]</f>
        <v>40691.659999999996</v>
      </c>
      <c r="P782" t="s">
        <v>579</v>
      </c>
      <c r="Q782" t="s">
        <v>35</v>
      </c>
      <c r="R782" t="s">
        <v>78</v>
      </c>
      <c r="S782" t="s">
        <v>70</v>
      </c>
      <c r="T782" t="s">
        <v>71</v>
      </c>
      <c r="U782" t="s">
        <v>356</v>
      </c>
      <c r="V782">
        <v>4856</v>
      </c>
      <c r="W782">
        <v>307</v>
      </c>
      <c r="X782">
        <v>5</v>
      </c>
      <c r="Y782">
        <v>1693.95</v>
      </c>
      <c r="Z782">
        <v>78.17</v>
      </c>
      <c r="AA782" s="9">
        <v>1772.12</v>
      </c>
      <c r="AB782" t="s">
        <v>52</v>
      </c>
      <c r="AC782">
        <v>0</v>
      </c>
      <c r="AD782">
        <v>78.84</v>
      </c>
      <c r="AE782">
        <v>328</v>
      </c>
      <c r="AF782">
        <v>323</v>
      </c>
      <c r="AG782" s="11">
        <f>Supply_Chain[[#This Row],[Total_Cost]]/Supply_Chain[[#This Row],[Stock_On_Hand]]</f>
        <v>0.36493410214168037</v>
      </c>
    </row>
    <row r="783" spans="1:33" x14ac:dyDescent="0.25">
      <c r="A783" t="s">
        <v>2247</v>
      </c>
      <c r="B783" t="s">
        <v>2248</v>
      </c>
      <c r="C783" s="1">
        <v>45645</v>
      </c>
      <c r="D783" s="1">
        <v>44689</v>
      </c>
      <c r="E783" t="s">
        <v>55</v>
      </c>
      <c r="F783" t="s">
        <v>31</v>
      </c>
      <c r="G783" t="s">
        <v>83</v>
      </c>
      <c r="H783" t="s">
        <v>33</v>
      </c>
      <c r="I783" s="3" t="s">
        <v>3366</v>
      </c>
      <c r="J783" s="3" t="s">
        <v>3518</v>
      </c>
      <c r="K783" s="3" t="s">
        <v>3524</v>
      </c>
      <c r="L783" s="3" t="s">
        <v>4153</v>
      </c>
      <c r="M783">
        <v>145.74</v>
      </c>
      <c r="N783">
        <v>16</v>
      </c>
      <c r="O783">
        <f>Supply_Chain[[#This Row],[Unit_Price]]*Supply_Chain[[#This Row],[Quantity]]</f>
        <v>2331.84</v>
      </c>
      <c r="P783" t="s">
        <v>1958</v>
      </c>
      <c r="Q783" t="s">
        <v>35</v>
      </c>
      <c r="R783" t="s">
        <v>323</v>
      </c>
      <c r="S783" t="s">
        <v>70</v>
      </c>
      <c r="T783" t="s">
        <v>100</v>
      </c>
      <c r="U783" t="s">
        <v>112</v>
      </c>
      <c r="V783">
        <v>540</v>
      </c>
      <c r="W783">
        <v>257</v>
      </c>
      <c r="X783">
        <v>13</v>
      </c>
      <c r="Y783">
        <v>1460.11</v>
      </c>
      <c r="Z783">
        <v>136.22999999999999</v>
      </c>
      <c r="AA783" s="9">
        <v>1596.34</v>
      </c>
      <c r="AB783" t="s">
        <v>52</v>
      </c>
      <c r="AC783">
        <v>0</v>
      </c>
      <c r="AD783">
        <v>95.04</v>
      </c>
      <c r="AE783">
        <v>437</v>
      </c>
      <c r="AF783">
        <v>455</v>
      </c>
      <c r="AG783" s="11">
        <f>Supply_Chain[[#This Row],[Total_Cost]]/Supply_Chain[[#This Row],[Stock_On_Hand]]</f>
        <v>2.956185185185185</v>
      </c>
    </row>
    <row r="784" spans="1:33" x14ac:dyDescent="0.25">
      <c r="A784" t="s">
        <v>2249</v>
      </c>
      <c r="B784" t="s">
        <v>333</v>
      </c>
      <c r="C784" s="1">
        <v>45061</v>
      </c>
      <c r="D784" s="1">
        <v>45551</v>
      </c>
      <c r="E784" t="s">
        <v>55</v>
      </c>
      <c r="F784" t="s">
        <v>44</v>
      </c>
      <c r="G784" t="s">
        <v>91</v>
      </c>
      <c r="H784" t="s">
        <v>66</v>
      </c>
      <c r="I784" s="3" t="s">
        <v>3367</v>
      </c>
      <c r="J784" s="3" t="s">
        <v>3519</v>
      </c>
      <c r="K784" s="3" t="s">
        <v>3530</v>
      </c>
      <c r="L784" s="3" t="s">
        <v>4154</v>
      </c>
      <c r="M784">
        <v>197.37</v>
      </c>
      <c r="N784">
        <v>33</v>
      </c>
      <c r="O784">
        <f>Supply_Chain[[#This Row],[Unit_Price]]*Supply_Chain[[#This Row],[Quantity]]</f>
        <v>6513.21</v>
      </c>
      <c r="P784" t="s">
        <v>2250</v>
      </c>
      <c r="Q784" t="s">
        <v>110</v>
      </c>
      <c r="R784" t="s">
        <v>36</v>
      </c>
      <c r="S784" t="s">
        <v>50</v>
      </c>
      <c r="T784" t="s">
        <v>79</v>
      </c>
      <c r="U784" t="s">
        <v>489</v>
      </c>
      <c r="V784">
        <v>4597</v>
      </c>
      <c r="W784">
        <v>52</v>
      </c>
      <c r="X784">
        <v>11</v>
      </c>
      <c r="Y784">
        <v>562.11</v>
      </c>
      <c r="Z784">
        <v>290.64999999999998</v>
      </c>
      <c r="AA784" s="9">
        <v>852.76</v>
      </c>
      <c r="AB784" t="s">
        <v>52</v>
      </c>
      <c r="AC784">
        <v>0</v>
      </c>
      <c r="AD784">
        <v>70.13</v>
      </c>
      <c r="AE784">
        <v>394</v>
      </c>
      <c r="AF784">
        <v>424</v>
      </c>
      <c r="AG784" s="11">
        <f>Supply_Chain[[#This Row],[Total_Cost]]/Supply_Chain[[#This Row],[Stock_On_Hand]]</f>
        <v>0.18550358929736785</v>
      </c>
    </row>
    <row r="785" spans="1:33" x14ac:dyDescent="0.25">
      <c r="A785" t="s">
        <v>2251</v>
      </c>
      <c r="B785" t="s">
        <v>2252</v>
      </c>
      <c r="C785" s="1">
        <v>43897</v>
      </c>
      <c r="D785" s="1">
        <v>45557</v>
      </c>
      <c r="E785" t="s">
        <v>55</v>
      </c>
      <c r="F785" t="s">
        <v>31</v>
      </c>
      <c r="G785" t="s">
        <v>65</v>
      </c>
      <c r="H785" t="s">
        <v>46</v>
      </c>
      <c r="I785" s="3" t="s">
        <v>3368</v>
      </c>
      <c r="J785" s="3" t="s">
        <v>84</v>
      </c>
      <c r="K785" s="3" t="s">
        <v>3526</v>
      </c>
      <c r="L785" s="3" t="s">
        <v>4155</v>
      </c>
      <c r="M785">
        <v>395.29</v>
      </c>
      <c r="N785">
        <v>95</v>
      </c>
      <c r="O785">
        <f>Supply_Chain[[#This Row],[Unit_Price]]*Supply_Chain[[#This Row],[Quantity]]</f>
        <v>37552.550000000003</v>
      </c>
      <c r="P785" t="s">
        <v>1120</v>
      </c>
      <c r="Q785" t="s">
        <v>86</v>
      </c>
      <c r="R785" t="s">
        <v>124</v>
      </c>
      <c r="S785" t="s">
        <v>119</v>
      </c>
      <c r="T785" t="s">
        <v>38</v>
      </c>
      <c r="U785" t="s">
        <v>168</v>
      </c>
      <c r="V785">
        <v>2744</v>
      </c>
      <c r="W785">
        <v>61</v>
      </c>
      <c r="X785">
        <v>7</v>
      </c>
      <c r="Y785">
        <v>1232.26</v>
      </c>
      <c r="Z785">
        <v>104.36</v>
      </c>
      <c r="AA785" s="9">
        <v>1336.62</v>
      </c>
      <c r="AB785" t="s">
        <v>52</v>
      </c>
      <c r="AC785">
        <v>0</v>
      </c>
      <c r="AD785">
        <v>90.73</v>
      </c>
      <c r="AE785">
        <v>377</v>
      </c>
      <c r="AF785">
        <v>389</v>
      </c>
      <c r="AG785" s="11">
        <f>Supply_Chain[[#This Row],[Total_Cost]]/Supply_Chain[[#This Row],[Stock_On_Hand]]</f>
        <v>0.48710641399416904</v>
      </c>
    </row>
    <row r="786" spans="1:33" x14ac:dyDescent="0.25">
      <c r="A786" t="s">
        <v>2253</v>
      </c>
      <c r="B786" t="s">
        <v>2254</v>
      </c>
      <c r="C786" s="1">
        <v>44972</v>
      </c>
      <c r="D786" s="1">
        <v>44886</v>
      </c>
      <c r="E786" t="s">
        <v>43</v>
      </c>
      <c r="F786" t="s">
        <v>44</v>
      </c>
      <c r="G786" t="s">
        <v>83</v>
      </c>
      <c r="H786" t="s">
        <v>57</v>
      </c>
      <c r="I786" s="3" t="s">
        <v>3369</v>
      </c>
      <c r="J786" s="3" t="s">
        <v>84</v>
      </c>
      <c r="K786" s="3" t="s">
        <v>3526</v>
      </c>
      <c r="L786" s="3" t="s">
        <v>4156</v>
      </c>
      <c r="M786">
        <v>274.45</v>
      </c>
      <c r="N786">
        <v>12</v>
      </c>
      <c r="O786">
        <f>Supply_Chain[[#This Row],[Unit_Price]]*Supply_Chain[[#This Row],[Quantity]]</f>
        <v>3293.3999999999996</v>
      </c>
      <c r="P786" t="s">
        <v>2029</v>
      </c>
      <c r="Q786" t="s">
        <v>68</v>
      </c>
      <c r="R786" t="s">
        <v>240</v>
      </c>
      <c r="S786" t="s">
        <v>37</v>
      </c>
      <c r="T786" t="s">
        <v>71</v>
      </c>
      <c r="U786" t="s">
        <v>146</v>
      </c>
      <c r="V786">
        <v>3766</v>
      </c>
      <c r="W786">
        <v>104</v>
      </c>
      <c r="X786">
        <v>7</v>
      </c>
      <c r="Y786">
        <v>81.19</v>
      </c>
      <c r="Z786">
        <v>104.59</v>
      </c>
      <c r="AA786" s="9">
        <v>185.78</v>
      </c>
      <c r="AB786" t="s">
        <v>52</v>
      </c>
      <c r="AC786">
        <v>0</v>
      </c>
      <c r="AD786">
        <v>77.62</v>
      </c>
      <c r="AE786">
        <v>311</v>
      </c>
      <c r="AF786">
        <v>318</v>
      </c>
      <c r="AG786" s="11">
        <f>Supply_Chain[[#This Row],[Total_Cost]]/Supply_Chain[[#This Row],[Stock_On_Hand]]</f>
        <v>4.9330855018587361E-2</v>
      </c>
    </row>
    <row r="787" spans="1:33" x14ac:dyDescent="0.25">
      <c r="A787" t="s">
        <v>2255</v>
      </c>
      <c r="B787" t="s">
        <v>2256</v>
      </c>
      <c r="C787" s="1">
        <v>44887</v>
      </c>
      <c r="D787" s="1">
        <v>44746</v>
      </c>
      <c r="E787" t="s">
        <v>55</v>
      </c>
      <c r="F787" t="s">
        <v>44</v>
      </c>
      <c r="G787" t="s">
        <v>56</v>
      </c>
      <c r="H787" t="s">
        <v>66</v>
      </c>
      <c r="I787" s="3" t="s">
        <v>2922</v>
      </c>
      <c r="J787" s="3" t="s">
        <v>84</v>
      </c>
      <c r="K787" s="3" t="s">
        <v>3534</v>
      </c>
      <c r="L787" s="3" t="s">
        <v>3721</v>
      </c>
      <c r="M787">
        <v>188.62</v>
      </c>
      <c r="N787">
        <v>68</v>
      </c>
      <c r="O787">
        <f>Supply_Chain[[#This Row],[Unit_Price]]*Supply_Chain[[#This Row],[Quantity]]</f>
        <v>12826.16</v>
      </c>
      <c r="P787" t="s">
        <v>2112</v>
      </c>
      <c r="Q787" t="s">
        <v>35</v>
      </c>
      <c r="R787" t="s">
        <v>388</v>
      </c>
      <c r="S787" t="s">
        <v>37</v>
      </c>
      <c r="T787" t="s">
        <v>100</v>
      </c>
      <c r="U787" t="s">
        <v>691</v>
      </c>
      <c r="V787">
        <v>4103</v>
      </c>
      <c r="W787">
        <v>112</v>
      </c>
      <c r="X787">
        <v>13</v>
      </c>
      <c r="Y787">
        <v>656.27</v>
      </c>
      <c r="Z787">
        <v>34.56</v>
      </c>
      <c r="AA787" s="9">
        <v>690.82999999999993</v>
      </c>
      <c r="AB787" t="s">
        <v>52</v>
      </c>
      <c r="AC787">
        <v>0</v>
      </c>
      <c r="AD787">
        <v>97.78</v>
      </c>
      <c r="AE787">
        <v>160</v>
      </c>
      <c r="AF787">
        <v>126</v>
      </c>
      <c r="AG787" s="11">
        <f>Supply_Chain[[#This Row],[Total_Cost]]/Supply_Chain[[#This Row],[Stock_On_Hand]]</f>
        <v>0.16837192298318301</v>
      </c>
    </row>
    <row r="788" spans="1:33" x14ac:dyDescent="0.25">
      <c r="A788" t="s">
        <v>2257</v>
      </c>
      <c r="B788" t="s">
        <v>2258</v>
      </c>
      <c r="C788" s="1">
        <v>43976</v>
      </c>
      <c r="D788" s="1">
        <v>45400</v>
      </c>
      <c r="E788" t="s">
        <v>30</v>
      </c>
      <c r="F788" t="s">
        <v>31</v>
      </c>
      <c r="G788" t="s">
        <v>83</v>
      </c>
      <c r="H788" t="s">
        <v>57</v>
      </c>
      <c r="I788" s="3" t="s">
        <v>3158</v>
      </c>
      <c r="J788" s="3" t="s">
        <v>3518</v>
      </c>
      <c r="K788" s="3" t="s">
        <v>3533</v>
      </c>
      <c r="L788" s="3" t="s">
        <v>3952</v>
      </c>
      <c r="M788">
        <v>489.09</v>
      </c>
      <c r="N788">
        <v>46</v>
      </c>
      <c r="O788">
        <f>Supply_Chain[[#This Row],[Unit_Price]]*Supply_Chain[[#This Row],[Quantity]]</f>
        <v>22498.14</v>
      </c>
      <c r="P788" t="s">
        <v>2259</v>
      </c>
      <c r="Q788" t="s">
        <v>86</v>
      </c>
      <c r="R788" t="s">
        <v>186</v>
      </c>
      <c r="S788" t="s">
        <v>119</v>
      </c>
      <c r="T788" t="s">
        <v>60</v>
      </c>
      <c r="U788" t="s">
        <v>257</v>
      </c>
      <c r="V788">
        <v>4620</v>
      </c>
      <c r="W788">
        <v>269</v>
      </c>
      <c r="X788">
        <v>21</v>
      </c>
      <c r="Y788">
        <v>1169.06</v>
      </c>
      <c r="Z788">
        <v>290.87</v>
      </c>
      <c r="AA788" s="9">
        <v>1459.93</v>
      </c>
      <c r="AB788" t="s">
        <v>40</v>
      </c>
      <c r="AC788">
        <v>14</v>
      </c>
      <c r="AD788">
        <v>89.02</v>
      </c>
      <c r="AE788">
        <v>94</v>
      </c>
      <c r="AF788">
        <v>142</v>
      </c>
      <c r="AG788" s="11">
        <f>Supply_Chain[[#This Row],[Total_Cost]]/Supply_Chain[[#This Row],[Stock_On_Hand]]</f>
        <v>0.31600216450216451</v>
      </c>
    </row>
    <row r="789" spans="1:33" x14ac:dyDescent="0.25">
      <c r="A789" t="s">
        <v>2260</v>
      </c>
      <c r="B789" t="s">
        <v>2261</v>
      </c>
      <c r="C789" s="1">
        <v>44643</v>
      </c>
      <c r="D789" s="1">
        <v>44615</v>
      </c>
      <c r="E789" t="s">
        <v>55</v>
      </c>
      <c r="F789" t="s">
        <v>44</v>
      </c>
      <c r="G789" t="s">
        <v>91</v>
      </c>
      <c r="H789" t="s">
        <v>57</v>
      </c>
      <c r="I789" s="3" t="s">
        <v>3370</v>
      </c>
      <c r="J789" s="3" t="s">
        <v>3518</v>
      </c>
      <c r="K789" s="3" t="s">
        <v>3525</v>
      </c>
      <c r="L789" s="3" t="s">
        <v>4157</v>
      </c>
      <c r="M789">
        <v>72.3</v>
      </c>
      <c r="N789">
        <v>13</v>
      </c>
      <c r="O789">
        <f>Supply_Chain[[#This Row],[Unit_Price]]*Supply_Chain[[#This Row],[Quantity]]</f>
        <v>939.9</v>
      </c>
      <c r="P789" t="s">
        <v>1693</v>
      </c>
      <c r="Q789" t="s">
        <v>35</v>
      </c>
      <c r="R789" t="s">
        <v>69</v>
      </c>
      <c r="S789" t="s">
        <v>50</v>
      </c>
      <c r="T789" t="s">
        <v>100</v>
      </c>
      <c r="U789" t="s">
        <v>241</v>
      </c>
      <c r="V789">
        <v>4884</v>
      </c>
      <c r="W789">
        <v>138</v>
      </c>
      <c r="X789">
        <v>18</v>
      </c>
      <c r="Y789">
        <v>1033.71</v>
      </c>
      <c r="Z789">
        <v>408.02</v>
      </c>
      <c r="AA789" s="9">
        <v>1441.73</v>
      </c>
      <c r="AB789" t="s">
        <v>52</v>
      </c>
      <c r="AC789">
        <v>0</v>
      </c>
      <c r="AD789">
        <v>97.58</v>
      </c>
      <c r="AE789">
        <v>224</v>
      </c>
      <c r="AF789">
        <v>239</v>
      </c>
      <c r="AG789" s="11">
        <f>Supply_Chain[[#This Row],[Total_Cost]]/Supply_Chain[[#This Row],[Stock_On_Hand]]</f>
        <v>0.29519451269451269</v>
      </c>
    </row>
    <row r="790" spans="1:33" x14ac:dyDescent="0.25">
      <c r="A790" t="s">
        <v>2262</v>
      </c>
      <c r="B790" t="s">
        <v>2263</v>
      </c>
      <c r="C790" s="1">
        <v>44358</v>
      </c>
      <c r="D790" s="1">
        <v>44299</v>
      </c>
      <c r="E790" t="s">
        <v>43</v>
      </c>
      <c r="F790" t="s">
        <v>64</v>
      </c>
      <c r="G790" t="s">
        <v>32</v>
      </c>
      <c r="H790" t="s">
        <v>166</v>
      </c>
      <c r="I790" s="3" t="s">
        <v>3371</v>
      </c>
      <c r="J790" s="3" t="s">
        <v>3518</v>
      </c>
      <c r="K790" s="3" t="s">
        <v>3522</v>
      </c>
      <c r="L790" s="3" t="s">
        <v>4158</v>
      </c>
      <c r="M790">
        <v>340.74</v>
      </c>
      <c r="N790">
        <v>65</v>
      </c>
      <c r="O790">
        <f>Supply_Chain[[#This Row],[Unit_Price]]*Supply_Chain[[#This Row],[Quantity]]</f>
        <v>22148.100000000002</v>
      </c>
      <c r="P790" t="s">
        <v>1380</v>
      </c>
      <c r="Q790" t="s">
        <v>68</v>
      </c>
      <c r="R790" t="s">
        <v>162</v>
      </c>
      <c r="S790" t="s">
        <v>50</v>
      </c>
      <c r="T790" t="s">
        <v>79</v>
      </c>
      <c r="U790" t="s">
        <v>136</v>
      </c>
      <c r="V790">
        <v>1076</v>
      </c>
      <c r="W790">
        <v>265</v>
      </c>
      <c r="X790">
        <v>22</v>
      </c>
      <c r="Y790">
        <v>1008.22</v>
      </c>
      <c r="Z790">
        <v>64.62</v>
      </c>
      <c r="AA790" s="9">
        <v>1072.8399999999999</v>
      </c>
      <c r="AB790" t="s">
        <v>52</v>
      </c>
      <c r="AC790">
        <v>0</v>
      </c>
      <c r="AD790">
        <v>71.98</v>
      </c>
      <c r="AE790">
        <v>91</v>
      </c>
      <c r="AF790">
        <v>136</v>
      </c>
      <c r="AG790" s="11">
        <f>Supply_Chain[[#This Row],[Total_Cost]]/Supply_Chain[[#This Row],[Stock_On_Hand]]</f>
        <v>0.9970631970260222</v>
      </c>
    </row>
    <row r="791" spans="1:33" x14ac:dyDescent="0.25">
      <c r="A791" t="s">
        <v>2264</v>
      </c>
      <c r="B791" t="s">
        <v>2265</v>
      </c>
      <c r="C791" s="1">
        <v>45152</v>
      </c>
      <c r="D791" s="1">
        <v>44474</v>
      </c>
      <c r="E791" t="s">
        <v>55</v>
      </c>
      <c r="F791" t="s">
        <v>64</v>
      </c>
      <c r="G791" t="s">
        <v>45</v>
      </c>
      <c r="H791" t="s">
        <v>66</v>
      </c>
      <c r="I791" s="3" t="s">
        <v>3372</v>
      </c>
      <c r="J791" s="3" t="s">
        <v>3518</v>
      </c>
      <c r="K791" s="3" t="s">
        <v>3532</v>
      </c>
      <c r="L791" s="3" t="s">
        <v>4159</v>
      </c>
      <c r="M791">
        <v>230.23</v>
      </c>
      <c r="N791">
        <v>24</v>
      </c>
      <c r="O791">
        <f>Supply_Chain[[#This Row],[Unit_Price]]*Supply_Chain[[#This Row],[Quantity]]</f>
        <v>5525.5199999999995</v>
      </c>
      <c r="P791" t="s">
        <v>2266</v>
      </c>
      <c r="Q791" t="s">
        <v>86</v>
      </c>
      <c r="R791" t="s">
        <v>111</v>
      </c>
      <c r="S791" t="s">
        <v>37</v>
      </c>
      <c r="T791" t="s">
        <v>60</v>
      </c>
      <c r="U791" t="s">
        <v>131</v>
      </c>
      <c r="V791">
        <v>2781</v>
      </c>
      <c r="W791">
        <v>83</v>
      </c>
      <c r="X791">
        <v>24</v>
      </c>
      <c r="Y791">
        <v>1107.58</v>
      </c>
      <c r="Z791">
        <v>484.19</v>
      </c>
      <c r="AA791" s="9">
        <v>1591.77</v>
      </c>
      <c r="AB791" t="s">
        <v>52</v>
      </c>
      <c r="AC791">
        <v>0</v>
      </c>
      <c r="AD791">
        <v>97.09</v>
      </c>
      <c r="AE791">
        <v>277</v>
      </c>
      <c r="AF791">
        <v>276</v>
      </c>
      <c r="AG791" s="11">
        <f>Supply_Chain[[#This Row],[Total_Cost]]/Supply_Chain[[#This Row],[Stock_On_Hand]]</f>
        <v>0.57237324703344117</v>
      </c>
    </row>
    <row r="792" spans="1:33" x14ac:dyDescent="0.25">
      <c r="A792" t="s">
        <v>2267</v>
      </c>
      <c r="B792" t="s">
        <v>2268</v>
      </c>
      <c r="C792" s="1">
        <v>44720</v>
      </c>
      <c r="D792" s="1">
        <v>45496</v>
      </c>
      <c r="E792" t="s">
        <v>55</v>
      </c>
      <c r="F792" t="s">
        <v>31</v>
      </c>
      <c r="G792" t="s">
        <v>65</v>
      </c>
      <c r="H792" t="s">
        <v>33</v>
      </c>
      <c r="I792" s="3" t="s">
        <v>2975</v>
      </c>
      <c r="J792" s="3" t="s">
        <v>3519</v>
      </c>
      <c r="K792" s="3" t="s">
        <v>3528</v>
      </c>
      <c r="L792" s="3" t="s">
        <v>3773</v>
      </c>
      <c r="M792">
        <v>457.87</v>
      </c>
      <c r="N792">
        <v>36</v>
      </c>
      <c r="O792">
        <f>Supply_Chain[[#This Row],[Unit_Price]]*Supply_Chain[[#This Row],[Quantity]]</f>
        <v>16483.32</v>
      </c>
      <c r="P792" t="s">
        <v>330</v>
      </c>
      <c r="Q792" t="s">
        <v>68</v>
      </c>
      <c r="R792" t="s">
        <v>59</v>
      </c>
      <c r="S792" t="s">
        <v>70</v>
      </c>
      <c r="T792" t="s">
        <v>38</v>
      </c>
      <c r="U792" t="s">
        <v>95</v>
      </c>
      <c r="V792">
        <v>3673</v>
      </c>
      <c r="W792">
        <v>247</v>
      </c>
      <c r="X792">
        <v>17</v>
      </c>
      <c r="Y792">
        <v>1308.17</v>
      </c>
      <c r="Z792">
        <v>451.39</v>
      </c>
      <c r="AA792" s="9">
        <v>1759.56</v>
      </c>
      <c r="AB792" t="s">
        <v>52</v>
      </c>
      <c r="AC792">
        <v>0</v>
      </c>
      <c r="AD792">
        <v>94.06</v>
      </c>
      <c r="AE792">
        <v>415</v>
      </c>
      <c r="AF792">
        <v>454</v>
      </c>
      <c r="AG792" s="11">
        <f>Supply_Chain[[#This Row],[Total_Cost]]/Supply_Chain[[#This Row],[Stock_On_Hand]]</f>
        <v>0.47905254560304927</v>
      </c>
    </row>
    <row r="793" spans="1:33" x14ac:dyDescent="0.25">
      <c r="A793" t="s">
        <v>2269</v>
      </c>
      <c r="B793" t="s">
        <v>2270</v>
      </c>
      <c r="C793" s="1">
        <v>45101</v>
      </c>
      <c r="D793" s="1">
        <v>44613</v>
      </c>
      <c r="E793" t="s">
        <v>55</v>
      </c>
      <c r="F793" t="s">
        <v>115</v>
      </c>
      <c r="G793" t="s">
        <v>91</v>
      </c>
      <c r="H793" t="s">
        <v>92</v>
      </c>
      <c r="I793" s="3" t="s">
        <v>3317</v>
      </c>
      <c r="J793" s="3" t="s">
        <v>84</v>
      </c>
      <c r="K793" s="3" t="s">
        <v>3526</v>
      </c>
      <c r="L793" s="3" t="s">
        <v>4105</v>
      </c>
      <c r="M793">
        <v>208.3</v>
      </c>
      <c r="N793">
        <v>38</v>
      </c>
      <c r="O793">
        <f>Supply_Chain[[#This Row],[Unit_Price]]*Supply_Chain[[#This Row],[Quantity]]</f>
        <v>7915.4000000000005</v>
      </c>
      <c r="P793" t="s">
        <v>1076</v>
      </c>
      <c r="Q793" t="s">
        <v>48</v>
      </c>
      <c r="R793" t="s">
        <v>360</v>
      </c>
      <c r="S793" t="s">
        <v>50</v>
      </c>
      <c r="T793" t="s">
        <v>60</v>
      </c>
      <c r="U793" t="s">
        <v>446</v>
      </c>
      <c r="V793">
        <v>1294</v>
      </c>
      <c r="W793">
        <v>305</v>
      </c>
      <c r="X793">
        <v>13</v>
      </c>
      <c r="Y793">
        <v>916.27</v>
      </c>
      <c r="Z793">
        <v>389.4</v>
      </c>
      <c r="AA793" s="9">
        <v>1305.67</v>
      </c>
      <c r="AB793" t="s">
        <v>52</v>
      </c>
      <c r="AC793">
        <v>0</v>
      </c>
      <c r="AD793">
        <v>97.95</v>
      </c>
      <c r="AE793">
        <v>200</v>
      </c>
      <c r="AF793">
        <v>199</v>
      </c>
      <c r="AG793" s="11">
        <f>Supply_Chain[[#This Row],[Total_Cost]]/Supply_Chain[[#This Row],[Stock_On_Hand]]</f>
        <v>1.0090185471406492</v>
      </c>
    </row>
    <row r="794" spans="1:33" x14ac:dyDescent="0.25">
      <c r="A794" t="s">
        <v>2271</v>
      </c>
      <c r="B794" t="s">
        <v>2272</v>
      </c>
      <c r="C794" s="1">
        <v>44711</v>
      </c>
      <c r="D794" s="1">
        <v>44953</v>
      </c>
      <c r="E794" t="s">
        <v>55</v>
      </c>
      <c r="F794" t="s">
        <v>115</v>
      </c>
      <c r="G794" t="s">
        <v>65</v>
      </c>
      <c r="H794" t="s">
        <v>57</v>
      </c>
      <c r="I794" s="3" t="s">
        <v>3373</v>
      </c>
      <c r="J794" s="3" t="s">
        <v>84</v>
      </c>
      <c r="K794" s="3" t="s">
        <v>3534</v>
      </c>
      <c r="L794" s="3" t="s">
        <v>4160</v>
      </c>
      <c r="M794">
        <v>19.11</v>
      </c>
      <c r="N794">
        <v>11</v>
      </c>
      <c r="O794">
        <f>Supply_Chain[[#This Row],[Unit_Price]]*Supply_Chain[[#This Row],[Quantity]]</f>
        <v>210.20999999999998</v>
      </c>
      <c r="P794" t="s">
        <v>2273</v>
      </c>
      <c r="Q794" t="s">
        <v>35</v>
      </c>
      <c r="R794" t="s">
        <v>172</v>
      </c>
      <c r="S794" t="s">
        <v>50</v>
      </c>
      <c r="T794" t="s">
        <v>38</v>
      </c>
      <c r="U794" t="s">
        <v>219</v>
      </c>
      <c r="V794">
        <v>1299</v>
      </c>
      <c r="W794">
        <v>169</v>
      </c>
      <c r="X794">
        <v>6</v>
      </c>
      <c r="Y794">
        <v>464.72</v>
      </c>
      <c r="Z794">
        <v>211.48</v>
      </c>
      <c r="AA794" s="9">
        <v>676.2</v>
      </c>
      <c r="AB794" t="s">
        <v>52</v>
      </c>
      <c r="AC794">
        <v>0</v>
      </c>
      <c r="AD794">
        <v>77.05</v>
      </c>
      <c r="AE794">
        <v>421</v>
      </c>
      <c r="AF794">
        <v>393</v>
      </c>
      <c r="AG794" s="11">
        <f>Supply_Chain[[#This Row],[Total_Cost]]/Supply_Chain[[#This Row],[Stock_On_Hand]]</f>
        <v>0.520554272517321</v>
      </c>
    </row>
    <row r="795" spans="1:33" x14ac:dyDescent="0.25">
      <c r="A795" t="s">
        <v>2274</v>
      </c>
      <c r="B795" t="s">
        <v>2275</v>
      </c>
      <c r="C795" s="1">
        <v>45602</v>
      </c>
      <c r="D795" s="1">
        <v>44336</v>
      </c>
      <c r="E795" t="s">
        <v>30</v>
      </c>
      <c r="F795" t="s">
        <v>75</v>
      </c>
      <c r="G795" t="s">
        <v>83</v>
      </c>
      <c r="H795" t="s">
        <v>128</v>
      </c>
      <c r="I795" s="3" t="s">
        <v>3374</v>
      </c>
      <c r="J795" s="3" t="s">
        <v>3518</v>
      </c>
      <c r="K795" s="3" t="s">
        <v>3525</v>
      </c>
      <c r="L795" s="3" t="s">
        <v>4161</v>
      </c>
      <c r="M795">
        <v>380.6</v>
      </c>
      <c r="N795">
        <v>94</v>
      </c>
      <c r="O795">
        <f>Supply_Chain[[#This Row],[Unit_Price]]*Supply_Chain[[#This Row],[Quantity]]</f>
        <v>35776.400000000001</v>
      </c>
      <c r="P795" t="s">
        <v>1028</v>
      </c>
      <c r="Q795" t="s">
        <v>68</v>
      </c>
      <c r="R795" t="s">
        <v>176</v>
      </c>
      <c r="S795" t="s">
        <v>50</v>
      </c>
      <c r="T795" t="s">
        <v>71</v>
      </c>
      <c r="U795" t="s">
        <v>297</v>
      </c>
      <c r="V795">
        <v>1766</v>
      </c>
      <c r="W795">
        <v>87</v>
      </c>
      <c r="X795">
        <v>8</v>
      </c>
      <c r="Y795">
        <v>1150.4100000000001</v>
      </c>
      <c r="Z795">
        <v>66.44</v>
      </c>
      <c r="AA795" s="9">
        <v>1216.8499999999999</v>
      </c>
      <c r="AB795" t="s">
        <v>52</v>
      </c>
      <c r="AC795">
        <v>0</v>
      </c>
      <c r="AD795">
        <v>96.94</v>
      </c>
      <c r="AE795">
        <v>400</v>
      </c>
      <c r="AF795">
        <v>395</v>
      </c>
      <c r="AG795" s="11">
        <f>Supply_Chain[[#This Row],[Total_Cost]]/Supply_Chain[[#This Row],[Stock_On_Hand]]</f>
        <v>0.68904303510758769</v>
      </c>
    </row>
    <row r="796" spans="1:33" x14ac:dyDescent="0.25">
      <c r="A796" t="s">
        <v>2276</v>
      </c>
      <c r="B796" t="s">
        <v>2277</v>
      </c>
      <c r="C796" s="1">
        <v>44022</v>
      </c>
      <c r="D796" s="1">
        <v>44624</v>
      </c>
      <c r="E796" t="s">
        <v>55</v>
      </c>
      <c r="F796" t="s">
        <v>115</v>
      </c>
      <c r="G796" t="s">
        <v>32</v>
      </c>
      <c r="H796" t="s">
        <v>116</v>
      </c>
      <c r="I796" s="3" t="s">
        <v>3375</v>
      </c>
      <c r="J796" s="3" t="s">
        <v>3518</v>
      </c>
      <c r="K796" s="3" t="s">
        <v>3525</v>
      </c>
      <c r="L796" s="3" t="s">
        <v>4162</v>
      </c>
      <c r="M796">
        <v>196.13</v>
      </c>
      <c r="N796">
        <v>96</v>
      </c>
      <c r="O796">
        <f>Supply_Chain[[#This Row],[Unit_Price]]*Supply_Chain[[#This Row],[Quantity]]</f>
        <v>18828.48</v>
      </c>
      <c r="P796" t="s">
        <v>2278</v>
      </c>
      <c r="Q796" t="s">
        <v>86</v>
      </c>
      <c r="R796" t="s">
        <v>253</v>
      </c>
      <c r="S796" t="s">
        <v>70</v>
      </c>
      <c r="T796" t="s">
        <v>71</v>
      </c>
      <c r="U796" t="s">
        <v>770</v>
      </c>
      <c r="V796">
        <v>4621</v>
      </c>
      <c r="W796">
        <v>438</v>
      </c>
      <c r="X796">
        <v>4</v>
      </c>
      <c r="Y796">
        <v>1790.83</v>
      </c>
      <c r="Z796">
        <v>421.52</v>
      </c>
      <c r="AA796" s="9">
        <v>2212.35</v>
      </c>
      <c r="AB796" t="s">
        <v>52</v>
      </c>
      <c r="AC796">
        <v>0</v>
      </c>
      <c r="AD796">
        <v>92.7</v>
      </c>
      <c r="AE796">
        <v>288</v>
      </c>
      <c r="AF796">
        <v>239</v>
      </c>
      <c r="AG796" s="11">
        <f>Supply_Chain[[#This Row],[Total_Cost]]/Supply_Chain[[#This Row],[Stock_On_Hand]]</f>
        <v>0.47876000865613499</v>
      </c>
    </row>
    <row r="797" spans="1:33" x14ac:dyDescent="0.25">
      <c r="A797" t="s">
        <v>2279</v>
      </c>
      <c r="B797" t="s">
        <v>2280</v>
      </c>
      <c r="C797" s="1">
        <v>44486</v>
      </c>
      <c r="D797" s="1">
        <v>44177</v>
      </c>
      <c r="E797" t="s">
        <v>55</v>
      </c>
      <c r="F797" t="s">
        <v>31</v>
      </c>
      <c r="G797" t="s">
        <v>56</v>
      </c>
      <c r="H797" t="s">
        <v>166</v>
      </c>
      <c r="I797" s="3" t="s">
        <v>3017</v>
      </c>
      <c r="J797" s="3" t="s">
        <v>3518</v>
      </c>
      <c r="K797" s="3" t="s">
        <v>3525</v>
      </c>
      <c r="L797" s="3" t="s">
        <v>3814</v>
      </c>
      <c r="M797">
        <v>425.71</v>
      </c>
      <c r="N797">
        <v>71</v>
      </c>
      <c r="O797">
        <f>Supply_Chain[[#This Row],[Unit_Price]]*Supply_Chain[[#This Row],[Quantity]]</f>
        <v>30225.41</v>
      </c>
      <c r="P797" t="s">
        <v>123</v>
      </c>
      <c r="Q797" t="s">
        <v>68</v>
      </c>
      <c r="R797" t="s">
        <v>118</v>
      </c>
      <c r="S797" t="s">
        <v>70</v>
      </c>
      <c r="T797" t="s">
        <v>100</v>
      </c>
      <c r="U797" t="s">
        <v>223</v>
      </c>
      <c r="V797">
        <v>4964</v>
      </c>
      <c r="W797">
        <v>475</v>
      </c>
      <c r="X797">
        <v>2</v>
      </c>
      <c r="Y797">
        <v>1737.1</v>
      </c>
      <c r="Z797">
        <v>156.82</v>
      </c>
      <c r="AA797" s="9">
        <v>1893.92</v>
      </c>
      <c r="AB797" t="s">
        <v>52</v>
      </c>
      <c r="AC797">
        <v>0</v>
      </c>
      <c r="AD797">
        <v>90.07</v>
      </c>
      <c r="AE797">
        <v>355</v>
      </c>
      <c r="AF797">
        <v>381</v>
      </c>
      <c r="AG797" s="11">
        <f>Supply_Chain[[#This Row],[Total_Cost]]/Supply_Chain[[#This Row],[Stock_On_Hand]]</f>
        <v>0.3815310233682514</v>
      </c>
    </row>
    <row r="798" spans="1:33" x14ac:dyDescent="0.25">
      <c r="A798" t="s">
        <v>2281</v>
      </c>
      <c r="B798" t="s">
        <v>2282</v>
      </c>
      <c r="C798" s="1">
        <v>45131</v>
      </c>
      <c r="D798" s="1">
        <v>45432</v>
      </c>
      <c r="E798" t="s">
        <v>55</v>
      </c>
      <c r="F798" t="s">
        <v>44</v>
      </c>
      <c r="G798" t="s">
        <v>91</v>
      </c>
      <c r="H798" t="s">
        <v>66</v>
      </c>
      <c r="I798" s="3" t="s">
        <v>3376</v>
      </c>
      <c r="J798" s="3" t="s">
        <v>3518</v>
      </c>
      <c r="K798" s="3" t="s">
        <v>3524</v>
      </c>
      <c r="L798" s="3" t="s">
        <v>4163</v>
      </c>
      <c r="M798">
        <v>33.69</v>
      </c>
      <c r="N798">
        <v>90</v>
      </c>
      <c r="O798">
        <f>Supply_Chain[[#This Row],[Unit_Price]]*Supply_Chain[[#This Row],[Quantity]]</f>
        <v>3032.1</v>
      </c>
      <c r="P798" t="s">
        <v>2068</v>
      </c>
      <c r="Q798" t="s">
        <v>48</v>
      </c>
      <c r="R798" t="s">
        <v>301</v>
      </c>
      <c r="S798" t="s">
        <v>70</v>
      </c>
      <c r="T798" t="s">
        <v>38</v>
      </c>
      <c r="U798" t="s">
        <v>51</v>
      </c>
      <c r="V798">
        <v>1594</v>
      </c>
      <c r="W798">
        <v>375</v>
      </c>
      <c r="X798">
        <v>10</v>
      </c>
      <c r="Y798">
        <v>878.84</v>
      </c>
      <c r="Z798">
        <v>26.49</v>
      </c>
      <c r="AA798" s="9">
        <v>905.33</v>
      </c>
      <c r="AB798" t="s">
        <v>40</v>
      </c>
      <c r="AC798">
        <v>4</v>
      </c>
      <c r="AD798">
        <v>90.74</v>
      </c>
      <c r="AE798">
        <v>478</v>
      </c>
      <c r="AF798">
        <v>486</v>
      </c>
      <c r="AG798" s="11">
        <f>Supply_Chain[[#This Row],[Total_Cost]]/Supply_Chain[[#This Row],[Stock_On_Hand]]</f>
        <v>0.56796110414052703</v>
      </c>
    </row>
    <row r="799" spans="1:33" x14ac:dyDescent="0.25">
      <c r="A799" t="s">
        <v>2283</v>
      </c>
      <c r="B799" t="s">
        <v>2284</v>
      </c>
      <c r="C799" s="1">
        <v>44664</v>
      </c>
      <c r="D799" s="1">
        <v>45442</v>
      </c>
      <c r="E799" t="s">
        <v>30</v>
      </c>
      <c r="F799" t="s">
        <v>44</v>
      </c>
      <c r="G799" t="s">
        <v>32</v>
      </c>
      <c r="H799" t="s">
        <v>33</v>
      </c>
      <c r="I799" s="3" t="s">
        <v>2796</v>
      </c>
      <c r="J799" s="3" t="s">
        <v>3518</v>
      </c>
      <c r="K799" s="3" t="s">
        <v>3524</v>
      </c>
      <c r="L799" s="3" t="s">
        <v>3595</v>
      </c>
      <c r="M799">
        <v>183.66</v>
      </c>
      <c r="N799">
        <v>83</v>
      </c>
      <c r="O799">
        <f>Supply_Chain[[#This Row],[Unit_Price]]*Supply_Chain[[#This Row],[Quantity]]</f>
        <v>15243.779999999999</v>
      </c>
      <c r="P799" t="s">
        <v>953</v>
      </c>
      <c r="Q799" t="s">
        <v>68</v>
      </c>
      <c r="R799" t="s">
        <v>388</v>
      </c>
      <c r="S799" t="s">
        <v>50</v>
      </c>
      <c r="T799" t="s">
        <v>71</v>
      </c>
      <c r="U799" t="s">
        <v>227</v>
      </c>
      <c r="V799">
        <v>4970</v>
      </c>
      <c r="W799">
        <v>189</v>
      </c>
      <c r="X799">
        <v>23</v>
      </c>
      <c r="Y799">
        <v>1902.13</v>
      </c>
      <c r="Z799">
        <v>73.88</v>
      </c>
      <c r="AA799" s="9">
        <v>1976.01</v>
      </c>
      <c r="AB799" t="s">
        <v>52</v>
      </c>
      <c r="AC799">
        <v>0</v>
      </c>
      <c r="AD799">
        <v>92.83</v>
      </c>
      <c r="AE799">
        <v>388</v>
      </c>
      <c r="AF799">
        <v>361</v>
      </c>
      <c r="AG799" s="11">
        <f>Supply_Chain[[#This Row],[Total_Cost]]/Supply_Chain[[#This Row],[Stock_On_Hand]]</f>
        <v>0.39758752515090545</v>
      </c>
    </row>
    <row r="800" spans="1:33" x14ac:dyDescent="0.25">
      <c r="A800" t="s">
        <v>2285</v>
      </c>
      <c r="B800" t="s">
        <v>2286</v>
      </c>
      <c r="C800" s="1">
        <v>45619</v>
      </c>
      <c r="D800" s="1">
        <v>45023</v>
      </c>
      <c r="E800" t="s">
        <v>43</v>
      </c>
      <c r="F800" t="s">
        <v>31</v>
      </c>
      <c r="G800" t="s">
        <v>45</v>
      </c>
      <c r="H800" t="s">
        <v>92</v>
      </c>
      <c r="I800" s="3" t="s">
        <v>3377</v>
      </c>
      <c r="J800" s="3" t="s">
        <v>3519</v>
      </c>
      <c r="K800" s="3" t="s">
        <v>3530</v>
      </c>
      <c r="L800" s="3" t="s">
        <v>4164</v>
      </c>
      <c r="M800">
        <v>475.6</v>
      </c>
      <c r="N800">
        <v>14</v>
      </c>
      <c r="O800">
        <f>Supply_Chain[[#This Row],[Unit_Price]]*Supply_Chain[[#This Row],[Quantity]]</f>
        <v>6658.4000000000005</v>
      </c>
      <c r="P800" t="s">
        <v>1433</v>
      </c>
      <c r="Q800" t="s">
        <v>86</v>
      </c>
      <c r="R800" t="s">
        <v>419</v>
      </c>
      <c r="S800" t="s">
        <v>50</v>
      </c>
      <c r="T800" t="s">
        <v>60</v>
      </c>
      <c r="U800" t="s">
        <v>331</v>
      </c>
      <c r="V800">
        <v>3153</v>
      </c>
      <c r="W800">
        <v>313</v>
      </c>
      <c r="X800">
        <v>21</v>
      </c>
      <c r="Y800">
        <v>1317.73</v>
      </c>
      <c r="Z800">
        <v>450.21</v>
      </c>
      <c r="AA800" s="9">
        <v>1767.94</v>
      </c>
      <c r="AB800" t="s">
        <v>52</v>
      </c>
      <c r="AC800">
        <v>0</v>
      </c>
      <c r="AD800">
        <v>71.37</v>
      </c>
      <c r="AE800">
        <v>260</v>
      </c>
      <c r="AF800">
        <v>273</v>
      </c>
      <c r="AG800" s="11">
        <f>Supply_Chain[[#This Row],[Total_Cost]]/Supply_Chain[[#This Row],[Stock_On_Hand]]</f>
        <v>0.56071677767205841</v>
      </c>
    </row>
    <row r="801" spans="1:33" x14ac:dyDescent="0.25">
      <c r="A801" t="s">
        <v>2287</v>
      </c>
      <c r="B801" t="s">
        <v>2288</v>
      </c>
      <c r="C801" s="1">
        <v>44171</v>
      </c>
      <c r="D801" s="1">
        <v>45366</v>
      </c>
      <c r="E801" t="s">
        <v>55</v>
      </c>
      <c r="F801" t="s">
        <v>64</v>
      </c>
      <c r="G801" t="s">
        <v>91</v>
      </c>
      <c r="H801" t="s">
        <v>92</v>
      </c>
      <c r="I801" s="3" t="s">
        <v>3378</v>
      </c>
      <c r="J801" s="3" t="s">
        <v>3518</v>
      </c>
      <c r="K801" s="3" t="s">
        <v>3525</v>
      </c>
      <c r="L801" s="3" t="s">
        <v>4165</v>
      </c>
      <c r="M801">
        <v>196.45</v>
      </c>
      <c r="N801">
        <v>85</v>
      </c>
      <c r="O801">
        <f>Supply_Chain[[#This Row],[Unit_Price]]*Supply_Chain[[#This Row],[Quantity]]</f>
        <v>16698.25</v>
      </c>
      <c r="P801" t="s">
        <v>392</v>
      </c>
      <c r="Q801" t="s">
        <v>48</v>
      </c>
      <c r="R801" t="s">
        <v>181</v>
      </c>
      <c r="S801" t="s">
        <v>119</v>
      </c>
      <c r="T801" t="s">
        <v>60</v>
      </c>
      <c r="U801" t="s">
        <v>51</v>
      </c>
      <c r="V801">
        <v>2229</v>
      </c>
      <c r="W801">
        <v>216</v>
      </c>
      <c r="X801">
        <v>24</v>
      </c>
      <c r="Y801">
        <v>1810.78</v>
      </c>
      <c r="Z801">
        <v>26.8</v>
      </c>
      <c r="AA801" s="9">
        <v>1837.58</v>
      </c>
      <c r="AB801" t="s">
        <v>52</v>
      </c>
      <c r="AC801">
        <v>0</v>
      </c>
      <c r="AD801">
        <v>71.61</v>
      </c>
      <c r="AE801">
        <v>427</v>
      </c>
      <c r="AF801">
        <v>452</v>
      </c>
      <c r="AG801" s="11">
        <f>Supply_Chain[[#This Row],[Total_Cost]]/Supply_Chain[[#This Row],[Stock_On_Hand]]</f>
        <v>0.82439659039928215</v>
      </c>
    </row>
    <row r="802" spans="1:33" x14ac:dyDescent="0.25">
      <c r="A802" t="s">
        <v>2289</v>
      </c>
      <c r="B802" t="s">
        <v>2290</v>
      </c>
      <c r="C802" s="1">
        <v>44241</v>
      </c>
      <c r="D802" s="1">
        <v>44962</v>
      </c>
      <c r="E802" t="s">
        <v>43</v>
      </c>
      <c r="F802" t="s">
        <v>64</v>
      </c>
      <c r="G802" t="s">
        <v>65</v>
      </c>
      <c r="H802" t="s">
        <v>116</v>
      </c>
      <c r="I802" s="3" t="s">
        <v>3360</v>
      </c>
      <c r="J802" s="3" t="s">
        <v>3518</v>
      </c>
      <c r="K802" s="3" t="s">
        <v>3522</v>
      </c>
      <c r="L802" s="3" t="s">
        <v>4147</v>
      </c>
      <c r="M802">
        <v>496.49</v>
      </c>
      <c r="N802">
        <v>12</v>
      </c>
      <c r="O802">
        <f>Supply_Chain[[#This Row],[Unit_Price]]*Supply_Chain[[#This Row],[Quantity]]</f>
        <v>5957.88</v>
      </c>
      <c r="P802" t="s">
        <v>1105</v>
      </c>
      <c r="Q802" t="s">
        <v>86</v>
      </c>
      <c r="R802" t="s">
        <v>186</v>
      </c>
      <c r="S802" t="s">
        <v>70</v>
      </c>
      <c r="T802" t="s">
        <v>100</v>
      </c>
      <c r="U802" t="s">
        <v>611</v>
      </c>
      <c r="V802">
        <v>1959</v>
      </c>
      <c r="W802">
        <v>90</v>
      </c>
      <c r="X802">
        <v>6</v>
      </c>
      <c r="Y802">
        <v>179.15</v>
      </c>
      <c r="Z802">
        <v>36.72</v>
      </c>
      <c r="AA802" s="9">
        <v>215.87</v>
      </c>
      <c r="AB802" t="s">
        <v>52</v>
      </c>
      <c r="AC802">
        <v>0</v>
      </c>
      <c r="AD802">
        <v>92.89</v>
      </c>
      <c r="AE802">
        <v>487</v>
      </c>
      <c r="AF802">
        <v>450</v>
      </c>
      <c r="AG802" s="11">
        <f>Supply_Chain[[#This Row],[Total_Cost]]/Supply_Chain[[#This Row],[Stock_On_Hand]]</f>
        <v>0.11019397651863196</v>
      </c>
    </row>
    <row r="803" spans="1:33" x14ac:dyDescent="0.25">
      <c r="A803" t="s">
        <v>2291</v>
      </c>
      <c r="B803" t="s">
        <v>2292</v>
      </c>
      <c r="C803" s="1">
        <v>45480</v>
      </c>
      <c r="D803" s="1">
        <v>44297</v>
      </c>
      <c r="E803" t="s">
        <v>55</v>
      </c>
      <c r="F803" t="s">
        <v>75</v>
      </c>
      <c r="G803" t="s">
        <v>65</v>
      </c>
      <c r="H803" t="s">
        <v>166</v>
      </c>
      <c r="I803" s="3" t="s">
        <v>3379</v>
      </c>
      <c r="J803" s="3" t="s">
        <v>3518</v>
      </c>
      <c r="K803" s="3" t="s">
        <v>3535</v>
      </c>
      <c r="L803" s="3" t="s">
        <v>4166</v>
      </c>
      <c r="M803">
        <v>215.64</v>
      </c>
      <c r="N803">
        <v>62</v>
      </c>
      <c r="O803">
        <f>Supply_Chain[[#This Row],[Unit_Price]]*Supply_Chain[[#This Row],[Quantity]]</f>
        <v>13369.679999999998</v>
      </c>
      <c r="P803" t="s">
        <v>1487</v>
      </c>
      <c r="Q803" t="s">
        <v>48</v>
      </c>
      <c r="R803" t="s">
        <v>236</v>
      </c>
      <c r="S803" t="s">
        <v>70</v>
      </c>
      <c r="T803" t="s">
        <v>71</v>
      </c>
      <c r="U803" t="s">
        <v>356</v>
      </c>
      <c r="V803">
        <v>4123</v>
      </c>
      <c r="W803">
        <v>78</v>
      </c>
      <c r="X803">
        <v>5</v>
      </c>
      <c r="Y803">
        <v>1573.08</v>
      </c>
      <c r="Z803">
        <v>342.57</v>
      </c>
      <c r="AA803" s="9">
        <v>1915.65</v>
      </c>
      <c r="AB803" t="s">
        <v>52</v>
      </c>
      <c r="AC803">
        <v>0</v>
      </c>
      <c r="AD803">
        <v>85.86</v>
      </c>
      <c r="AE803">
        <v>331</v>
      </c>
      <c r="AF803">
        <v>299</v>
      </c>
      <c r="AG803" s="11">
        <f>Supply_Chain[[#This Row],[Total_Cost]]/Supply_Chain[[#This Row],[Stock_On_Hand]]</f>
        <v>0.46462527285956828</v>
      </c>
    </row>
    <row r="804" spans="1:33" x14ac:dyDescent="0.25">
      <c r="A804" t="s">
        <v>2293</v>
      </c>
      <c r="B804" t="s">
        <v>2294</v>
      </c>
      <c r="C804" s="1">
        <v>44447</v>
      </c>
      <c r="D804" s="1">
        <v>45190</v>
      </c>
      <c r="E804" t="s">
        <v>55</v>
      </c>
      <c r="F804" t="s">
        <v>115</v>
      </c>
      <c r="G804" t="s">
        <v>91</v>
      </c>
      <c r="H804" t="s">
        <v>66</v>
      </c>
      <c r="I804" s="3" t="s">
        <v>3380</v>
      </c>
      <c r="J804" s="3" t="s">
        <v>3519</v>
      </c>
      <c r="K804" s="3" t="s">
        <v>3530</v>
      </c>
      <c r="L804" s="3" t="s">
        <v>4167</v>
      </c>
      <c r="M804">
        <v>447.98</v>
      </c>
      <c r="N804">
        <v>41</v>
      </c>
      <c r="O804">
        <f>Supply_Chain[[#This Row],[Unit_Price]]*Supply_Chain[[#This Row],[Quantity]]</f>
        <v>18367.18</v>
      </c>
      <c r="P804" t="s">
        <v>305</v>
      </c>
      <c r="Q804" t="s">
        <v>48</v>
      </c>
      <c r="R804" t="s">
        <v>59</v>
      </c>
      <c r="S804" t="s">
        <v>37</v>
      </c>
      <c r="T804" t="s">
        <v>71</v>
      </c>
      <c r="U804" t="s">
        <v>378</v>
      </c>
      <c r="V804">
        <v>2568</v>
      </c>
      <c r="W804">
        <v>445</v>
      </c>
      <c r="X804">
        <v>21</v>
      </c>
      <c r="Y804">
        <v>755.18</v>
      </c>
      <c r="Z804">
        <v>107.67</v>
      </c>
      <c r="AA804" s="9">
        <v>862.84999999999991</v>
      </c>
      <c r="AB804" t="s">
        <v>52</v>
      </c>
      <c r="AC804">
        <v>0</v>
      </c>
      <c r="AD804">
        <v>80.58</v>
      </c>
      <c r="AE804">
        <v>308</v>
      </c>
      <c r="AF804">
        <v>279</v>
      </c>
      <c r="AG804" s="11">
        <f>Supply_Chain[[#This Row],[Total_Cost]]/Supply_Chain[[#This Row],[Stock_On_Hand]]</f>
        <v>0.33600077881619933</v>
      </c>
    </row>
    <row r="805" spans="1:33" x14ac:dyDescent="0.25">
      <c r="A805" t="s">
        <v>2295</v>
      </c>
      <c r="B805" t="s">
        <v>2296</v>
      </c>
      <c r="C805" s="1">
        <v>45070</v>
      </c>
      <c r="D805" s="1">
        <v>44105</v>
      </c>
      <c r="E805" t="s">
        <v>43</v>
      </c>
      <c r="F805" t="s">
        <v>31</v>
      </c>
      <c r="G805" t="s">
        <v>76</v>
      </c>
      <c r="H805" t="s">
        <v>92</v>
      </c>
      <c r="I805" s="3" t="s">
        <v>3381</v>
      </c>
      <c r="J805" s="3" t="s">
        <v>3519</v>
      </c>
      <c r="K805" s="3" t="s">
        <v>3530</v>
      </c>
      <c r="L805" s="3" t="s">
        <v>4168</v>
      </c>
      <c r="M805">
        <v>139.43</v>
      </c>
      <c r="N805">
        <v>85</v>
      </c>
      <c r="O805">
        <f>Supply_Chain[[#This Row],[Unit_Price]]*Supply_Chain[[#This Row],[Quantity]]</f>
        <v>11851.550000000001</v>
      </c>
      <c r="P805" t="s">
        <v>1696</v>
      </c>
      <c r="Q805" t="s">
        <v>110</v>
      </c>
      <c r="R805" t="s">
        <v>162</v>
      </c>
      <c r="S805" t="s">
        <v>37</v>
      </c>
      <c r="T805" t="s">
        <v>79</v>
      </c>
      <c r="U805" t="s">
        <v>177</v>
      </c>
      <c r="V805">
        <v>296</v>
      </c>
      <c r="W805">
        <v>337</v>
      </c>
      <c r="X805">
        <v>24</v>
      </c>
      <c r="Y805">
        <v>1503.56</v>
      </c>
      <c r="Z805">
        <v>155.46</v>
      </c>
      <c r="AA805" s="9">
        <v>1659.02</v>
      </c>
      <c r="AB805" t="s">
        <v>52</v>
      </c>
      <c r="AC805">
        <v>0</v>
      </c>
      <c r="AD805">
        <v>89.89</v>
      </c>
      <c r="AE805">
        <v>223</v>
      </c>
      <c r="AF805">
        <v>257</v>
      </c>
      <c r="AG805" s="11">
        <f>Supply_Chain[[#This Row],[Total_Cost]]/Supply_Chain[[#This Row],[Stock_On_Hand]]</f>
        <v>5.6047972972972975</v>
      </c>
    </row>
    <row r="806" spans="1:33" x14ac:dyDescent="0.25">
      <c r="A806" t="s">
        <v>2297</v>
      </c>
      <c r="B806" t="s">
        <v>2298</v>
      </c>
      <c r="C806" s="1">
        <v>44090</v>
      </c>
      <c r="D806" s="1">
        <v>44780</v>
      </c>
      <c r="E806" t="s">
        <v>55</v>
      </c>
      <c r="F806" t="s">
        <v>115</v>
      </c>
      <c r="G806" t="s">
        <v>91</v>
      </c>
      <c r="H806" t="s">
        <v>66</v>
      </c>
      <c r="I806" s="3" t="s">
        <v>3382</v>
      </c>
      <c r="J806" s="3" t="s">
        <v>3519</v>
      </c>
      <c r="K806" s="3" t="s">
        <v>3530</v>
      </c>
      <c r="L806" s="3" t="s">
        <v>4169</v>
      </c>
      <c r="M806">
        <v>416.84</v>
      </c>
      <c r="N806">
        <v>86</v>
      </c>
      <c r="O806">
        <f>Supply_Chain[[#This Row],[Unit_Price]]*Supply_Chain[[#This Row],[Quantity]]</f>
        <v>35848.239999999998</v>
      </c>
      <c r="P806" t="s">
        <v>1536</v>
      </c>
      <c r="Q806" t="s">
        <v>86</v>
      </c>
      <c r="R806" t="s">
        <v>480</v>
      </c>
      <c r="S806" t="s">
        <v>50</v>
      </c>
      <c r="T806" t="s">
        <v>71</v>
      </c>
      <c r="U806" t="s">
        <v>429</v>
      </c>
      <c r="V806">
        <v>1206</v>
      </c>
      <c r="W806">
        <v>199</v>
      </c>
      <c r="X806">
        <v>21</v>
      </c>
      <c r="Y806">
        <v>1770.18</v>
      </c>
      <c r="Z806">
        <v>161.38</v>
      </c>
      <c r="AA806" s="9">
        <v>1931.56</v>
      </c>
      <c r="AB806" t="s">
        <v>52</v>
      </c>
      <c r="AC806">
        <v>0</v>
      </c>
      <c r="AD806">
        <v>77.959999999999994</v>
      </c>
      <c r="AE806">
        <v>387</v>
      </c>
      <c r="AF806">
        <v>418</v>
      </c>
      <c r="AG806" s="11">
        <f>Supply_Chain[[#This Row],[Total_Cost]]/Supply_Chain[[#This Row],[Stock_On_Hand]]</f>
        <v>1.6016252072968491</v>
      </c>
    </row>
    <row r="807" spans="1:33" x14ac:dyDescent="0.25">
      <c r="A807" t="s">
        <v>2299</v>
      </c>
      <c r="B807" t="s">
        <v>2300</v>
      </c>
      <c r="C807" s="1">
        <v>44498</v>
      </c>
      <c r="D807" s="1">
        <v>44006</v>
      </c>
      <c r="E807" t="s">
        <v>55</v>
      </c>
      <c r="F807" t="s">
        <v>64</v>
      </c>
      <c r="G807" t="s">
        <v>65</v>
      </c>
      <c r="H807" t="s">
        <v>66</v>
      </c>
      <c r="I807" s="3" t="s">
        <v>3316</v>
      </c>
      <c r="J807" s="3" t="s">
        <v>3519</v>
      </c>
      <c r="K807" s="3" t="s">
        <v>3530</v>
      </c>
      <c r="L807" s="3" t="s">
        <v>4104</v>
      </c>
      <c r="M807">
        <v>87.94</v>
      </c>
      <c r="N807">
        <v>59</v>
      </c>
      <c r="O807">
        <f>Supply_Chain[[#This Row],[Unit_Price]]*Supply_Chain[[#This Row],[Quantity]]</f>
        <v>5188.46</v>
      </c>
      <c r="P807" t="s">
        <v>1084</v>
      </c>
      <c r="Q807" t="s">
        <v>110</v>
      </c>
      <c r="R807" t="s">
        <v>240</v>
      </c>
      <c r="S807" t="s">
        <v>70</v>
      </c>
      <c r="T807" t="s">
        <v>79</v>
      </c>
      <c r="U807" t="s">
        <v>615</v>
      </c>
      <c r="V807">
        <v>678</v>
      </c>
      <c r="W807">
        <v>271</v>
      </c>
      <c r="X807">
        <v>3</v>
      </c>
      <c r="Y807">
        <v>185.96</v>
      </c>
      <c r="Z807">
        <v>379.5</v>
      </c>
      <c r="AA807" s="9">
        <v>565.46</v>
      </c>
      <c r="AB807" t="s">
        <v>52</v>
      </c>
      <c r="AC807">
        <v>0</v>
      </c>
      <c r="AD807">
        <v>75.08</v>
      </c>
      <c r="AE807">
        <v>200</v>
      </c>
      <c r="AF807">
        <v>186</v>
      </c>
      <c r="AG807" s="11">
        <f>Supply_Chain[[#This Row],[Total_Cost]]/Supply_Chain[[#This Row],[Stock_On_Hand]]</f>
        <v>0.83401179941002956</v>
      </c>
    </row>
    <row r="808" spans="1:33" x14ac:dyDescent="0.25">
      <c r="A808" t="s">
        <v>2301</v>
      </c>
      <c r="B808" t="s">
        <v>2302</v>
      </c>
      <c r="C808" s="1">
        <v>44992</v>
      </c>
      <c r="D808" s="1">
        <v>44988</v>
      </c>
      <c r="E808" t="s">
        <v>43</v>
      </c>
      <c r="F808" t="s">
        <v>75</v>
      </c>
      <c r="G808" t="s">
        <v>91</v>
      </c>
      <c r="H808" t="s">
        <v>92</v>
      </c>
      <c r="I808" s="3" t="s">
        <v>3187</v>
      </c>
      <c r="J808" s="3" t="s">
        <v>3519</v>
      </c>
      <c r="K808" s="3" t="s">
        <v>3528</v>
      </c>
      <c r="L808" s="3" t="s">
        <v>3979</v>
      </c>
      <c r="M808">
        <v>141.04</v>
      </c>
      <c r="N808">
        <v>73</v>
      </c>
      <c r="O808">
        <f>Supply_Chain[[#This Row],[Unit_Price]]*Supply_Chain[[#This Row],[Quantity]]</f>
        <v>10295.92</v>
      </c>
      <c r="P808" t="s">
        <v>963</v>
      </c>
      <c r="Q808" t="s">
        <v>48</v>
      </c>
      <c r="R808" t="s">
        <v>99</v>
      </c>
      <c r="S808" t="s">
        <v>50</v>
      </c>
      <c r="T808" t="s">
        <v>60</v>
      </c>
      <c r="U808" t="s">
        <v>265</v>
      </c>
      <c r="V808">
        <v>1285</v>
      </c>
      <c r="W808">
        <v>364</v>
      </c>
      <c r="X808">
        <v>9</v>
      </c>
      <c r="Y808">
        <v>294.70999999999998</v>
      </c>
      <c r="Z808">
        <v>141.6</v>
      </c>
      <c r="AA808" s="9">
        <v>436.30999999999989</v>
      </c>
      <c r="AB808" t="s">
        <v>52</v>
      </c>
      <c r="AC808">
        <v>0</v>
      </c>
      <c r="AD808">
        <v>79.28</v>
      </c>
      <c r="AE808">
        <v>91</v>
      </c>
      <c r="AF808">
        <v>71</v>
      </c>
      <c r="AG808" s="11">
        <f>Supply_Chain[[#This Row],[Total_Cost]]/Supply_Chain[[#This Row],[Stock_On_Hand]]</f>
        <v>0.33954085603112832</v>
      </c>
    </row>
    <row r="809" spans="1:33" x14ac:dyDescent="0.25">
      <c r="A809" t="s">
        <v>2303</v>
      </c>
      <c r="B809" t="s">
        <v>2304</v>
      </c>
      <c r="C809" s="1">
        <v>44315</v>
      </c>
      <c r="D809" s="1">
        <v>44982</v>
      </c>
      <c r="E809" t="s">
        <v>55</v>
      </c>
      <c r="F809" t="s">
        <v>64</v>
      </c>
      <c r="G809" t="s">
        <v>91</v>
      </c>
      <c r="H809" t="s">
        <v>166</v>
      </c>
      <c r="I809" s="3" t="s">
        <v>3091</v>
      </c>
      <c r="J809" s="3" t="s">
        <v>3519</v>
      </c>
      <c r="K809" s="3" t="s">
        <v>3528</v>
      </c>
      <c r="L809" s="3" t="s">
        <v>3886</v>
      </c>
      <c r="M809">
        <v>92.79</v>
      </c>
      <c r="N809">
        <v>52</v>
      </c>
      <c r="O809">
        <f>Supply_Chain[[#This Row],[Unit_Price]]*Supply_Chain[[#This Row],[Quantity]]</f>
        <v>4825.08</v>
      </c>
      <c r="P809" t="s">
        <v>2096</v>
      </c>
      <c r="Q809" t="s">
        <v>110</v>
      </c>
      <c r="R809" t="s">
        <v>176</v>
      </c>
      <c r="S809" t="s">
        <v>70</v>
      </c>
      <c r="T809" t="s">
        <v>100</v>
      </c>
      <c r="U809" t="s">
        <v>338</v>
      </c>
      <c r="V809">
        <v>828</v>
      </c>
      <c r="W809">
        <v>221</v>
      </c>
      <c r="X809">
        <v>27</v>
      </c>
      <c r="Y809">
        <v>1626</v>
      </c>
      <c r="Z809">
        <v>382.27</v>
      </c>
      <c r="AA809" s="9">
        <v>2008.27</v>
      </c>
      <c r="AB809" t="s">
        <v>52</v>
      </c>
      <c r="AC809">
        <v>0</v>
      </c>
      <c r="AD809">
        <v>86.41</v>
      </c>
      <c r="AE809">
        <v>465</v>
      </c>
      <c r="AF809">
        <v>447</v>
      </c>
      <c r="AG809" s="11">
        <f>Supply_Chain[[#This Row],[Total_Cost]]/Supply_Chain[[#This Row],[Stock_On_Hand]]</f>
        <v>2.4254468599033818</v>
      </c>
    </row>
    <row r="810" spans="1:33" x14ac:dyDescent="0.25">
      <c r="A810" t="s">
        <v>2305</v>
      </c>
      <c r="B810" t="s">
        <v>2306</v>
      </c>
      <c r="C810" s="1">
        <v>45376</v>
      </c>
      <c r="D810" s="1">
        <v>45167</v>
      </c>
      <c r="E810" t="s">
        <v>55</v>
      </c>
      <c r="F810" t="s">
        <v>44</v>
      </c>
      <c r="G810" t="s">
        <v>45</v>
      </c>
      <c r="H810" t="s">
        <v>66</v>
      </c>
      <c r="I810" s="3" t="s">
        <v>3383</v>
      </c>
      <c r="J810" s="3" t="s">
        <v>84</v>
      </c>
      <c r="K810" s="3" t="s">
        <v>3529</v>
      </c>
      <c r="L810" s="3" t="s">
        <v>4170</v>
      </c>
      <c r="M810">
        <v>106.8</v>
      </c>
      <c r="N810">
        <v>16</v>
      </c>
      <c r="O810">
        <f>Supply_Chain[[#This Row],[Unit_Price]]*Supply_Chain[[#This Row],[Quantity]]</f>
        <v>1708.8</v>
      </c>
      <c r="P810" t="s">
        <v>85</v>
      </c>
      <c r="Q810" t="s">
        <v>35</v>
      </c>
      <c r="R810" t="s">
        <v>118</v>
      </c>
      <c r="S810" t="s">
        <v>37</v>
      </c>
      <c r="T810" t="s">
        <v>100</v>
      </c>
      <c r="U810" t="s">
        <v>241</v>
      </c>
      <c r="V810">
        <v>2691</v>
      </c>
      <c r="W810">
        <v>400</v>
      </c>
      <c r="X810">
        <v>10</v>
      </c>
      <c r="Y810">
        <v>1015.8</v>
      </c>
      <c r="Z810">
        <v>283.45999999999998</v>
      </c>
      <c r="AA810" s="9">
        <v>1299.26</v>
      </c>
      <c r="AB810" t="s">
        <v>52</v>
      </c>
      <c r="AC810">
        <v>0</v>
      </c>
      <c r="AD810">
        <v>73.260000000000005</v>
      </c>
      <c r="AE810">
        <v>90</v>
      </c>
      <c r="AF810">
        <v>72</v>
      </c>
      <c r="AG810" s="11">
        <f>Supply_Chain[[#This Row],[Total_Cost]]/Supply_Chain[[#This Row],[Stock_On_Hand]]</f>
        <v>0.48281679672984018</v>
      </c>
    </row>
    <row r="811" spans="1:33" x14ac:dyDescent="0.25">
      <c r="A811" t="s">
        <v>2307</v>
      </c>
      <c r="B811" t="s">
        <v>2308</v>
      </c>
      <c r="C811" s="1">
        <v>45104</v>
      </c>
      <c r="D811" s="1">
        <v>43892</v>
      </c>
      <c r="E811" t="s">
        <v>43</v>
      </c>
      <c r="F811" t="s">
        <v>44</v>
      </c>
      <c r="G811" t="s">
        <v>32</v>
      </c>
      <c r="H811" t="s">
        <v>92</v>
      </c>
      <c r="I811" s="3" t="s">
        <v>2930</v>
      </c>
      <c r="J811" s="3" t="s">
        <v>3518</v>
      </c>
      <c r="K811" s="3" t="s">
        <v>3521</v>
      </c>
      <c r="L811" s="3" t="s">
        <v>3729</v>
      </c>
      <c r="M811">
        <v>82.36</v>
      </c>
      <c r="N811">
        <v>49</v>
      </c>
      <c r="O811">
        <f>Supply_Chain[[#This Row],[Unit_Price]]*Supply_Chain[[#This Row],[Quantity]]</f>
        <v>4035.64</v>
      </c>
      <c r="P811" t="s">
        <v>2309</v>
      </c>
      <c r="Q811" t="s">
        <v>110</v>
      </c>
      <c r="R811" t="s">
        <v>59</v>
      </c>
      <c r="S811" t="s">
        <v>37</v>
      </c>
      <c r="T811" t="s">
        <v>100</v>
      </c>
      <c r="U811" t="s">
        <v>61</v>
      </c>
      <c r="V811">
        <v>3144</v>
      </c>
      <c r="W811">
        <v>439</v>
      </c>
      <c r="X811">
        <v>25</v>
      </c>
      <c r="Y811">
        <v>1322.12</v>
      </c>
      <c r="Z811">
        <v>435.38</v>
      </c>
      <c r="AA811" s="9">
        <v>1757.5</v>
      </c>
      <c r="AB811" t="s">
        <v>52</v>
      </c>
      <c r="AC811">
        <v>0</v>
      </c>
      <c r="AD811">
        <v>93.89</v>
      </c>
      <c r="AE811">
        <v>67</v>
      </c>
      <c r="AF811">
        <v>36</v>
      </c>
      <c r="AG811" s="11">
        <f>Supply_Chain[[#This Row],[Total_Cost]]/Supply_Chain[[#This Row],[Stock_On_Hand]]</f>
        <v>0.55900127226463103</v>
      </c>
    </row>
    <row r="812" spans="1:33" x14ac:dyDescent="0.25">
      <c r="A812" t="s">
        <v>2310</v>
      </c>
      <c r="B812" t="s">
        <v>2311</v>
      </c>
      <c r="C812" s="1">
        <v>45264</v>
      </c>
      <c r="D812" s="1">
        <v>43943</v>
      </c>
      <c r="E812" t="s">
        <v>55</v>
      </c>
      <c r="F812" t="s">
        <v>31</v>
      </c>
      <c r="G812" t="s">
        <v>247</v>
      </c>
      <c r="H812" t="s">
        <v>166</v>
      </c>
      <c r="I812" s="3" t="s">
        <v>3384</v>
      </c>
      <c r="J812" s="3" t="s">
        <v>3518</v>
      </c>
      <c r="K812" s="3" t="s">
        <v>3524</v>
      </c>
      <c r="L812" s="3" t="s">
        <v>4171</v>
      </c>
      <c r="M812">
        <v>495.34</v>
      </c>
      <c r="N812">
        <v>94</v>
      </c>
      <c r="O812">
        <f>Supply_Chain[[#This Row],[Unit_Price]]*Supply_Chain[[#This Row],[Quantity]]</f>
        <v>46561.96</v>
      </c>
      <c r="P812" t="s">
        <v>2312</v>
      </c>
      <c r="Q812" t="s">
        <v>86</v>
      </c>
      <c r="R812" t="s">
        <v>59</v>
      </c>
      <c r="S812" t="s">
        <v>119</v>
      </c>
      <c r="T812" t="s">
        <v>60</v>
      </c>
      <c r="U812" t="s">
        <v>356</v>
      </c>
      <c r="V812">
        <v>3192</v>
      </c>
      <c r="W812">
        <v>470</v>
      </c>
      <c r="X812">
        <v>23</v>
      </c>
      <c r="Y812">
        <v>1406</v>
      </c>
      <c r="Z812">
        <v>222.95</v>
      </c>
      <c r="AA812" s="9">
        <v>1628.95</v>
      </c>
      <c r="AB812" t="s">
        <v>52</v>
      </c>
      <c r="AC812">
        <v>0</v>
      </c>
      <c r="AD812">
        <v>75.739999999999995</v>
      </c>
      <c r="AE812">
        <v>495</v>
      </c>
      <c r="AF812">
        <v>476</v>
      </c>
      <c r="AG812" s="11">
        <f>Supply_Chain[[#This Row],[Total_Cost]]/Supply_Chain[[#This Row],[Stock_On_Hand]]</f>
        <v>0.51032268170426065</v>
      </c>
    </row>
    <row r="813" spans="1:33" x14ac:dyDescent="0.25">
      <c r="A813" t="s">
        <v>2313</v>
      </c>
      <c r="B813" t="s">
        <v>2314</v>
      </c>
      <c r="C813" s="1">
        <v>44650</v>
      </c>
      <c r="D813" s="1">
        <v>44680</v>
      </c>
      <c r="E813" t="s">
        <v>55</v>
      </c>
      <c r="F813" t="s">
        <v>44</v>
      </c>
      <c r="G813" t="s">
        <v>83</v>
      </c>
      <c r="H813" t="s">
        <v>116</v>
      </c>
      <c r="I813" s="3" t="s">
        <v>3385</v>
      </c>
      <c r="J813" s="3" t="s">
        <v>3518</v>
      </c>
      <c r="K813" s="3" t="s">
        <v>3535</v>
      </c>
      <c r="L813" s="3" t="s">
        <v>4172</v>
      </c>
      <c r="M813">
        <v>51.83</v>
      </c>
      <c r="N813">
        <v>70</v>
      </c>
      <c r="O813">
        <f>Supply_Chain[[#This Row],[Unit_Price]]*Supply_Chain[[#This Row],[Quantity]]</f>
        <v>3628.1</v>
      </c>
      <c r="P813" t="s">
        <v>2315</v>
      </c>
      <c r="Q813" t="s">
        <v>86</v>
      </c>
      <c r="R813" t="s">
        <v>344</v>
      </c>
      <c r="S813" t="s">
        <v>37</v>
      </c>
      <c r="T813" t="s">
        <v>71</v>
      </c>
      <c r="U813" t="s">
        <v>669</v>
      </c>
      <c r="V813">
        <v>2811</v>
      </c>
      <c r="W813">
        <v>159</v>
      </c>
      <c r="X813">
        <v>7</v>
      </c>
      <c r="Y813">
        <v>1945.16</v>
      </c>
      <c r="Z813">
        <v>497.24</v>
      </c>
      <c r="AA813" s="9">
        <v>2442.4</v>
      </c>
      <c r="AB813" t="s">
        <v>52</v>
      </c>
      <c r="AC813">
        <v>0</v>
      </c>
      <c r="AD813">
        <v>98.96</v>
      </c>
      <c r="AE813">
        <v>390</v>
      </c>
      <c r="AF813">
        <v>372</v>
      </c>
      <c r="AG813" s="11">
        <f>Supply_Chain[[#This Row],[Total_Cost]]/Supply_Chain[[#This Row],[Stock_On_Hand]]</f>
        <v>0.86887228744219147</v>
      </c>
    </row>
    <row r="814" spans="1:33" x14ac:dyDescent="0.25">
      <c r="A814" t="s">
        <v>2316</v>
      </c>
      <c r="B814" t="s">
        <v>2317</v>
      </c>
      <c r="C814" s="1">
        <v>44229</v>
      </c>
      <c r="D814" s="1">
        <v>45389</v>
      </c>
      <c r="E814" t="s">
        <v>55</v>
      </c>
      <c r="F814" t="s">
        <v>75</v>
      </c>
      <c r="G814" t="s">
        <v>65</v>
      </c>
      <c r="H814" t="s">
        <v>128</v>
      </c>
      <c r="I814" s="3" t="s">
        <v>3288</v>
      </c>
      <c r="J814" s="3" t="s">
        <v>3518</v>
      </c>
      <c r="K814" s="3" t="s">
        <v>3535</v>
      </c>
      <c r="L814" s="3" t="s">
        <v>4077</v>
      </c>
      <c r="M814">
        <v>244.25</v>
      </c>
      <c r="N814">
        <v>83</v>
      </c>
      <c r="O814">
        <f>Supply_Chain[[#This Row],[Unit_Price]]*Supply_Chain[[#This Row],[Quantity]]</f>
        <v>20272.75</v>
      </c>
      <c r="P814" t="s">
        <v>2318</v>
      </c>
      <c r="Q814" t="s">
        <v>35</v>
      </c>
      <c r="R814" t="s">
        <v>480</v>
      </c>
      <c r="S814" t="s">
        <v>119</v>
      </c>
      <c r="T814" t="s">
        <v>60</v>
      </c>
      <c r="U814" t="s">
        <v>155</v>
      </c>
      <c r="V814">
        <v>3908</v>
      </c>
      <c r="W814">
        <v>65</v>
      </c>
      <c r="X814">
        <v>23</v>
      </c>
      <c r="Y814">
        <v>1851.92</v>
      </c>
      <c r="Z814">
        <v>467.29</v>
      </c>
      <c r="AA814" s="9">
        <v>2319.21</v>
      </c>
      <c r="AB814" t="s">
        <v>52</v>
      </c>
      <c r="AC814">
        <v>0</v>
      </c>
      <c r="AD814">
        <v>86.42</v>
      </c>
      <c r="AE814">
        <v>469</v>
      </c>
      <c r="AF814">
        <v>507</v>
      </c>
      <c r="AG814" s="11">
        <f>Supply_Chain[[#This Row],[Total_Cost]]/Supply_Chain[[#This Row],[Stock_On_Hand]]</f>
        <v>0.59345189355168881</v>
      </c>
    </row>
    <row r="815" spans="1:33" x14ac:dyDescent="0.25">
      <c r="A815" t="s">
        <v>2319</v>
      </c>
      <c r="B815" t="s">
        <v>733</v>
      </c>
      <c r="C815" s="1">
        <v>45573</v>
      </c>
      <c r="D815" s="1">
        <v>45185</v>
      </c>
      <c r="E815" t="s">
        <v>55</v>
      </c>
      <c r="F815" t="s">
        <v>44</v>
      </c>
      <c r="G815" t="s">
        <v>91</v>
      </c>
      <c r="H815" t="s">
        <v>66</v>
      </c>
      <c r="I815" s="3" t="s">
        <v>3386</v>
      </c>
      <c r="J815" s="3" t="s">
        <v>84</v>
      </c>
      <c r="K815" s="3" t="s">
        <v>3526</v>
      </c>
      <c r="L815" s="3" t="s">
        <v>4173</v>
      </c>
      <c r="M815">
        <v>20.59</v>
      </c>
      <c r="N815">
        <v>83</v>
      </c>
      <c r="O815">
        <f>Supply_Chain[[#This Row],[Unit_Price]]*Supply_Chain[[#This Row],[Quantity]]</f>
        <v>1708.97</v>
      </c>
      <c r="P815" t="s">
        <v>2320</v>
      </c>
      <c r="Q815" t="s">
        <v>68</v>
      </c>
      <c r="R815" t="s">
        <v>186</v>
      </c>
      <c r="S815" t="s">
        <v>119</v>
      </c>
      <c r="T815" t="s">
        <v>71</v>
      </c>
      <c r="U815" t="s">
        <v>136</v>
      </c>
      <c r="V815">
        <v>725</v>
      </c>
      <c r="W815">
        <v>481</v>
      </c>
      <c r="X815">
        <v>28</v>
      </c>
      <c r="Y815">
        <v>501.74</v>
      </c>
      <c r="Z815">
        <v>415.58</v>
      </c>
      <c r="AA815" s="9">
        <v>917.31999999999994</v>
      </c>
      <c r="AB815" t="s">
        <v>52</v>
      </c>
      <c r="AC815">
        <v>0</v>
      </c>
      <c r="AD815">
        <v>82.79</v>
      </c>
      <c r="AE815">
        <v>72</v>
      </c>
      <c r="AF815">
        <v>98</v>
      </c>
      <c r="AG815" s="11">
        <f>Supply_Chain[[#This Row],[Total_Cost]]/Supply_Chain[[#This Row],[Stock_On_Hand]]</f>
        <v>1.2652689655172413</v>
      </c>
    </row>
    <row r="816" spans="1:33" x14ac:dyDescent="0.25">
      <c r="A816" t="s">
        <v>2321</v>
      </c>
      <c r="B816" t="s">
        <v>2322</v>
      </c>
      <c r="C816" s="1">
        <v>43855</v>
      </c>
      <c r="D816" s="1">
        <v>44208</v>
      </c>
      <c r="E816" t="s">
        <v>55</v>
      </c>
      <c r="F816" t="s">
        <v>31</v>
      </c>
      <c r="G816" t="s">
        <v>83</v>
      </c>
      <c r="H816" t="s">
        <v>57</v>
      </c>
      <c r="I816" s="3" t="s">
        <v>3387</v>
      </c>
      <c r="J816" s="3" t="s">
        <v>84</v>
      </c>
      <c r="K816" s="3" t="s">
        <v>3526</v>
      </c>
      <c r="L816" s="3" t="s">
        <v>4174</v>
      </c>
      <c r="M816">
        <v>254.64</v>
      </c>
      <c r="N816">
        <v>52</v>
      </c>
      <c r="O816">
        <f>Supply_Chain[[#This Row],[Unit_Price]]*Supply_Chain[[#This Row],[Quantity]]</f>
        <v>13241.279999999999</v>
      </c>
      <c r="P816" t="s">
        <v>2323</v>
      </c>
      <c r="Q816" t="s">
        <v>48</v>
      </c>
      <c r="R816" t="s">
        <v>360</v>
      </c>
      <c r="S816" t="s">
        <v>119</v>
      </c>
      <c r="T816" t="s">
        <v>71</v>
      </c>
      <c r="U816" t="s">
        <v>39</v>
      </c>
      <c r="V816">
        <v>1163</v>
      </c>
      <c r="W816">
        <v>474</v>
      </c>
      <c r="X816">
        <v>21</v>
      </c>
      <c r="Y816">
        <v>1958.84</v>
      </c>
      <c r="Z816">
        <v>84.92</v>
      </c>
      <c r="AA816" s="9">
        <v>2043.76</v>
      </c>
      <c r="AB816" t="s">
        <v>52</v>
      </c>
      <c r="AC816">
        <v>0</v>
      </c>
      <c r="AD816">
        <v>99.12</v>
      </c>
      <c r="AE816">
        <v>165</v>
      </c>
      <c r="AF816">
        <v>186</v>
      </c>
      <c r="AG816" s="11">
        <f>Supply_Chain[[#This Row],[Total_Cost]]/Supply_Chain[[#This Row],[Stock_On_Hand]]</f>
        <v>1.75731728288908</v>
      </c>
    </row>
    <row r="817" spans="1:33" x14ac:dyDescent="0.25">
      <c r="A817" t="s">
        <v>2324</v>
      </c>
      <c r="B817" t="s">
        <v>2325</v>
      </c>
      <c r="C817" s="1">
        <v>44517</v>
      </c>
      <c r="D817" s="1">
        <v>44401</v>
      </c>
      <c r="E817" t="s">
        <v>55</v>
      </c>
      <c r="F817" t="s">
        <v>75</v>
      </c>
      <c r="G817" t="s">
        <v>91</v>
      </c>
      <c r="H817" t="s">
        <v>46</v>
      </c>
      <c r="I817" s="3" t="s">
        <v>3388</v>
      </c>
      <c r="J817" s="3" t="s">
        <v>84</v>
      </c>
      <c r="K817" s="3" t="s">
        <v>3529</v>
      </c>
      <c r="L817" s="3" t="s">
        <v>4175</v>
      </c>
      <c r="M817">
        <v>303.64</v>
      </c>
      <c r="N817">
        <v>51</v>
      </c>
      <c r="O817">
        <f>Supply_Chain[[#This Row],[Unit_Price]]*Supply_Chain[[#This Row],[Quantity]]</f>
        <v>15485.64</v>
      </c>
      <c r="P817" t="s">
        <v>2326</v>
      </c>
      <c r="Q817" t="s">
        <v>48</v>
      </c>
      <c r="R817" t="s">
        <v>214</v>
      </c>
      <c r="S817" t="s">
        <v>119</v>
      </c>
      <c r="T817" t="s">
        <v>38</v>
      </c>
      <c r="U817" t="s">
        <v>150</v>
      </c>
      <c r="V817">
        <v>2010</v>
      </c>
      <c r="W817">
        <v>200</v>
      </c>
      <c r="X817">
        <v>13</v>
      </c>
      <c r="Y817">
        <v>272.11</v>
      </c>
      <c r="Z817">
        <v>446.51</v>
      </c>
      <c r="AA817" s="9">
        <v>718.62</v>
      </c>
      <c r="AB817" t="s">
        <v>52</v>
      </c>
      <c r="AC817">
        <v>0</v>
      </c>
      <c r="AD817">
        <v>99.46</v>
      </c>
      <c r="AE817">
        <v>351</v>
      </c>
      <c r="AF817">
        <v>307</v>
      </c>
      <c r="AG817" s="11">
        <f>Supply_Chain[[#This Row],[Total_Cost]]/Supply_Chain[[#This Row],[Stock_On_Hand]]</f>
        <v>0.35752238805970149</v>
      </c>
    </row>
    <row r="818" spans="1:33" x14ac:dyDescent="0.25">
      <c r="A818" t="s">
        <v>2327</v>
      </c>
      <c r="B818" t="s">
        <v>2328</v>
      </c>
      <c r="C818" s="1">
        <v>44175</v>
      </c>
      <c r="D818" s="1">
        <v>44866</v>
      </c>
      <c r="E818" t="s">
        <v>43</v>
      </c>
      <c r="F818" t="s">
        <v>64</v>
      </c>
      <c r="G818" t="s">
        <v>76</v>
      </c>
      <c r="H818" t="s">
        <v>116</v>
      </c>
      <c r="I818" s="3" t="s">
        <v>3389</v>
      </c>
      <c r="J818" s="3" t="s">
        <v>84</v>
      </c>
      <c r="K818" s="3" t="s">
        <v>3529</v>
      </c>
      <c r="L818" s="3" t="s">
        <v>4176</v>
      </c>
      <c r="M818">
        <v>65.209999999999994</v>
      </c>
      <c r="N818">
        <v>84</v>
      </c>
      <c r="O818">
        <f>Supply_Chain[[#This Row],[Unit_Price]]*Supply_Chain[[#This Row],[Quantity]]</f>
        <v>5477.6399999999994</v>
      </c>
      <c r="P818" t="s">
        <v>1273</v>
      </c>
      <c r="Q818" t="s">
        <v>35</v>
      </c>
      <c r="R818" t="s">
        <v>94</v>
      </c>
      <c r="S818" t="s">
        <v>119</v>
      </c>
      <c r="T818" t="s">
        <v>38</v>
      </c>
      <c r="U818" t="s">
        <v>141</v>
      </c>
      <c r="V818">
        <v>331</v>
      </c>
      <c r="W818">
        <v>387</v>
      </c>
      <c r="X818">
        <v>8</v>
      </c>
      <c r="Y818">
        <v>817.07</v>
      </c>
      <c r="Z818">
        <v>330.69</v>
      </c>
      <c r="AA818" s="9">
        <v>1147.76</v>
      </c>
      <c r="AB818" t="s">
        <v>52</v>
      </c>
      <c r="AC818">
        <v>0</v>
      </c>
      <c r="AD818">
        <v>71.290000000000006</v>
      </c>
      <c r="AE818">
        <v>203</v>
      </c>
      <c r="AF818">
        <v>237</v>
      </c>
      <c r="AG818" s="11">
        <f>Supply_Chain[[#This Row],[Total_Cost]]/Supply_Chain[[#This Row],[Stock_On_Hand]]</f>
        <v>3.4675528700906346</v>
      </c>
    </row>
    <row r="819" spans="1:33" x14ac:dyDescent="0.25">
      <c r="A819" t="s">
        <v>2329</v>
      </c>
      <c r="B819" t="s">
        <v>2330</v>
      </c>
      <c r="C819" s="1">
        <v>45356</v>
      </c>
      <c r="D819" s="1">
        <v>44047</v>
      </c>
      <c r="E819" t="s">
        <v>55</v>
      </c>
      <c r="F819" t="s">
        <v>115</v>
      </c>
      <c r="G819" t="s">
        <v>65</v>
      </c>
      <c r="H819" t="s">
        <v>33</v>
      </c>
      <c r="I819" s="3" t="s">
        <v>3390</v>
      </c>
      <c r="J819" s="3" t="s">
        <v>84</v>
      </c>
      <c r="K819" s="3" t="s">
        <v>3529</v>
      </c>
      <c r="L819" s="3" t="s">
        <v>4177</v>
      </c>
      <c r="M819">
        <v>68.13</v>
      </c>
      <c r="N819">
        <v>3</v>
      </c>
      <c r="O819">
        <f>Supply_Chain[[#This Row],[Unit_Price]]*Supply_Chain[[#This Row],[Quantity]]</f>
        <v>204.39</v>
      </c>
      <c r="P819" t="s">
        <v>822</v>
      </c>
      <c r="Q819" t="s">
        <v>35</v>
      </c>
      <c r="R819" t="s">
        <v>388</v>
      </c>
      <c r="S819" t="s">
        <v>50</v>
      </c>
      <c r="T819" t="s">
        <v>60</v>
      </c>
      <c r="U819" t="s">
        <v>203</v>
      </c>
      <c r="V819">
        <v>2815</v>
      </c>
      <c r="W819">
        <v>384</v>
      </c>
      <c r="X819">
        <v>19</v>
      </c>
      <c r="Y819">
        <v>105.04</v>
      </c>
      <c r="Z819">
        <v>144.71</v>
      </c>
      <c r="AA819" s="9">
        <v>249.75</v>
      </c>
      <c r="AB819" t="s">
        <v>52</v>
      </c>
      <c r="AC819">
        <v>0</v>
      </c>
      <c r="AD819">
        <v>85.97</v>
      </c>
      <c r="AE819">
        <v>419</v>
      </c>
      <c r="AF819">
        <v>417</v>
      </c>
      <c r="AG819" s="11">
        <f>Supply_Chain[[#This Row],[Total_Cost]]/Supply_Chain[[#This Row],[Stock_On_Hand]]</f>
        <v>8.8721136767317937E-2</v>
      </c>
    </row>
    <row r="820" spans="1:33" x14ac:dyDescent="0.25">
      <c r="A820" t="s">
        <v>2331</v>
      </c>
      <c r="B820" t="s">
        <v>2332</v>
      </c>
      <c r="C820" s="1">
        <v>43890</v>
      </c>
      <c r="D820" s="1">
        <v>44126</v>
      </c>
      <c r="E820" t="s">
        <v>43</v>
      </c>
      <c r="F820" t="s">
        <v>115</v>
      </c>
      <c r="G820" t="s">
        <v>32</v>
      </c>
      <c r="H820" t="s">
        <v>166</v>
      </c>
      <c r="I820" s="3" t="s">
        <v>3391</v>
      </c>
      <c r="J820" s="3" t="s">
        <v>3518</v>
      </c>
      <c r="K820" s="3" t="s">
        <v>3533</v>
      </c>
      <c r="L820" s="3" t="s">
        <v>4178</v>
      </c>
      <c r="M820">
        <v>424.11</v>
      </c>
      <c r="N820">
        <v>24</v>
      </c>
      <c r="O820">
        <f>Supply_Chain[[#This Row],[Unit_Price]]*Supply_Chain[[#This Row],[Quantity]]</f>
        <v>10178.64</v>
      </c>
      <c r="P820" t="s">
        <v>933</v>
      </c>
      <c r="Q820" t="s">
        <v>110</v>
      </c>
      <c r="R820" t="s">
        <v>344</v>
      </c>
      <c r="S820" t="s">
        <v>50</v>
      </c>
      <c r="T820" t="s">
        <v>71</v>
      </c>
      <c r="U820" t="s">
        <v>51</v>
      </c>
      <c r="V820">
        <v>669</v>
      </c>
      <c r="W820">
        <v>336</v>
      </c>
      <c r="X820">
        <v>29</v>
      </c>
      <c r="Y820">
        <v>498.52</v>
      </c>
      <c r="Z820">
        <v>79.040000000000006</v>
      </c>
      <c r="AA820" s="9">
        <v>577.55999999999995</v>
      </c>
      <c r="AB820" t="s">
        <v>52</v>
      </c>
      <c r="AC820">
        <v>0</v>
      </c>
      <c r="AD820">
        <v>72.58</v>
      </c>
      <c r="AE820">
        <v>464</v>
      </c>
      <c r="AF820">
        <v>441</v>
      </c>
      <c r="AG820" s="11">
        <f>Supply_Chain[[#This Row],[Total_Cost]]/Supply_Chain[[#This Row],[Stock_On_Hand]]</f>
        <v>0.86331838565022412</v>
      </c>
    </row>
    <row r="821" spans="1:33" x14ac:dyDescent="0.25">
      <c r="A821" t="s">
        <v>2333</v>
      </c>
      <c r="B821" t="s">
        <v>2334</v>
      </c>
      <c r="C821" s="1">
        <v>45548</v>
      </c>
      <c r="D821" s="1">
        <v>45396</v>
      </c>
      <c r="E821" t="s">
        <v>43</v>
      </c>
      <c r="F821" t="s">
        <v>75</v>
      </c>
      <c r="G821" t="s">
        <v>247</v>
      </c>
      <c r="H821" t="s">
        <v>128</v>
      </c>
      <c r="I821" s="3" t="s">
        <v>3392</v>
      </c>
      <c r="J821" s="3" t="s">
        <v>3518</v>
      </c>
      <c r="K821" s="3" t="s">
        <v>3522</v>
      </c>
      <c r="L821" s="3" t="s">
        <v>4179</v>
      </c>
      <c r="M821">
        <v>497.02</v>
      </c>
      <c r="N821">
        <v>49</v>
      </c>
      <c r="O821">
        <f>Supply_Chain[[#This Row],[Unit_Price]]*Supply_Chain[[#This Row],[Quantity]]</f>
        <v>24353.98</v>
      </c>
      <c r="P821" t="s">
        <v>2335</v>
      </c>
      <c r="Q821" t="s">
        <v>68</v>
      </c>
      <c r="R821" t="s">
        <v>145</v>
      </c>
      <c r="S821" t="s">
        <v>50</v>
      </c>
      <c r="T821" t="s">
        <v>38</v>
      </c>
      <c r="U821" t="s">
        <v>155</v>
      </c>
      <c r="V821">
        <v>105</v>
      </c>
      <c r="W821">
        <v>293</v>
      </c>
      <c r="X821">
        <v>2</v>
      </c>
      <c r="Y821">
        <v>1905.3</v>
      </c>
      <c r="Z821">
        <v>415.64</v>
      </c>
      <c r="AA821" s="9">
        <v>2320.94</v>
      </c>
      <c r="AB821" t="s">
        <v>52</v>
      </c>
      <c r="AC821">
        <v>0</v>
      </c>
      <c r="AD821">
        <v>84.64</v>
      </c>
      <c r="AE821">
        <v>149</v>
      </c>
      <c r="AF821">
        <v>132</v>
      </c>
      <c r="AG821" s="11">
        <f>Supply_Chain[[#This Row],[Total_Cost]]/Supply_Chain[[#This Row],[Stock_On_Hand]]</f>
        <v>22.104190476190478</v>
      </c>
    </row>
    <row r="822" spans="1:33" x14ac:dyDescent="0.25">
      <c r="A822" t="s">
        <v>2336</v>
      </c>
      <c r="B822" t="s">
        <v>2337</v>
      </c>
      <c r="C822" s="1">
        <v>43969</v>
      </c>
      <c r="D822" s="1">
        <v>44477</v>
      </c>
      <c r="E822" t="s">
        <v>30</v>
      </c>
      <c r="F822" t="s">
        <v>75</v>
      </c>
      <c r="G822" t="s">
        <v>83</v>
      </c>
      <c r="H822" t="s">
        <v>128</v>
      </c>
      <c r="I822" s="3" t="s">
        <v>3393</v>
      </c>
      <c r="J822" s="3" t="s">
        <v>3518</v>
      </c>
      <c r="K822" s="3" t="s">
        <v>3522</v>
      </c>
      <c r="L822" s="3" t="s">
        <v>4180</v>
      </c>
      <c r="M822">
        <v>207.91</v>
      </c>
      <c r="N822">
        <v>98</v>
      </c>
      <c r="O822">
        <f>Supply_Chain[[#This Row],[Unit_Price]]*Supply_Chain[[#This Row],[Quantity]]</f>
        <v>20375.18</v>
      </c>
      <c r="P822" t="s">
        <v>1966</v>
      </c>
      <c r="Q822" t="s">
        <v>110</v>
      </c>
      <c r="R822" t="s">
        <v>344</v>
      </c>
      <c r="S822" t="s">
        <v>50</v>
      </c>
      <c r="T822" t="s">
        <v>79</v>
      </c>
      <c r="U822" t="s">
        <v>88</v>
      </c>
      <c r="V822">
        <v>51</v>
      </c>
      <c r="W822">
        <v>493</v>
      </c>
      <c r="X822">
        <v>4</v>
      </c>
      <c r="Y822">
        <v>1207.58</v>
      </c>
      <c r="Z822">
        <v>88.38</v>
      </c>
      <c r="AA822" s="9">
        <v>1295.96</v>
      </c>
      <c r="AB822" t="s">
        <v>52</v>
      </c>
      <c r="AC822">
        <v>0</v>
      </c>
      <c r="AD822">
        <v>92.4</v>
      </c>
      <c r="AE822">
        <v>345</v>
      </c>
      <c r="AF822">
        <v>364</v>
      </c>
      <c r="AG822" s="11">
        <f>Supply_Chain[[#This Row],[Total_Cost]]/Supply_Chain[[#This Row],[Stock_On_Hand]]</f>
        <v>25.410980392156862</v>
      </c>
    </row>
    <row r="823" spans="1:33" x14ac:dyDescent="0.25">
      <c r="A823" t="s">
        <v>2338</v>
      </c>
      <c r="B823" t="s">
        <v>2339</v>
      </c>
      <c r="C823" s="1">
        <v>43873</v>
      </c>
      <c r="D823" s="1">
        <v>44583</v>
      </c>
      <c r="E823" t="s">
        <v>55</v>
      </c>
      <c r="F823" t="s">
        <v>44</v>
      </c>
      <c r="G823" t="s">
        <v>32</v>
      </c>
      <c r="H823" t="s">
        <v>92</v>
      </c>
      <c r="I823" s="3" t="s">
        <v>3255</v>
      </c>
      <c r="J823" s="3" t="s">
        <v>3518</v>
      </c>
      <c r="K823" s="3" t="s">
        <v>3522</v>
      </c>
      <c r="L823" s="3" t="s">
        <v>4044</v>
      </c>
      <c r="M823">
        <v>52.29</v>
      </c>
      <c r="N823">
        <v>52</v>
      </c>
      <c r="O823">
        <f>Supply_Chain[[#This Row],[Unit_Price]]*Supply_Chain[[#This Row],[Quantity]]</f>
        <v>2719.08</v>
      </c>
      <c r="P823" t="s">
        <v>2340</v>
      </c>
      <c r="Q823" t="s">
        <v>68</v>
      </c>
      <c r="R823" t="s">
        <v>195</v>
      </c>
      <c r="S823" t="s">
        <v>50</v>
      </c>
      <c r="T823" t="s">
        <v>79</v>
      </c>
      <c r="U823" t="s">
        <v>615</v>
      </c>
      <c r="V823">
        <v>102</v>
      </c>
      <c r="W823">
        <v>346</v>
      </c>
      <c r="X823">
        <v>3</v>
      </c>
      <c r="Y823">
        <v>530.97</v>
      </c>
      <c r="Z823">
        <v>78.86</v>
      </c>
      <c r="AA823" s="9">
        <v>609.83000000000004</v>
      </c>
      <c r="AB823" t="s">
        <v>52</v>
      </c>
      <c r="AC823">
        <v>0</v>
      </c>
      <c r="AD823">
        <v>92.94</v>
      </c>
      <c r="AE823">
        <v>363</v>
      </c>
      <c r="AF823">
        <v>398</v>
      </c>
      <c r="AG823" s="11">
        <f>Supply_Chain[[#This Row],[Total_Cost]]/Supply_Chain[[#This Row],[Stock_On_Hand]]</f>
        <v>5.9787254901960791</v>
      </c>
    </row>
    <row r="824" spans="1:33" x14ac:dyDescent="0.25">
      <c r="A824" t="s">
        <v>2341</v>
      </c>
      <c r="B824" t="s">
        <v>2342</v>
      </c>
      <c r="C824" s="1">
        <v>45084</v>
      </c>
      <c r="D824" s="1">
        <v>45171</v>
      </c>
      <c r="E824" t="s">
        <v>43</v>
      </c>
      <c r="F824" t="s">
        <v>31</v>
      </c>
      <c r="G824" t="s">
        <v>247</v>
      </c>
      <c r="H824" t="s">
        <v>57</v>
      </c>
      <c r="I824" s="3" t="s">
        <v>3394</v>
      </c>
      <c r="J824" s="3" t="s">
        <v>3518</v>
      </c>
      <c r="K824" s="3" t="s">
        <v>3523</v>
      </c>
      <c r="L824" s="3" t="s">
        <v>4181</v>
      </c>
      <c r="M824">
        <v>165.29</v>
      </c>
      <c r="N824">
        <v>86</v>
      </c>
      <c r="O824">
        <f>Supply_Chain[[#This Row],[Unit_Price]]*Supply_Chain[[#This Row],[Quantity]]</f>
        <v>14214.939999999999</v>
      </c>
      <c r="P824" t="s">
        <v>1148</v>
      </c>
      <c r="Q824" t="s">
        <v>86</v>
      </c>
      <c r="R824" t="s">
        <v>135</v>
      </c>
      <c r="S824" t="s">
        <v>70</v>
      </c>
      <c r="T824" t="s">
        <v>60</v>
      </c>
      <c r="U824" t="s">
        <v>155</v>
      </c>
      <c r="V824">
        <v>3622</v>
      </c>
      <c r="W824">
        <v>482</v>
      </c>
      <c r="X824">
        <v>8</v>
      </c>
      <c r="Y824">
        <v>1496.64</v>
      </c>
      <c r="Z824">
        <v>212.47</v>
      </c>
      <c r="AA824" s="9">
        <v>1709.11</v>
      </c>
      <c r="AB824" t="s">
        <v>52</v>
      </c>
      <c r="AC824">
        <v>0</v>
      </c>
      <c r="AD824">
        <v>72.63</v>
      </c>
      <c r="AE824">
        <v>276</v>
      </c>
      <c r="AF824">
        <v>320</v>
      </c>
      <c r="AG824" s="11">
        <f>Supply_Chain[[#This Row],[Total_Cost]]/Supply_Chain[[#This Row],[Stock_On_Hand]]</f>
        <v>0.47186913307564876</v>
      </c>
    </row>
    <row r="825" spans="1:33" x14ac:dyDescent="0.25">
      <c r="A825" t="s">
        <v>2343</v>
      </c>
      <c r="B825" t="s">
        <v>2344</v>
      </c>
      <c r="C825" s="1">
        <v>45304</v>
      </c>
      <c r="D825" s="1">
        <v>44729</v>
      </c>
      <c r="E825" t="s">
        <v>55</v>
      </c>
      <c r="F825" t="s">
        <v>44</v>
      </c>
      <c r="G825" t="s">
        <v>76</v>
      </c>
      <c r="H825" t="s">
        <v>92</v>
      </c>
      <c r="I825" s="3" t="s">
        <v>3395</v>
      </c>
      <c r="J825" s="3" t="s">
        <v>3518</v>
      </c>
      <c r="K825" s="3" t="s">
        <v>3524</v>
      </c>
      <c r="L825" s="3" t="s">
        <v>4182</v>
      </c>
      <c r="M825">
        <v>469.89</v>
      </c>
      <c r="N825">
        <v>12</v>
      </c>
      <c r="O825">
        <f>Supply_Chain[[#This Row],[Unit_Price]]*Supply_Chain[[#This Row],[Quantity]]</f>
        <v>5638.68</v>
      </c>
      <c r="P825" t="s">
        <v>2045</v>
      </c>
      <c r="Q825" t="s">
        <v>35</v>
      </c>
      <c r="R825" t="s">
        <v>269</v>
      </c>
      <c r="S825" t="s">
        <v>119</v>
      </c>
      <c r="T825" t="s">
        <v>100</v>
      </c>
      <c r="U825" t="s">
        <v>378</v>
      </c>
      <c r="V825">
        <v>2288</v>
      </c>
      <c r="W825">
        <v>229</v>
      </c>
      <c r="X825">
        <v>15</v>
      </c>
      <c r="Y825">
        <v>1177.3900000000001</v>
      </c>
      <c r="Z825">
        <v>57.53</v>
      </c>
      <c r="AA825" s="9">
        <v>1234.92</v>
      </c>
      <c r="AB825" t="s">
        <v>52</v>
      </c>
      <c r="AC825">
        <v>0</v>
      </c>
      <c r="AD825">
        <v>84.88</v>
      </c>
      <c r="AE825">
        <v>94</v>
      </c>
      <c r="AF825">
        <v>102</v>
      </c>
      <c r="AG825" s="11">
        <f>Supply_Chain[[#This Row],[Total_Cost]]/Supply_Chain[[#This Row],[Stock_On_Hand]]</f>
        <v>0.53973776223776226</v>
      </c>
    </row>
    <row r="826" spans="1:33" x14ac:dyDescent="0.25">
      <c r="A826" t="s">
        <v>2345</v>
      </c>
      <c r="B826" t="s">
        <v>2346</v>
      </c>
      <c r="C826" s="1">
        <v>45159</v>
      </c>
      <c r="D826" s="1">
        <v>45537</v>
      </c>
      <c r="E826" t="s">
        <v>30</v>
      </c>
      <c r="F826" t="s">
        <v>44</v>
      </c>
      <c r="G826" t="s">
        <v>65</v>
      </c>
      <c r="H826" t="s">
        <v>46</v>
      </c>
      <c r="I826" s="3" t="s">
        <v>3396</v>
      </c>
      <c r="J826" s="3" t="s">
        <v>3519</v>
      </c>
      <c r="K826" s="3" t="s">
        <v>3530</v>
      </c>
      <c r="L826" s="3" t="s">
        <v>4183</v>
      </c>
      <c r="M826">
        <v>70.23</v>
      </c>
      <c r="N826">
        <v>17</v>
      </c>
      <c r="O826">
        <f>Supply_Chain[[#This Row],[Unit_Price]]*Supply_Chain[[#This Row],[Quantity]]</f>
        <v>1193.9100000000001</v>
      </c>
      <c r="P826" t="s">
        <v>175</v>
      </c>
      <c r="Q826" t="s">
        <v>68</v>
      </c>
      <c r="R826" t="s">
        <v>130</v>
      </c>
      <c r="S826" t="s">
        <v>37</v>
      </c>
      <c r="T826" t="s">
        <v>100</v>
      </c>
      <c r="U826" t="s">
        <v>182</v>
      </c>
      <c r="V826">
        <v>4072</v>
      </c>
      <c r="W826">
        <v>211</v>
      </c>
      <c r="X826">
        <v>9</v>
      </c>
      <c r="Y826">
        <v>454.83</v>
      </c>
      <c r="Z826">
        <v>369.51</v>
      </c>
      <c r="AA826" s="9">
        <v>824.33999999999992</v>
      </c>
      <c r="AB826" t="s">
        <v>52</v>
      </c>
      <c r="AC826">
        <v>0</v>
      </c>
      <c r="AD826">
        <v>74.319999999999993</v>
      </c>
      <c r="AE826">
        <v>224</v>
      </c>
      <c r="AF826">
        <v>217</v>
      </c>
      <c r="AG826" s="11">
        <f>Supply_Chain[[#This Row],[Total_Cost]]/Supply_Chain[[#This Row],[Stock_On_Hand]]</f>
        <v>0.20244106090373279</v>
      </c>
    </row>
    <row r="827" spans="1:33" x14ac:dyDescent="0.25">
      <c r="A827" t="s">
        <v>2347</v>
      </c>
      <c r="B827" t="s">
        <v>2348</v>
      </c>
      <c r="C827" s="1">
        <v>44584</v>
      </c>
      <c r="D827" s="1">
        <v>45017</v>
      </c>
      <c r="E827" t="s">
        <v>55</v>
      </c>
      <c r="F827" t="s">
        <v>44</v>
      </c>
      <c r="G827" t="s">
        <v>76</v>
      </c>
      <c r="H827" t="s">
        <v>57</v>
      </c>
      <c r="I827" s="3" t="s">
        <v>3381</v>
      </c>
      <c r="J827" s="3" t="s">
        <v>3519</v>
      </c>
      <c r="K827" s="3" t="s">
        <v>3530</v>
      </c>
      <c r="L827" s="3" t="s">
        <v>4168</v>
      </c>
      <c r="M827">
        <v>417.19</v>
      </c>
      <c r="N827">
        <v>54</v>
      </c>
      <c r="O827">
        <f>Supply_Chain[[#This Row],[Unit_Price]]*Supply_Chain[[#This Row],[Quantity]]</f>
        <v>22528.26</v>
      </c>
      <c r="P827" t="s">
        <v>839</v>
      </c>
      <c r="Q827" t="s">
        <v>35</v>
      </c>
      <c r="R827" t="s">
        <v>480</v>
      </c>
      <c r="S827" t="s">
        <v>119</v>
      </c>
      <c r="T827" t="s">
        <v>79</v>
      </c>
      <c r="U827" t="s">
        <v>187</v>
      </c>
      <c r="V827">
        <v>1674</v>
      </c>
      <c r="W827">
        <v>320</v>
      </c>
      <c r="X827">
        <v>18</v>
      </c>
      <c r="Y827">
        <v>761.53</v>
      </c>
      <c r="Z827">
        <v>482.71</v>
      </c>
      <c r="AA827" s="9">
        <v>1244.24</v>
      </c>
      <c r="AB827" t="s">
        <v>52</v>
      </c>
      <c r="AC827">
        <v>0</v>
      </c>
      <c r="AD827">
        <v>81.150000000000006</v>
      </c>
      <c r="AE827">
        <v>311</v>
      </c>
      <c r="AF827">
        <v>289</v>
      </c>
      <c r="AG827" s="11">
        <f>Supply_Chain[[#This Row],[Total_Cost]]/Supply_Chain[[#This Row],[Stock_On_Hand]]</f>
        <v>0.74327359617682198</v>
      </c>
    </row>
    <row r="828" spans="1:33" x14ac:dyDescent="0.25">
      <c r="A828" t="s">
        <v>2349</v>
      </c>
      <c r="B828" t="s">
        <v>299</v>
      </c>
      <c r="C828" s="1">
        <v>44164</v>
      </c>
      <c r="D828" s="1">
        <v>45343</v>
      </c>
      <c r="E828" t="s">
        <v>43</v>
      </c>
      <c r="F828" t="s">
        <v>44</v>
      </c>
      <c r="G828" t="s">
        <v>247</v>
      </c>
      <c r="H828" t="s">
        <v>66</v>
      </c>
      <c r="I828" s="3" t="s">
        <v>3397</v>
      </c>
      <c r="J828" s="3" t="s">
        <v>3519</v>
      </c>
      <c r="K828" s="3" t="s">
        <v>3530</v>
      </c>
      <c r="L828" s="3" t="s">
        <v>4184</v>
      </c>
      <c r="M828">
        <v>39.380000000000003</v>
      </c>
      <c r="N828">
        <v>70</v>
      </c>
      <c r="O828">
        <f>Supply_Chain[[#This Row],[Unit_Price]]*Supply_Chain[[#This Row],[Quantity]]</f>
        <v>2756.6000000000004</v>
      </c>
      <c r="P828" t="s">
        <v>1827</v>
      </c>
      <c r="Q828" t="s">
        <v>86</v>
      </c>
      <c r="R828" t="s">
        <v>140</v>
      </c>
      <c r="S828" t="s">
        <v>50</v>
      </c>
      <c r="T828" t="s">
        <v>71</v>
      </c>
      <c r="U828" t="s">
        <v>615</v>
      </c>
      <c r="V828">
        <v>4265</v>
      </c>
      <c r="W828">
        <v>128</v>
      </c>
      <c r="X828">
        <v>23</v>
      </c>
      <c r="Y828">
        <v>1201.31</v>
      </c>
      <c r="Z828">
        <v>311.97000000000003</v>
      </c>
      <c r="AA828" s="9">
        <v>1513.28</v>
      </c>
      <c r="AB828" t="s">
        <v>52</v>
      </c>
      <c r="AC828">
        <v>0</v>
      </c>
      <c r="AD828">
        <v>87.03</v>
      </c>
      <c r="AE828">
        <v>407</v>
      </c>
      <c r="AF828">
        <v>358</v>
      </c>
      <c r="AG828" s="11">
        <f>Supply_Chain[[#This Row],[Total_Cost]]/Supply_Chain[[#This Row],[Stock_On_Hand]]</f>
        <v>0.35481359906213367</v>
      </c>
    </row>
    <row r="829" spans="1:33" x14ac:dyDescent="0.25">
      <c r="A829" t="s">
        <v>2350</v>
      </c>
      <c r="B829" t="s">
        <v>1111</v>
      </c>
      <c r="C829" s="1">
        <v>44070</v>
      </c>
      <c r="D829" s="1">
        <v>44443</v>
      </c>
      <c r="E829" t="s">
        <v>55</v>
      </c>
      <c r="F829" t="s">
        <v>44</v>
      </c>
      <c r="G829" t="s">
        <v>65</v>
      </c>
      <c r="H829" t="s">
        <v>116</v>
      </c>
      <c r="I829" s="3" t="s">
        <v>3398</v>
      </c>
      <c r="J829" s="3" t="s">
        <v>3519</v>
      </c>
      <c r="K829" s="3" t="s">
        <v>3528</v>
      </c>
      <c r="L829" s="3" t="s">
        <v>4185</v>
      </c>
      <c r="M829">
        <v>86.36</v>
      </c>
      <c r="N829">
        <v>92</v>
      </c>
      <c r="O829">
        <f>Supply_Chain[[#This Row],[Unit_Price]]*Supply_Chain[[#This Row],[Quantity]]</f>
        <v>7945.12</v>
      </c>
      <c r="P829" t="s">
        <v>373</v>
      </c>
      <c r="Q829" t="s">
        <v>110</v>
      </c>
      <c r="R829" t="s">
        <v>476</v>
      </c>
      <c r="S829" t="s">
        <v>119</v>
      </c>
      <c r="T829" t="s">
        <v>38</v>
      </c>
      <c r="U829" t="s">
        <v>270</v>
      </c>
      <c r="V829">
        <v>3247</v>
      </c>
      <c r="W829">
        <v>75</v>
      </c>
      <c r="X829">
        <v>5</v>
      </c>
      <c r="Y829">
        <v>1774.73</v>
      </c>
      <c r="Z829">
        <v>199.97</v>
      </c>
      <c r="AA829" s="9">
        <v>1974.7</v>
      </c>
      <c r="AB829" t="s">
        <v>52</v>
      </c>
      <c r="AC829">
        <v>0</v>
      </c>
      <c r="AD829">
        <v>78.099999999999994</v>
      </c>
      <c r="AE829">
        <v>364</v>
      </c>
      <c r="AF829">
        <v>314</v>
      </c>
      <c r="AG829" s="11">
        <f>Supply_Chain[[#This Row],[Total_Cost]]/Supply_Chain[[#This Row],[Stock_On_Hand]]</f>
        <v>0.60816137973514017</v>
      </c>
    </row>
    <row r="830" spans="1:33" x14ac:dyDescent="0.25">
      <c r="A830" t="s">
        <v>2351</v>
      </c>
      <c r="B830" t="s">
        <v>2352</v>
      </c>
      <c r="C830" s="1">
        <v>44822</v>
      </c>
      <c r="D830" s="1">
        <v>45074</v>
      </c>
      <c r="E830" t="s">
        <v>55</v>
      </c>
      <c r="F830" t="s">
        <v>31</v>
      </c>
      <c r="G830" t="s">
        <v>76</v>
      </c>
      <c r="H830" t="s">
        <v>66</v>
      </c>
      <c r="I830" s="3" t="s">
        <v>3399</v>
      </c>
      <c r="J830" s="3" t="s">
        <v>3518</v>
      </c>
      <c r="K830" s="3" t="s">
        <v>3521</v>
      </c>
      <c r="L830" s="3" t="s">
        <v>4186</v>
      </c>
      <c r="M830">
        <v>8.02</v>
      </c>
      <c r="N830">
        <v>60</v>
      </c>
      <c r="O830">
        <f>Supply_Chain[[#This Row],[Unit_Price]]*Supply_Chain[[#This Row],[Quantity]]</f>
        <v>481.2</v>
      </c>
      <c r="P830" t="s">
        <v>867</v>
      </c>
      <c r="Q830" t="s">
        <v>86</v>
      </c>
      <c r="R830" t="s">
        <v>277</v>
      </c>
      <c r="S830" t="s">
        <v>37</v>
      </c>
      <c r="T830" t="s">
        <v>38</v>
      </c>
      <c r="U830" t="s">
        <v>131</v>
      </c>
      <c r="V830">
        <v>3128</v>
      </c>
      <c r="W830">
        <v>137</v>
      </c>
      <c r="X830">
        <v>14</v>
      </c>
      <c r="Y830">
        <v>1934.88</v>
      </c>
      <c r="Z830">
        <v>420.1</v>
      </c>
      <c r="AA830" s="9">
        <v>2354.98</v>
      </c>
      <c r="AB830" t="s">
        <v>52</v>
      </c>
      <c r="AC830">
        <v>0</v>
      </c>
      <c r="AD830">
        <v>85.61</v>
      </c>
      <c r="AE830">
        <v>173</v>
      </c>
      <c r="AF830">
        <v>181</v>
      </c>
      <c r="AG830" s="11">
        <f>Supply_Chain[[#This Row],[Total_Cost]]/Supply_Chain[[#This Row],[Stock_On_Hand]]</f>
        <v>0.75287084398976978</v>
      </c>
    </row>
    <row r="831" spans="1:33" x14ac:dyDescent="0.25">
      <c r="A831" t="s">
        <v>2353</v>
      </c>
      <c r="B831" t="s">
        <v>2354</v>
      </c>
      <c r="C831" s="1">
        <v>45521</v>
      </c>
      <c r="D831" s="1">
        <v>44124</v>
      </c>
      <c r="E831" t="s">
        <v>55</v>
      </c>
      <c r="F831" t="s">
        <v>115</v>
      </c>
      <c r="G831" t="s">
        <v>91</v>
      </c>
      <c r="H831" t="s">
        <v>116</v>
      </c>
      <c r="I831" s="3" t="s">
        <v>3081</v>
      </c>
      <c r="J831" s="3" t="s">
        <v>3518</v>
      </c>
      <c r="K831" s="3" t="s">
        <v>3524</v>
      </c>
      <c r="L831" s="3" t="s">
        <v>3877</v>
      </c>
      <c r="M831">
        <v>296.45</v>
      </c>
      <c r="N831">
        <v>23</v>
      </c>
      <c r="O831">
        <f>Supply_Chain[[#This Row],[Unit_Price]]*Supply_Chain[[#This Row],[Quantity]]</f>
        <v>6818.3499999999995</v>
      </c>
      <c r="P831" t="s">
        <v>2355</v>
      </c>
      <c r="Q831" t="s">
        <v>86</v>
      </c>
      <c r="R831" t="s">
        <v>248</v>
      </c>
      <c r="S831" t="s">
        <v>37</v>
      </c>
      <c r="T831" t="s">
        <v>71</v>
      </c>
      <c r="U831" t="s">
        <v>101</v>
      </c>
      <c r="V831">
        <v>3683</v>
      </c>
      <c r="W831">
        <v>218</v>
      </c>
      <c r="X831">
        <v>21</v>
      </c>
      <c r="Y831">
        <v>1107.03</v>
      </c>
      <c r="Z831">
        <v>384.46</v>
      </c>
      <c r="AA831" s="9">
        <v>1491.49</v>
      </c>
      <c r="AB831" t="s">
        <v>52</v>
      </c>
      <c r="AC831">
        <v>0</v>
      </c>
      <c r="AD831">
        <v>91.38</v>
      </c>
      <c r="AE831">
        <v>206</v>
      </c>
      <c r="AF831">
        <v>170</v>
      </c>
      <c r="AG831" s="11">
        <f>Supply_Chain[[#This Row],[Total_Cost]]/Supply_Chain[[#This Row],[Stock_On_Hand]]</f>
        <v>0.40496606027694815</v>
      </c>
    </row>
    <row r="832" spans="1:33" x14ac:dyDescent="0.25">
      <c r="A832" t="s">
        <v>2356</v>
      </c>
      <c r="B832" t="s">
        <v>2357</v>
      </c>
      <c r="C832" s="1">
        <v>45399</v>
      </c>
      <c r="D832" s="1">
        <v>44498</v>
      </c>
      <c r="E832" t="s">
        <v>30</v>
      </c>
      <c r="F832" t="s">
        <v>44</v>
      </c>
      <c r="G832" t="s">
        <v>83</v>
      </c>
      <c r="H832" t="s">
        <v>57</v>
      </c>
      <c r="I832" s="3" t="s">
        <v>3400</v>
      </c>
      <c r="J832" s="3" t="s">
        <v>3519</v>
      </c>
      <c r="K832" s="3" t="s">
        <v>3530</v>
      </c>
      <c r="L832" s="3" t="s">
        <v>4187</v>
      </c>
      <c r="M832">
        <v>419.85</v>
      </c>
      <c r="N832">
        <v>60</v>
      </c>
      <c r="O832">
        <f>Supply_Chain[[#This Row],[Unit_Price]]*Supply_Chain[[#This Row],[Quantity]]</f>
        <v>25191</v>
      </c>
      <c r="P832" t="s">
        <v>1043</v>
      </c>
      <c r="Q832" t="s">
        <v>48</v>
      </c>
      <c r="R832" t="s">
        <v>264</v>
      </c>
      <c r="S832" t="s">
        <v>119</v>
      </c>
      <c r="T832" t="s">
        <v>71</v>
      </c>
      <c r="U832" t="s">
        <v>191</v>
      </c>
      <c r="V832">
        <v>1133</v>
      </c>
      <c r="W832">
        <v>247</v>
      </c>
      <c r="X832">
        <v>13</v>
      </c>
      <c r="Y832">
        <v>931.22</v>
      </c>
      <c r="Z832">
        <v>63.16</v>
      </c>
      <c r="AA832" s="9">
        <v>994.38</v>
      </c>
      <c r="AB832" t="s">
        <v>52</v>
      </c>
      <c r="AC832">
        <v>0</v>
      </c>
      <c r="AD832">
        <v>80.260000000000005</v>
      </c>
      <c r="AE832">
        <v>55</v>
      </c>
      <c r="AF832">
        <v>37</v>
      </c>
      <c r="AG832" s="11">
        <f>Supply_Chain[[#This Row],[Total_Cost]]/Supply_Chain[[#This Row],[Stock_On_Hand]]</f>
        <v>0.8776522506619594</v>
      </c>
    </row>
    <row r="833" spans="1:33" x14ac:dyDescent="0.25">
      <c r="A833" t="s">
        <v>2358</v>
      </c>
      <c r="B833" t="s">
        <v>2359</v>
      </c>
      <c r="C833" s="1">
        <v>44817</v>
      </c>
      <c r="D833" s="1">
        <v>45378</v>
      </c>
      <c r="E833" t="s">
        <v>55</v>
      </c>
      <c r="F833" t="s">
        <v>115</v>
      </c>
      <c r="G833" t="s">
        <v>83</v>
      </c>
      <c r="H833" t="s">
        <v>166</v>
      </c>
      <c r="I833" s="3" t="s">
        <v>3401</v>
      </c>
      <c r="J833" s="3" t="s">
        <v>84</v>
      </c>
      <c r="K833" s="3" t="s">
        <v>3529</v>
      </c>
      <c r="L833" s="3" t="s">
        <v>4188</v>
      </c>
      <c r="M833">
        <v>301.7</v>
      </c>
      <c r="N833">
        <v>68</v>
      </c>
      <c r="O833">
        <f>Supply_Chain[[#This Row],[Unit_Price]]*Supply_Chain[[#This Row],[Quantity]]</f>
        <v>20515.599999999999</v>
      </c>
      <c r="P833" t="s">
        <v>2360</v>
      </c>
      <c r="Q833" t="s">
        <v>35</v>
      </c>
      <c r="R833" t="s">
        <v>145</v>
      </c>
      <c r="S833" t="s">
        <v>70</v>
      </c>
      <c r="T833" t="s">
        <v>60</v>
      </c>
      <c r="U833" t="s">
        <v>168</v>
      </c>
      <c r="V833">
        <v>1206</v>
      </c>
      <c r="W833">
        <v>352</v>
      </c>
      <c r="X833">
        <v>25</v>
      </c>
      <c r="Y833">
        <v>537.75</v>
      </c>
      <c r="Z833">
        <v>408.6</v>
      </c>
      <c r="AA833" s="9">
        <v>946.35</v>
      </c>
      <c r="AB833" t="s">
        <v>52</v>
      </c>
      <c r="AC833">
        <v>0</v>
      </c>
      <c r="AD833">
        <v>88.79</v>
      </c>
      <c r="AE833">
        <v>203</v>
      </c>
      <c r="AF833">
        <v>206</v>
      </c>
      <c r="AG833" s="11">
        <f>Supply_Chain[[#This Row],[Total_Cost]]/Supply_Chain[[#This Row],[Stock_On_Hand]]</f>
        <v>0.78470149253731347</v>
      </c>
    </row>
    <row r="834" spans="1:33" x14ac:dyDescent="0.25">
      <c r="A834" t="s">
        <v>2361</v>
      </c>
      <c r="B834" t="s">
        <v>2362</v>
      </c>
      <c r="C834" s="1">
        <v>44256</v>
      </c>
      <c r="D834" s="1">
        <v>45029</v>
      </c>
      <c r="E834" t="s">
        <v>55</v>
      </c>
      <c r="F834" t="s">
        <v>31</v>
      </c>
      <c r="G834" t="s">
        <v>45</v>
      </c>
      <c r="H834" t="s">
        <v>46</v>
      </c>
      <c r="I834" s="3" t="s">
        <v>3402</v>
      </c>
      <c r="J834" s="3" t="s">
        <v>3518</v>
      </c>
      <c r="K834" s="3" t="s">
        <v>3532</v>
      </c>
      <c r="L834" s="3" t="s">
        <v>4019</v>
      </c>
      <c r="M834">
        <v>51.22</v>
      </c>
      <c r="N834">
        <v>24</v>
      </c>
      <c r="O834">
        <f>Supply_Chain[[#This Row],[Unit_Price]]*Supply_Chain[[#This Row],[Quantity]]</f>
        <v>1229.28</v>
      </c>
      <c r="P834" t="s">
        <v>1348</v>
      </c>
      <c r="Q834" t="s">
        <v>48</v>
      </c>
      <c r="R834" t="s">
        <v>172</v>
      </c>
      <c r="S834" t="s">
        <v>70</v>
      </c>
      <c r="T834" t="s">
        <v>71</v>
      </c>
      <c r="U834" t="s">
        <v>809</v>
      </c>
      <c r="V834">
        <v>307</v>
      </c>
      <c r="W834">
        <v>165</v>
      </c>
      <c r="X834">
        <v>19</v>
      </c>
      <c r="Y834">
        <v>1864.77</v>
      </c>
      <c r="Z834">
        <v>220.82</v>
      </c>
      <c r="AA834" s="9">
        <v>2085.59</v>
      </c>
      <c r="AB834" t="s">
        <v>52</v>
      </c>
      <c r="AC834">
        <v>0</v>
      </c>
      <c r="AD834">
        <v>77.36</v>
      </c>
      <c r="AE834">
        <v>88</v>
      </c>
      <c r="AF834">
        <v>122</v>
      </c>
      <c r="AG834" s="11">
        <f>Supply_Chain[[#This Row],[Total_Cost]]/Supply_Chain[[#This Row],[Stock_On_Hand]]</f>
        <v>6.793452768729642</v>
      </c>
    </row>
    <row r="835" spans="1:33" x14ac:dyDescent="0.25">
      <c r="A835" t="s">
        <v>2363</v>
      </c>
      <c r="B835" t="s">
        <v>2364</v>
      </c>
      <c r="C835" s="1">
        <v>43968</v>
      </c>
      <c r="D835" s="1">
        <v>45110</v>
      </c>
      <c r="E835" t="s">
        <v>55</v>
      </c>
      <c r="F835" t="s">
        <v>31</v>
      </c>
      <c r="G835" t="s">
        <v>56</v>
      </c>
      <c r="H835" t="s">
        <v>92</v>
      </c>
      <c r="I835" s="3" t="s">
        <v>3403</v>
      </c>
      <c r="J835" s="3" t="s">
        <v>3518</v>
      </c>
      <c r="K835" s="3" t="s">
        <v>3527</v>
      </c>
      <c r="L835" s="3" t="s">
        <v>4189</v>
      </c>
      <c r="M835">
        <v>315.79000000000002</v>
      </c>
      <c r="N835">
        <v>49</v>
      </c>
      <c r="O835">
        <f>Supply_Chain[[#This Row],[Unit_Price]]*Supply_Chain[[#This Row],[Quantity]]</f>
        <v>15473.710000000001</v>
      </c>
      <c r="P835" t="s">
        <v>1521</v>
      </c>
      <c r="Q835" t="s">
        <v>68</v>
      </c>
      <c r="R835" t="s">
        <v>610</v>
      </c>
      <c r="S835" t="s">
        <v>70</v>
      </c>
      <c r="T835" t="s">
        <v>79</v>
      </c>
      <c r="U835" t="s">
        <v>855</v>
      </c>
      <c r="V835">
        <v>1690</v>
      </c>
      <c r="W835">
        <v>326</v>
      </c>
      <c r="X835">
        <v>24</v>
      </c>
      <c r="Y835">
        <v>649.11</v>
      </c>
      <c r="Z835">
        <v>70.290000000000006</v>
      </c>
      <c r="AA835" s="9">
        <v>719.4</v>
      </c>
      <c r="AB835" t="s">
        <v>52</v>
      </c>
      <c r="AC835">
        <v>0</v>
      </c>
      <c r="AD835">
        <v>71.42</v>
      </c>
      <c r="AE835">
        <v>437</v>
      </c>
      <c r="AF835">
        <v>451</v>
      </c>
      <c r="AG835" s="11">
        <f>Supply_Chain[[#This Row],[Total_Cost]]/Supply_Chain[[#This Row],[Stock_On_Hand]]</f>
        <v>0.42568047337278103</v>
      </c>
    </row>
    <row r="836" spans="1:33" x14ac:dyDescent="0.25">
      <c r="A836" t="s">
        <v>2365</v>
      </c>
      <c r="B836" t="s">
        <v>2366</v>
      </c>
      <c r="C836" s="1">
        <v>43877</v>
      </c>
      <c r="D836" s="1">
        <v>44557</v>
      </c>
      <c r="E836" t="s">
        <v>43</v>
      </c>
      <c r="F836" t="s">
        <v>31</v>
      </c>
      <c r="G836" t="s">
        <v>45</v>
      </c>
      <c r="H836" t="s">
        <v>116</v>
      </c>
      <c r="I836" s="3" t="s">
        <v>3404</v>
      </c>
      <c r="J836" s="3" t="s">
        <v>84</v>
      </c>
      <c r="K836" s="3" t="s">
        <v>3531</v>
      </c>
      <c r="L836" s="3" t="s">
        <v>4190</v>
      </c>
      <c r="M836">
        <v>478.49</v>
      </c>
      <c r="N836">
        <v>67</v>
      </c>
      <c r="O836">
        <f>Supply_Chain[[#This Row],[Unit_Price]]*Supply_Chain[[#This Row],[Quantity]]</f>
        <v>32058.83</v>
      </c>
      <c r="P836" t="s">
        <v>881</v>
      </c>
      <c r="Q836" t="s">
        <v>110</v>
      </c>
      <c r="R836" t="s">
        <v>248</v>
      </c>
      <c r="S836" t="s">
        <v>70</v>
      </c>
      <c r="T836" t="s">
        <v>60</v>
      </c>
      <c r="U836" t="s">
        <v>219</v>
      </c>
      <c r="V836">
        <v>4015</v>
      </c>
      <c r="W836">
        <v>479</v>
      </c>
      <c r="X836">
        <v>2</v>
      </c>
      <c r="Y836">
        <v>1755.17</v>
      </c>
      <c r="Z836">
        <v>276.38</v>
      </c>
      <c r="AA836" s="9">
        <v>2031.55</v>
      </c>
      <c r="AB836" t="s">
        <v>52</v>
      </c>
      <c r="AC836">
        <v>0</v>
      </c>
      <c r="AD836">
        <v>99.61</v>
      </c>
      <c r="AE836">
        <v>447</v>
      </c>
      <c r="AF836">
        <v>489</v>
      </c>
      <c r="AG836" s="11">
        <f>Supply_Chain[[#This Row],[Total_Cost]]/Supply_Chain[[#This Row],[Stock_On_Hand]]</f>
        <v>0.50599003735990034</v>
      </c>
    </row>
    <row r="837" spans="1:33" x14ac:dyDescent="0.25">
      <c r="A837" t="s">
        <v>2367</v>
      </c>
      <c r="B837" t="s">
        <v>2368</v>
      </c>
      <c r="C837" s="1">
        <v>45603</v>
      </c>
      <c r="D837" s="1">
        <v>44688</v>
      </c>
      <c r="E837" t="s">
        <v>55</v>
      </c>
      <c r="F837" t="s">
        <v>115</v>
      </c>
      <c r="G837" t="s">
        <v>65</v>
      </c>
      <c r="H837" t="s">
        <v>128</v>
      </c>
      <c r="I837" s="3" t="s">
        <v>3326</v>
      </c>
      <c r="J837" s="3" t="s">
        <v>84</v>
      </c>
      <c r="K837" s="3" t="s">
        <v>3529</v>
      </c>
      <c r="L837" s="3" t="s">
        <v>4113</v>
      </c>
      <c r="M837">
        <v>369.88</v>
      </c>
      <c r="N837">
        <v>19</v>
      </c>
      <c r="O837">
        <f>Supply_Chain[[#This Row],[Unit_Price]]*Supply_Chain[[#This Row],[Quantity]]</f>
        <v>7027.72</v>
      </c>
      <c r="P837" t="s">
        <v>1311</v>
      </c>
      <c r="Q837" t="s">
        <v>86</v>
      </c>
      <c r="R837" t="s">
        <v>377</v>
      </c>
      <c r="S837" t="s">
        <v>119</v>
      </c>
      <c r="T837" t="s">
        <v>38</v>
      </c>
      <c r="U837" t="s">
        <v>370</v>
      </c>
      <c r="V837">
        <v>4671</v>
      </c>
      <c r="W837">
        <v>383</v>
      </c>
      <c r="X837">
        <v>2</v>
      </c>
      <c r="Y837">
        <v>1971.48</v>
      </c>
      <c r="Z837">
        <v>110.38</v>
      </c>
      <c r="AA837" s="9">
        <v>2081.86</v>
      </c>
      <c r="AB837" t="s">
        <v>52</v>
      </c>
      <c r="AC837">
        <v>0</v>
      </c>
      <c r="AD837">
        <v>79.989999999999995</v>
      </c>
      <c r="AE837">
        <v>424</v>
      </c>
      <c r="AF837">
        <v>438</v>
      </c>
      <c r="AG837" s="11">
        <f>Supply_Chain[[#This Row],[Total_Cost]]/Supply_Chain[[#This Row],[Stock_On_Hand]]</f>
        <v>0.44569899379147937</v>
      </c>
    </row>
    <row r="838" spans="1:33" x14ac:dyDescent="0.25">
      <c r="A838" t="s">
        <v>2369</v>
      </c>
      <c r="B838" t="s">
        <v>2370</v>
      </c>
      <c r="C838" s="1">
        <v>44023</v>
      </c>
      <c r="D838" s="1">
        <v>44593</v>
      </c>
      <c r="E838" t="s">
        <v>55</v>
      </c>
      <c r="F838" t="s">
        <v>115</v>
      </c>
      <c r="G838" t="s">
        <v>91</v>
      </c>
      <c r="H838" t="s">
        <v>57</v>
      </c>
      <c r="I838" s="3" t="s">
        <v>3197</v>
      </c>
      <c r="J838" s="3" t="s">
        <v>3518</v>
      </c>
      <c r="K838" s="3" t="s">
        <v>3533</v>
      </c>
      <c r="L838" s="3" t="s">
        <v>3989</v>
      </c>
      <c r="M838">
        <v>168.4</v>
      </c>
      <c r="N838">
        <v>27</v>
      </c>
      <c r="O838">
        <f>Supply_Chain[[#This Row],[Unit_Price]]*Supply_Chain[[#This Row],[Quantity]]</f>
        <v>4546.8</v>
      </c>
      <c r="P838" t="s">
        <v>2371</v>
      </c>
      <c r="Q838" t="s">
        <v>68</v>
      </c>
      <c r="R838" t="s">
        <v>377</v>
      </c>
      <c r="S838" t="s">
        <v>70</v>
      </c>
      <c r="T838" t="s">
        <v>79</v>
      </c>
      <c r="U838" t="s">
        <v>187</v>
      </c>
      <c r="V838">
        <v>1016</v>
      </c>
      <c r="W838">
        <v>241</v>
      </c>
      <c r="X838">
        <v>29</v>
      </c>
      <c r="Y838">
        <v>1039</v>
      </c>
      <c r="Z838">
        <v>134.07</v>
      </c>
      <c r="AA838" s="9">
        <v>1173.07</v>
      </c>
      <c r="AB838" t="s">
        <v>52</v>
      </c>
      <c r="AC838">
        <v>0</v>
      </c>
      <c r="AD838">
        <v>82.38</v>
      </c>
      <c r="AE838">
        <v>391</v>
      </c>
      <c r="AF838">
        <v>399</v>
      </c>
      <c r="AG838" s="11">
        <f>Supply_Chain[[#This Row],[Total_Cost]]/Supply_Chain[[#This Row],[Stock_On_Hand]]</f>
        <v>1.1545964566929132</v>
      </c>
    </row>
    <row r="839" spans="1:33" x14ac:dyDescent="0.25">
      <c r="A839" t="s">
        <v>2372</v>
      </c>
      <c r="B839" t="s">
        <v>2373</v>
      </c>
      <c r="C839" s="1">
        <v>44094</v>
      </c>
      <c r="D839" s="1">
        <v>43983</v>
      </c>
      <c r="E839" t="s">
        <v>55</v>
      </c>
      <c r="F839" t="s">
        <v>64</v>
      </c>
      <c r="G839" t="s">
        <v>45</v>
      </c>
      <c r="H839" t="s">
        <v>92</v>
      </c>
      <c r="I839" s="3" t="s">
        <v>3405</v>
      </c>
      <c r="J839" s="3" t="s">
        <v>3518</v>
      </c>
      <c r="K839" s="3" t="s">
        <v>3522</v>
      </c>
      <c r="L839" s="3" t="s">
        <v>4191</v>
      </c>
      <c r="M839">
        <v>391.4</v>
      </c>
      <c r="N839">
        <v>60</v>
      </c>
      <c r="O839">
        <f>Supply_Chain[[#This Row],[Unit_Price]]*Supply_Chain[[#This Row],[Quantity]]</f>
        <v>23484</v>
      </c>
      <c r="P839" t="s">
        <v>2374</v>
      </c>
      <c r="Q839" t="s">
        <v>48</v>
      </c>
      <c r="R839" t="s">
        <v>59</v>
      </c>
      <c r="S839" t="s">
        <v>119</v>
      </c>
      <c r="T839" t="s">
        <v>38</v>
      </c>
      <c r="U839" t="s">
        <v>249</v>
      </c>
      <c r="V839">
        <v>1066</v>
      </c>
      <c r="W839">
        <v>84</v>
      </c>
      <c r="X839">
        <v>2</v>
      </c>
      <c r="Y839">
        <v>891.28</v>
      </c>
      <c r="Z839">
        <v>293.47000000000003</v>
      </c>
      <c r="AA839" s="9">
        <v>1184.75</v>
      </c>
      <c r="AB839" t="s">
        <v>40</v>
      </c>
      <c r="AC839">
        <v>2</v>
      </c>
      <c r="AD839">
        <v>98.25</v>
      </c>
      <c r="AE839">
        <v>198</v>
      </c>
      <c r="AF839">
        <v>169</v>
      </c>
      <c r="AG839" s="11">
        <f>Supply_Chain[[#This Row],[Total_Cost]]/Supply_Chain[[#This Row],[Stock_On_Hand]]</f>
        <v>1.1113977485928705</v>
      </c>
    </row>
    <row r="840" spans="1:33" x14ac:dyDescent="0.25">
      <c r="A840" t="s">
        <v>2375</v>
      </c>
      <c r="B840" t="s">
        <v>2376</v>
      </c>
      <c r="C840" s="1">
        <v>45426</v>
      </c>
      <c r="D840" s="1">
        <v>45273</v>
      </c>
      <c r="E840" t="s">
        <v>43</v>
      </c>
      <c r="F840" t="s">
        <v>115</v>
      </c>
      <c r="G840" t="s">
        <v>83</v>
      </c>
      <c r="H840" t="s">
        <v>33</v>
      </c>
      <c r="I840" s="3" t="s">
        <v>3406</v>
      </c>
      <c r="J840" s="3" t="s">
        <v>3518</v>
      </c>
      <c r="K840" s="3" t="s">
        <v>3527</v>
      </c>
      <c r="L840" s="3" t="s">
        <v>4192</v>
      </c>
      <c r="M840">
        <v>211.49</v>
      </c>
      <c r="N840">
        <v>60</v>
      </c>
      <c r="O840">
        <f>Supply_Chain[[#This Row],[Unit_Price]]*Supply_Chain[[#This Row],[Quantity]]</f>
        <v>12689.400000000001</v>
      </c>
      <c r="P840" t="s">
        <v>1638</v>
      </c>
      <c r="Q840" t="s">
        <v>110</v>
      </c>
      <c r="R840" t="s">
        <v>653</v>
      </c>
      <c r="S840" t="s">
        <v>70</v>
      </c>
      <c r="T840" t="s">
        <v>60</v>
      </c>
      <c r="U840" t="s">
        <v>338</v>
      </c>
      <c r="V840">
        <v>755</v>
      </c>
      <c r="W840">
        <v>175</v>
      </c>
      <c r="X840">
        <v>8</v>
      </c>
      <c r="Y840">
        <v>1560.51</v>
      </c>
      <c r="Z840">
        <v>154.76</v>
      </c>
      <c r="AA840" s="9">
        <v>1715.27</v>
      </c>
      <c r="AB840" t="s">
        <v>52</v>
      </c>
      <c r="AC840">
        <v>0</v>
      </c>
      <c r="AD840">
        <v>74.77</v>
      </c>
      <c r="AE840">
        <v>336</v>
      </c>
      <c r="AF840">
        <v>380</v>
      </c>
      <c r="AG840" s="11">
        <f>Supply_Chain[[#This Row],[Total_Cost]]/Supply_Chain[[#This Row],[Stock_On_Hand]]</f>
        <v>2.2718807947019868</v>
      </c>
    </row>
    <row r="841" spans="1:33" x14ac:dyDescent="0.25">
      <c r="A841" t="s">
        <v>2377</v>
      </c>
      <c r="B841" t="s">
        <v>2378</v>
      </c>
      <c r="C841" s="1">
        <v>45586</v>
      </c>
      <c r="D841" s="1">
        <v>44632</v>
      </c>
      <c r="E841" t="s">
        <v>55</v>
      </c>
      <c r="F841" t="s">
        <v>44</v>
      </c>
      <c r="G841" t="s">
        <v>247</v>
      </c>
      <c r="H841" t="s">
        <v>66</v>
      </c>
      <c r="I841" s="3" t="s">
        <v>3407</v>
      </c>
      <c r="J841" s="3" t="s">
        <v>3518</v>
      </c>
      <c r="K841" s="3" t="s">
        <v>3523</v>
      </c>
      <c r="L841" s="3" t="s">
        <v>4193</v>
      </c>
      <c r="M841">
        <v>109.44</v>
      </c>
      <c r="N841">
        <v>85</v>
      </c>
      <c r="O841">
        <f>Supply_Chain[[#This Row],[Unit_Price]]*Supply_Chain[[#This Row],[Quantity]]</f>
        <v>9302.4</v>
      </c>
      <c r="P841" t="s">
        <v>2379</v>
      </c>
      <c r="Q841" t="s">
        <v>110</v>
      </c>
      <c r="R841" t="s">
        <v>344</v>
      </c>
      <c r="S841" t="s">
        <v>119</v>
      </c>
      <c r="T841" t="s">
        <v>60</v>
      </c>
      <c r="U841" t="s">
        <v>106</v>
      </c>
      <c r="V841">
        <v>2577</v>
      </c>
      <c r="W841">
        <v>286</v>
      </c>
      <c r="X841">
        <v>26</v>
      </c>
      <c r="Y841">
        <v>1192.78</v>
      </c>
      <c r="Z841">
        <v>371.62</v>
      </c>
      <c r="AA841" s="9">
        <v>1564.4</v>
      </c>
      <c r="AB841" t="s">
        <v>52</v>
      </c>
      <c r="AC841">
        <v>0</v>
      </c>
      <c r="AD841">
        <v>86.36</v>
      </c>
      <c r="AE841">
        <v>221</v>
      </c>
      <c r="AF841">
        <v>185</v>
      </c>
      <c r="AG841" s="11">
        <f>Supply_Chain[[#This Row],[Total_Cost]]/Supply_Chain[[#This Row],[Stock_On_Hand]]</f>
        <v>0.60706247574699268</v>
      </c>
    </row>
    <row r="842" spans="1:33" x14ac:dyDescent="0.25">
      <c r="A842" t="s">
        <v>2380</v>
      </c>
      <c r="B842" t="s">
        <v>2381</v>
      </c>
      <c r="C842" s="1">
        <v>45482</v>
      </c>
      <c r="D842" s="1">
        <v>45620</v>
      </c>
      <c r="E842" t="s">
        <v>43</v>
      </c>
      <c r="F842" t="s">
        <v>44</v>
      </c>
      <c r="G842" t="s">
        <v>76</v>
      </c>
      <c r="H842" t="s">
        <v>66</v>
      </c>
      <c r="I842" s="3" t="s">
        <v>3408</v>
      </c>
      <c r="J842" s="3" t="s">
        <v>3518</v>
      </c>
      <c r="K842" s="3" t="s">
        <v>3521</v>
      </c>
      <c r="L842" s="3" t="s">
        <v>4194</v>
      </c>
      <c r="M842">
        <v>301.17</v>
      </c>
      <c r="N842">
        <v>1</v>
      </c>
      <c r="O842">
        <f>Supply_Chain[[#This Row],[Unit_Price]]*Supply_Chain[[#This Row],[Quantity]]</f>
        <v>301.17</v>
      </c>
      <c r="P842" t="s">
        <v>93</v>
      </c>
      <c r="Q842" t="s">
        <v>86</v>
      </c>
      <c r="R842" t="s">
        <v>466</v>
      </c>
      <c r="S842" t="s">
        <v>70</v>
      </c>
      <c r="T842" t="s">
        <v>38</v>
      </c>
      <c r="U842" t="s">
        <v>297</v>
      </c>
      <c r="V842">
        <v>2883</v>
      </c>
      <c r="W842">
        <v>383</v>
      </c>
      <c r="X842">
        <v>25</v>
      </c>
      <c r="Y842">
        <v>1406.72</v>
      </c>
      <c r="Z842">
        <v>73.61</v>
      </c>
      <c r="AA842" s="9">
        <v>1480.33</v>
      </c>
      <c r="AB842" t="s">
        <v>52</v>
      </c>
      <c r="AC842">
        <v>0</v>
      </c>
      <c r="AD842">
        <v>87.09</v>
      </c>
      <c r="AE842">
        <v>471</v>
      </c>
      <c r="AF842">
        <v>447</v>
      </c>
      <c r="AG842" s="11">
        <f>Supply_Chain[[#This Row],[Total_Cost]]/Supply_Chain[[#This Row],[Stock_On_Hand]]</f>
        <v>0.51346860908775582</v>
      </c>
    </row>
    <row r="843" spans="1:33" x14ac:dyDescent="0.25">
      <c r="A843" t="s">
        <v>2382</v>
      </c>
      <c r="B843" t="s">
        <v>2383</v>
      </c>
      <c r="C843" s="1">
        <v>44860</v>
      </c>
      <c r="D843" s="1">
        <v>44737</v>
      </c>
      <c r="E843" t="s">
        <v>43</v>
      </c>
      <c r="F843" t="s">
        <v>75</v>
      </c>
      <c r="G843" t="s">
        <v>247</v>
      </c>
      <c r="H843" t="s">
        <v>166</v>
      </c>
      <c r="I843" s="3" t="s">
        <v>2809</v>
      </c>
      <c r="J843" s="3" t="s">
        <v>3518</v>
      </c>
      <c r="K843" s="3" t="s">
        <v>3522</v>
      </c>
      <c r="L843" s="3" t="s">
        <v>3608</v>
      </c>
      <c r="M843">
        <v>413.95</v>
      </c>
      <c r="N843">
        <v>82</v>
      </c>
      <c r="O843">
        <f>Supply_Chain[[#This Row],[Unit_Price]]*Supply_Chain[[#This Row],[Quantity]]</f>
        <v>33943.9</v>
      </c>
      <c r="P843" t="s">
        <v>2374</v>
      </c>
      <c r="Q843" t="s">
        <v>48</v>
      </c>
      <c r="R843" t="s">
        <v>277</v>
      </c>
      <c r="S843" t="s">
        <v>70</v>
      </c>
      <c r="T843" t="s">
        <v>60</v>
      </c>
      <c r="U843" t="s">
        <v>356</v>
      </c>
      <c r="V843">
        <v>3074</v>
      </c>
      <c r="W843">
        <v>172</v>
      </c>
      <c r="X843">
        <v>10</v>
      </c>
      <c r="Y843">
        <v>1104.43</v>
      </c>
      <c r="Z843">
        <v>195.71</v>
      </c>
      <c r="AA843" s="9">
        <v>1300.1400000000001</v>
      </c>
      <c r="AB843" t="s">
        <v>52</v>
      </c>
      <c r="AC843">
        <v>0</v>
      </c>
      <c r="AD843">
        <v>77.89</v>
      </c>
      <c r="AE843">
        <v>192</v>
      </c>
      <c r="AF843">
        <v>193</v>
      </c>
      <c r="AG843" s="11">
        <f>Supply_Chain[[#This Row],[Total_Cost]]/Supply_Chain[[#This Row],[Stock_On_Hand]]</f>
        <v>0.42294729993493824</v>
      </c>
    </row>
    <row r="844" spans="1:33" x14ac:dyDescent="0.25">
      <c r="A844" t="s">
        <v>2384</v>
      </c>
      <c r="B844" t="s">
        <v>2385</v>
      </c>
      <c r="C844" s="1">
        <v>44396</v>
      </c>
      <c r="D844" s="1">
        <v>45589</v>
      </c>
      <c r="E844" t="s">
        <v>55</v>
      </c>
      <c r="F844" t="s">
        <v>31</v>
      </c>
      <c r="G844" t="s">
        <v>65</v>
      </c>
      <c r="H844" t="s">
        <v>57</v>
      </c>
      <c r="I844" s="3" t="s">
        <v>3409</v>
      </c>
      <c r="J844" s="3" t="s">
        <v>3518</v>
      </c>
      <c r="K844" s="3" t="s">
        <v>3524</v>
      </c>
      <c r="L844" s="3" t="s">
        <v>4195</v>
      </c>
      <c r="M844">
        <v>480.79</v>
      </c>
      <c r="N844">
        <v>83</v>
      </c>
      <c r="O844">
        <f>Supply_Chain[[#This Row],[Unit_Price]]*Supply_Chain[[#This Row],[Quantity]]</f>
        <v>39905.57</v>
      </c>
      <c r="P844" t="s">
        <v>1536</v>
      </c>
      <c r="Q844" t="s">
        <v>35</v>
      </c>
      <c r="R844" t="s">
        <v>419</v>
      </c>
      <c r="S844" t="s">
        <v>119</v>
      </c>
      <c r="T844" t="s">
        <v>100</v>
      </c>
      <c r="U844" t="s">
        <v>809</v>
      </c>
      <c r="V844">
        <v>4903</v>
      </c>
      <c r="W844">
        <v>420</v>
      </c>
      <c r="X844">
        <v>25</v>
      </c>
      <c r="Y844">
        <v>1545.78</v>
      </c>
      <c r="Z844">
        <v>338.35</v>
      </c>
      <c r="AA844" s="9">
        <v>1884.13</v>
      </c>
      <c r="AB844" t="s">
        <v>40</v>
      </c>
      <c r="AC844">
        <v>10</v>
      </c>
      <c r="AD844">
        <v>89.06</v>
      </c>
      <c r="AE844">
        <v>414</v>
      </c>
      <c r="AF844">
        <v>393</v>
      </c>
      <c r="AG844" s="11">
        <f>Supply_Chain[[#This Row],[Total_Cost]]/Supply_Chain[[#This Row],[Stock_On_Hand]]</f>
        <v>0.38428105241688765</v>
      </c>
    </row>
    <row r="845" spans="1:33" x14ac:dyDescent="0.25">
      <c r="A845" t="s">
        <v>2386</v>
      </c>
      <c r="B845" t="s">
        <v>2387</v>
      </c>
      <c r="C845" s="1">
        <v>44560</v>
      </c>
      <c r="D845" s="1">
        <v>44257</v>
      </c>
      <c r="E845" t="s">
        <v>55</v>
      </c>
      <c r="F845" t="s">
        <v>115</v>
      </c>
      <c r="G845" t="s">
        <v>65</v>
      </c>
      <c r="H845" t="s">
        <v>46</v>
      </c>
      <c r="I845" s="3" t="s">
        <v>3410</v>
      </c>
      <c r="J845" s="3" t="s">
        <v>3519</v>
      </c>
      <c r="K845" s="3" t="s">
        <v>3530</v>
      </c>
      <c r="L845" s="3" t="s">
        <v>4196</v>
      </c>
      <c r="M845">
        <v>152.81</v>
      </c>
      <c r="N845">
        <v>11</v>
      </c>
      <c r="O845">
        <f>Supply_Chain[[#This Row],[Unit_Price]]*Supply_Chain[[#This Row],[Quantity]]</f>
        <v>1680.91</v>
      </c>
      <c r="P845" t="s">
        <v>2388</v>
      </c>
      <c r="Q845" t="s">
        <v>48</v>
      </c>
      <c r="R845" t="s">
        <v>59</v>
      </c>
      <c r="S845" t="s">
        <v>50</v>
      </c>
      <c r="T845" t="s">
        <v>38</v>
      </c>
      <c r="U845" t="s">
        <v>207</v>
      </c>
      <c r="V845">
        <v>1353</v>
      </c>
      <c r="W845">
        <v>370</v>
      </c>
      <c r="X845">
        <v>5</v>
      </c>
      <c r="Y845">
        <v>144.84</v>
      </c>
      <c r="Z845">
        <v>366.46</v>
      </c>
      <c r="AA845" s="9">
        <v>511.3</v>
      </c>
      <c r="AB845" t="s">
        <v>52</v>
      </c>
      <c r="AC845">
        <v>0</v>
      </c>
      <c r="AD845">
        <v>75.63</v>
      </c>
      <c r="AE845">
        <v>478</v>
      </c>
      <c r="AF845">
        <v>438</v>
      </c>
      <c r="AG845" s="11">
        <f>Supply_Chain[[#This Row],[Total_Cost]]/Supply_Chain[[#This Row],[Stock_On_Hand]]</f>
        <v>0.37790096082779012</v>
      </c>
    </row>
    <row r="846" spans="1:33" x14ac:dyDescent="0.25">
      <c r="A846" t="s">
        <v>2389</v>
      </c>
      <c r="B846" t="s">
        <v>2390</v>
      </c>
      <c r="C846" s="1">
        <v>45425</v>
      </c>
      <c r="D846" s="1">
        <v>43878</v>
      </c>
      <c r="E846" t="s">
        <v>55</v>
      </c>
      <c r="F846" t="s">
        <v>31</v>
      </c>
      <c r="G846" t="s">
        <v>32</v>
      </c>
      <c r="H846" t="s">
        <v>128</v>
      </c>
      <c r="I846" s="3" t="s">
        <v>3411</v>
      </c>
      <c r="J846" s="3" t="s">
        <v>84</v>
      </c>
      <c r="K846" s="3" t="s">
        <v>3534</v>
      </c>
      <c r="L846" s="3" t="s">
        <v>4197</v>
      </c>
      <c r="M846">
        <v>207.61</v>
      </c>
      <c r="N846">
        <v>10</v>
      </c>
      <c r="O846">
        <f>Supply_Chain[[#This Row],[Unit_Price]]*Supply_Chain[[#This Row],[Quantity]]</f>
        <v>2076.1000000000004</v>
      </c>
      <c r="P846" t="s">
        <v>2391</v>
      </c>
      <c r="Q846" t="s">
        <v>35</v>
      </c>
      <c r="R846" t="s">
        <v>124</v>
      </c>
      <c r="S846" t="s">
        <v>50</v>
      </c>
      <c r="T846" t="s">
        <v>79</v>
      </c>
      <c r="U846" t="s">
        <v>270</v>
      </c>
      <c r="V846">
        <v>2883</v>
      </c>
      <c r="W846">
        <v>172</v>
      </c>
      <c r="X846">
        <v>20</v>
      </c>
      <c r="Y846">
        <v>1085.3499999999999</v>
      </c>
      <c r="Z846">
        <v>407.25</v>
      </c>
      <c r="AA846" s="9">
        <v>1492.6</v>
      </c>
      <c r="AB846" t="s">
        <v>52</v>
      </c>
      <c r="AC846">
        <v>0</v>
      </c>
      <c r="AD846">
        <v>85.92</v>
      </c>
      <c r="AE846">
        <v>395</v>
      </c>
      <c r="AF846">
        <v>385</v>
      </c>
      <c r="AG846" s="11">
        <f>Supply_Chain[[#This Row],[Total_Cost]]/Supply_Chain[[#This Row],[Stock_On_Hand]]</f>
        <v>0.51772459243843216</v>
      </c>
    </row>
    <row r="847" spans="1:33" x14ac:dyDescent="0.25">
      <c r="A847" t="s">
        <v>2392</v>
      </c>
      <c r="B847" t="s">
        <v>2393</v>
      </c>
      <c r="C847" s="1">
        <v>44168</v>
      </c>
      <c r="D847" s="1">
        <v>44995</v>
      </c>
      <c r="E847" t="s">
        <v>55</v>
      </c>
      <c r="F847" t="s">
        <v>64</v>
      </c>
      <c r="G847" t="s">
        <v>91</v>
      </c>
      <c r="H847" t="s">
        <v>116</v>
      </c>
      <c r="I847" s="3" t="s">
        <v>3412</v>
      </c>
      <c r="J847" s="3" t="s">
        <v>3518</v>
      </c>
      <c r="K847" s="3" t="s">
        <v>3533</v>
      </c>
      <c r="L847" s="3" t="s">
        <v>4198</v>
      </c>
      <c r="M847">
        <v>478.76</v>
      </c>
      <c r="N847">
        <v>23</v>
      </c>
      <c r="O847">
        <f>Supply_Chain[[#This Row],[Unit_Price]]*Supply_Chain[[#This Row],[Quantity]]</f>
        <v>11011.48</v>
      </c>
      <c r="P847" t="s">
        <v>551</v>
      </c>
      <c r="Q847" t="s">
        <v>110</v>
      </c>
      <c r="R847" t="s">
        <v>154</v>
      </c>
      <c r="S847" t="s">
        <v>37</v>
      </c>
      <c r="T847" t="s">
        <v>38</v>
      </c>
      <c r="U847" t="s">
        <v>611</v>
      </c>
      <c r="V847">
        <v>4704</v>
      </c>
      <c r="W847">
        <v>107</v>
      </c>
      <c r="X847">
        <v>6</v>
      </c>
      <c r="Y847">
        <v>1244.3900000000001</v>
      </c>
      <c r="Z847">
        <v>222.4</v>
      </c>
      <c r="AA847" s="9">
        <v>1466.79</v>
      </c>
      <c r="AB847" t="s">
        <v>52</v>
      </c>
      <c r="AC847">
        <v>0</v>
      </c>
      <c r="AD847">
        <v>81.739999999999995</v>
      </c>
      <c r="AE847">
        <v>261</v>
      </c>
      <c r="AF847">
        <v>216</v>
      </c>
      <c r="AG847" s="11">
        <f>Supply_Chain[[#This Row],[Total_Cost]]/Supply_Chain[[#This Row],[Stock_On_Hand]]</f>
        <v>0.31181760204081632</v>
      </c>
    </row>
    <row r="848" spans="1:33" x14ac:dyDescent="0.25">
      <c r="A848" t="s">
        <v>2394</v>
      </c>
      <c r="B848" t="s">
        <v>2395</v>
      </c>
      <c r="C848" s="1">
        <v>45172</v>
      </c>
      <c r="D848" s="1">
        <v>45170</v>
      </c>
      <c r="E848" t="s">
        <v>55</v>
      </c>
      <c r="F848" t="s">
        <v>31</v>
      </c>
      <c r="G848" t="s">
        <v>56</v>
      </c>
      <c r="H848" t="s">
        <v>46</v>
      </c>
      <c r="I848" s="3" t="s">
        <v>3413</v>
      </c>
      <c r="J848" s="3" t="s">
        <v>3518</v>
      </c>
      <c r="K848" s="3" t="s">
        <v>3521</v>
      </c>
      <c r="L848" s="3" t="s">
        <v>4199</v>
      </c>
      <c r="M848">
        <v>257.58999999999997</v>
      </c>
      <c r="N848">
        <v>2</v>
      </c>
      <c r="O848">
        <f>Supply_Chain[[#This Row],[Unit_Price]]*Supply_Chain[[#This Row],[Quantity]]</f>
        <v>515.17999999999995</v>
      </c>
      <c r="P848" t="s">
        <v>2396</v>
      </c>
      <c r="Q848" t="s">
        <v>35</v>
      </c>
      <c r="R848" t="s">
        <v>388</v>
      </c>
      <c r="S848" t="s">
        <v>70</v>
      </c>
      <c r="T848" t="s">
        <v>38</v>
      </c>
      <c r="U848" t="s">
        <v>177</v>
      </c>
      <c r="V848">
        <v>4415</v>
      </c>
      <c r="W848">
        <v>316</v>
      </c>
      <c r="X848">
        <v>25</v>
      </c>
      <c r="Y848">
        <v>98.78</v>
      </c>
      <c r="Z848">
        <v>414.03</v>
      </c>
      <c r="AA848" s="9">
        <v>512.80999999999995</v>
      </c>
      <c r="AB848" t="s">
        <v>52</v>
      </c>
      <c r="AC848">
        <v>0</v>
      </c>
      <c r="AD848">
        <v>92.6</v>
      </c>
      <c r="AE848">
        <v>170</v>
      </c>
      <c r="AF848">
        <v>168</v>
      </c>
      <c r="AG848" s="11">
        <f>Supply_Chain[[#This Row],[Total_Cost]]/Supply_Chain[[#This Row],[Stock_On_Hand]]</f>
        <v>0.11615175537938843</v>
      </c>
    </row>
    <row r="849" spans="1:33" x14ac:dyDescent="0.25">
      <c r="A849" t="s">
        <v>2397</v>
      </c>
      <c r="B849" t="s">
        <v>2398</v>
      </c>
      <c r="C849" s="1">
        <v>45622</v>
      </c>
      <c r="D849" s="1">
        <v>43994</v>
      </c>
      <c r="E849" t="s">
        <v>55</v>
      </c>
      <c r="F849" t="s">
        <v>115</v>
      </c>
      <c r="G849" t="s">
        <v>83</v>
      </c>
      <c r="H849" t="s">
        <v>33</v>
      </c>
      <c r="I849" s="3" t="s">
        <v>3414</v>
      </c>
      <c r="J849" s="3" t="s">
        <v>3518</v>
      </c>
      <c r="K849" s="3" t="s">
        <v>3521</v>
      </c>
      <c r="L849" s="3" t="s">
        <v>4200</v>
      </c>
      <c r="M849">
        <v>375.77</v>
      </c>
      <c r="N849">
        <v>83</v>
      </c>
      <c r="O849">
        <f>Supply_Chain[[#This Row],[Unit_Price]]*Supply_Chain[[#This Row],[Quantity]]</f>
        <v>31188.91</v>
      </c>
      <c r="P849" t="s">
        <v>1923</v>
      </c>
      <c r="Q849" t="s">
        <v>48</v>
      </c>
      <c r="R849" t="s">
        <v>118</v>
      </c>
      <c r="S849" t="s">
        <v>37</v>
      </c>
      <c r="T849" t="s">
        <v>38</v>
      </c>
      <c r="U849" t="s">
        <v>39</v>
      </c>
      <c r="V849">
        <v>3032</v>
      </c>
      <c r="W849">
        <v>230</v>
      </c>
      <c r="X849">
        <v>2</v>
      </c>
      <c r="Y849">
        <v>979.87</v>
      </c>
      <c r="Z849">
        <v>169.31</v>
      </c>
      <c r="AA849" s="9">
        <v>1149.18</v>
      </c>
      <c r="AB849" t="s">
        <v>52</v>
      </c>
      <c r="AC849">
        <v>0</v>
      </c>
      <c r="AD849">
        <v>91.24</v>
      </c>
      <c r="AE849">
        <v>458</v>
      </c>
      <c r="AF849">
        <v>487</v>
      </c>
      <c r="AG849" s="11">
        <f>Supply_Chain[[#This Row],[Total_Cost]]/Supply_Chain[[#This Row],[Stock_On_Hand]]</f>
        <v>0.37901715039577838</v>
      </c>
    </row>
    <row r="850" spans="1:33" x14ac:dyDescent="0.25">
      <c r="A850" t="s">
        <v>2399</v>
      </c>
      <c r="B850" t="s">
        <v>2400</v>
      </c>
      <c r="C850" s="1">
        <v>44715</v>
      </c>
      <c r="D850" s="1">
        <v>44082</v>
      </c>
      <c r="E850" t="s">
        <v>55</v>
      </c>
      <c r="F850" t="s">
        <v>75</v>
      </c>
      <c r="G850" t="s">
        <v>45</v>
      </c>
      <c r="H850" t="s">
        <v>33</v>
      </c>
      <c r="I850" s="3" t="s">
        <v>2911</v>
      </c>
      <c r="J850" s="3" t="s">
        <v>3518</v>
      </c>
      <c r="K850" s="3" t="s">
        <v>3524</v>
      </c>
      <c r="L850" s="3" t="s">
        <v>3710</v>
      </c>
      <c r="M850">
        <v>144.71</v>
      </c>
      <c r="N850">
        <v>29</v>
      </c>
      <c r="O850">
        <f>Supply_Chain[[#This Row],[Unit_Price]]*Supply_Chain[[#This Row],[Quantity]]</f>
        <v>4196.59</v>
      </c>
      <c r="P850" t="s">
        <v>2309</v>
      </c>
      <c r="Q850" t="s">
        <v>110</v>
      </c>
      <c r="R850" t="s">
        <v>264</v>
      </c>
      <c r="S850" t="s">
        <v>50</v>
      </c>
      <c r="T850" t="s">
        <v>38</v>
      </c>
      <c r="U850" t="s">
        <v>338</v>
      </c>
      <c r="V850">
        <v>4174</v>
      </c>
      <c r="W850">
        <v>232</v>
      </c>
      <c r="X850">
        <v>26</v>
      </c>
      <c r="Y850">
        <v>1203.1099999999999</v>
      </c>
      <c r="Z850">
        <v>285.43</v>
      </c>
      <c r="AA850" s="9">
        <v>1488.54</v>
      </c>
      <c r="AB850" t="s">
        <v>52</v>
      </c>
      <c r="AC850">
        <v>0</v>
      </c>
      <c r="AD850">
        <v>72.209999999999994</v>
      </c>
      <c r="AE850">
        <v>415</v>
      </c>
      <c r="AF850">
        <v>417</v>
      </c>
      <c r="AG850" s="11">
        <f>Supply_Chain[[#This Row],[Total_Cost]]/Supply_Chain[[#This Row],[Stock_On_Hand]]</f>
        <v>0.35662194537613801</v>
      </c>
    </row>
    <row r="851" spans="1:33" x14ac:dyDescent="0.25">
      <c r="A851" t="s">
        <v>2401</v>
      </c>
      <c r="B851" t="s">
        <v>2402</v>
      </c>
      <c r="C851" s="1">
        <v>44505</v>
      </c>
      <c r="D851" s="1">
        <v>44503</v>
      </c>
      <c r="E851" t="s">
        <v>43</v>
      </c>
      <c r="F851" t="s">
        <v>115</v>
      </c>
      <c r="G851" t="s">
        <v>32</v>
      </c>
      <c r="H851" t="s">
        <v>116</v>
      </c>
      <c r="I851" s="3" t="s">
        <v>3415</v>
      </c>
      <c r="J851" s="3" t="s">
        <v>3518</v>
      </c>
      <c r="K851" s="3" t="s">
        <v>3535</v>
      </c>
      <c r="L851" s="3" t="s">
        <v>4201</v>
      </c>
      <c r="M851">
        <v>299.73</v>
      </c>
      <c r="N851">
        <v>48</v>
      </c>
      <c r="O851">
        <f>Supply_Chain[[#This Row],[Unit_Price]]*Supply_Chain[[#This Row],[Quantity]]</f>
        <v>14387.04</v>
      </c>
      <c r="P851" t="s">
        <v>2403</v>
      </c>
      <c r="Q851" t="s">
        <v>35</v>
      </c>
      <c r="R851" t="s">
        <v>610</v>
      </c>
      <c r="S851" t="s">
        <v>50</v>
      </c>
      <c r="T851" t="s">
        <v>100</v>
      </c>
      <c r="U851" t="s">
        <v>270</v>
      </c>
      <c r="V851">
        <v>4031</v>
      </c>
      <c r="W851">
        <v>371</v>
      </c>
      <c r="X851">
        <v>15</v>
      </c>
      <c r="Y851">
        <v>604.16999999999996</v>
      </c>
      <c r="Z851">
        <v>407.53</v>
      </c>
      <c r="AA851" s="9">
        <v>1011.7</v>
      </c>
      <c r="AB851" t="s">
        <v>52</v>
      </c>
      <c r="AC851">
        <v>0</v>
      </c>
      <c r="AD851">
        <v>98.78</v>
      </c>
      <c r="AE851">
        <v>294</v>
      </c>
      <c r="AF851">
        <v>294</v>
      </c>
      <c r="AG851" s="11">
        <f>Supply_Chain[[#This Row],[Total_Cost]]/Supply_Chain[[#This Row],[Stock_On_Hand]]</f>
        <v>0.25097990573058798</v>
      </c>
    </row>
    <row r="852" spans="1:33" x14ac:dyDescent="0.25">
      <c r="A852" t="s">
        <v>2404</v>
      </c>
      <c r="B852" t="s">
        <v>2405</v>
      </c>
      <c r="C852" s="1">
        <v>44110</v>
      </c>
      <c r="D852" s="1">
        <v>45133</v>
      </c>
      <c r="E852" t="s">
        <v>55</v>
      </c>
      <c r="F852" t="s">
        <v>44</v>
      </c>
      <c r="G852" t="s">
        <v>76</v>
      </c>
      <c r="H852" t="s">
        <v>46</v>
      </c>
      <c r="I852" s="3" t="s">
        <v>3416</v>
      </c>
      <c r="J852" s="3" t="s">
        <v>3518</v>
      </c>
      <c r="K852" s="3" t="s">
        <v>3533</v>
      </c>
      <c r="L852" s="3" t="s">
        <v>4202</v>
      </c>
      <c r="M852">
        <v>293.08</v>
      </c>
      <c r="N852">
        <v>71</v>
      </c>
      <c r="O852">
        <f>Supply_Chain[[#This Row],[Unit_Price]]*Supply_Chain[[#This Row],[Quantity]]</f>
        <v>20808.68</v>
      </c>
      <c r="P852" t="s">
        <v>2406</v>
      </c>
      <c r="Q852" t="s">
        <v>68</v>
      </c>
      <c r="R852" t="s">
        <v>610</v>
      </c>
      <c r="S852" t="s">
        <v>37</v>
      </c>
      <c r="T852" t="s">
        <v>71</v>
      </c>
      <c r="U852" t="s">
        <v>125</v>
      </c>
      <c r="V852">
        <v>3257</v>
      </c>
      <c r="W852">
        <v>51</v>
      </c>
      <c r="X852">
        <v>18</v>
      </c>
      <c r="Y852">
        <v>354.93</v>
      </c>
      <c r="Z852">
        <v>423.35</v>
      </c>
      <c r="AA852" s="9">
        <v>778.28</v>
      </c>
      <c r="AB852" t="s">
        <v>52</v>
      </c>
      <c r="AC852">
        <v>0</v>
      </c>
      <c r="AD852">
        <v>90.7</v>
      </c>
      <c r="AE852">
        <v>68</v>
      </c>
      <c r="AF852">
        <v>24</v>
      </c>
      <c r="AG852" s="11">
        <f>Supply_Chain[[#This Row],[Total_Cost]]/Supply_Chain[[#This Row],[Stock_On_Hand]]</f>
        <v>0.23895609456555111</v>
      </c>
    </row>
    <row r="853" spans="1:33" x14ac:dyDescent="0.25">
      <c r="A853" t="s">
        <v>2407</v>
      </c>
      <c r="B853" t="s">
        <v>2408</v>
      </c>
      <c r="C853" s="1">
        <v>45207</v>
      </c>
      <c r="D853" s="1">
        <v>45545</v>
      </c>
      <c r="E853" t="s">
        <v>55</v>
      </c>
      <c r="F853" t="s">
        <v>115</v>
      </c>
      <c r="G853" t="s">
        <v>56</v>
      </c>
      <c r="H853" t="s">
        <v>57</v>
      </c>
      <c r="I853" s="3" t="s">
        <v>3417</v>
      </c>
      <c r="J853" s="3" t="s">
        <v>3518</v>
      </c>
      <c r="K853" s="3" t="s">
        <v>3533</v>
      </c>
      <c r="L853" s="3" t="s">
        <v>4203</v>
      </c>
      <c r="M853">
        <v>61.01</v>
      </c>
      <c r="N853">
        <v>90</v>
      </c>
      <c r="O853">
        <f>Supply_Chain[[#This Row],[Unit_Price]]*Supply_Chain[[#This Row],[Quantity]]</f>
        <v>5490.9</v>
      </c>
      <c r="P853" t="s">
        <v>1009</v>
      </c>
      <c r="Q853" t="s">
        <v>110</v>
      </c>
      <c r="R853" t="s">
        <v>610</v>
      </c>
      <c r="S853" t="s">
        <v>50</v>
      </c>
      <c r="T853" t="s">
        <v>71</v>
      </c>
      <c r="U853" t="s">
        <v>446</v>
      </c>
      <c r="V853">
        <v>2839</v>
      </c>
      <c r="W853">
        <v>95</v>
      </c>
      <c r="X853">
        <v>22</v>
      </c>
      <c r="Y853">
        <v>257.27</v>
      </c>
      <c r="Z853">
        <v>375.2</v>
      </c>
      <c r="AA853" s="9">
        <v>632.47</v>
      </c>
      <c r="AB853" t="s">
        <v>52</v>
      </c>
      <c r="AC853">
        <v>0</v>
      </c>
      <c r="AD853">
        <v>93.81</v>
      </c>
      <c r="AE853">
        <v>430</v>
      </c>
      <c r="AF853">
        <v>394</v>
      </c>
      <c r="AG853" s="11">
        <f>Supply_Chain[[#This Row],[Total_Cost]]/Supply_Chain[[#This Row],[Stock_On_Hand]]</f>
        <v>0.22277914758717859</v>
      </c>
    </row>
    <row r="854" spans="1:33" x14ac:dyDescent="0.25">
      <c r="A854" t="s">
        <v>2409</v>
      </c>
      <c r="B854" t="s">
        <v>2410</v>
      </c>
      <c r="C854" s="1">
        <v>45278</v>
      </c>
      <c r="D854" s="1">
        <v>45397</v>
      </c>
      <c r="E854" t="s">
        <v>55</v>
      </c>
      <c r="F854" t="s">
        <v>64</v>
      </c>
      <c r="G854" t="s">
        <v>32</v>
      </c>
      <c r="H854" t="s">
        <v>66</v>
      </c>
      <c r="I854" s="3" t="s">
        <v>3418</v>
      </c>
      <c r="J854" s="3" t="s">
        <v>3518</v>
      </c>
      <c r="K854" s="3" t="s">
        <v>3525</v>
      </c>
      <c r="L854" s="3" t="s">
        <v>4204</v>
      </c>
      <c r="M854">
        <v>311.93</v>
      </c>
      <c r="N854">
        <v>84</v>
      </c>
      <c r="O854">
        <f>Supply_Chain[[#This Row],[Unit_Price]]*Supply_Chain[[#This Row],[Quantity]]</f>
        <v>26202.12</v>
      </c>
      <c r="P854" t="s">
        <v>406</v>
      </c>
      <c r="Q854" t="s">
        <v>86</v>
      </c>
      <c r="R854" t="s">
        <v>819</v>
      </c>
      <c r="S854" t="s">
        <v>70</v>
      </c>
      <c r="T854" t="s">
        <v>71</v>
      </c>
      <c r="U854" t="s">
        <v>489</v>
      </c>
      <c r="V854">
        <v>3611</v>
      </c>
      <c r="W854">
        <v>148</v>
      </c>
      <c r="X854">
        <v>11</v>
      </c>
      <c r="Y854">
        <v>1043.8399999999999</v>
      </c>
      <c r="Z854">
        <v>328.95</v>
      </c>
      <c r="AA854" s="9">
        <v>1372.79</v>
      </c>
      <c r="AB854" t="s">
        <v>52</v>
      </c>
      <c r="AC854">
        <v>0</v>
      </c>
      <c r="AD854">
        <v>76.88</v>
      </c>
      <c r="AE854">
        <v>444</v>
      </c>
      <c r="AF854">
        <v>456</v>
      </c>
      <c r="AG854" s="11">
        <f>Supply_Chain[[#This Row],[Total_Cost]]/Supply_Chain[[#This Row],[Stock_On_Hand]]</f>
        <v>0.38016892827471616</v>
      </c>
    </row>
    <row r="855" spans="1:33" x14ac:dyDescent="0.25">
      <c r="A855" t="s">
        <v>2411</v>
      </c>
      <c r="B855" t="s">
        <v>2412</v>
      </c>
      <c r="C855" s="1">
        <v>44702</v>
      </c>
      <c r="D855" s="1">
        <v>44958</v>
      </c>
      <c r="E855" t="s">
        <v>55</v>
      </c>
      <c r="F855" t="s">
        <v>75</v>
      </c>
      <c r="G855" t="s">
        <v>91</v>
      </c>
      <c r="H855" t="s">
        <v>46</v>
      </c>
      <c r="I855" s="3" t="s">
        <v>3018</v>
      </c>
      <c r="J855" s="3" t="s">
        <v>3518</v>
      </c>
      <c r="K855" s="3" t="s">
        <v>3522</v>
      </c>
      <c r="L855" s="3" t="s">
        <v>3815</v>
      </c>
      <c r="M855">
        <v>170.88</v>
      </c>
      <c r="N855">
        <v>38</v>
      </c>
      <c r="O855">
        <f>Supply_Chain[[#This Row],[Unit_Price]]*Supply_Chain[[#This Row],[Quantity]]</f>
        <v>6493.44</v>
      </c>
      <c r="P855" t="s">
        <v>2413</v>
      </c>
      <c r="Q855" t="s">
        <v>48</v>
      </c>
      <c r="R855" t="s">
        <v>344</v>
      </c>
      <c r="S855" t="s">
        <v>37</v>
      </c>
      <c r="T855" t="s">
        <v>100</v>
      </c>
      <c r="U855" t="s">
        <v>112</v>
      </c>
      <c r="V855">
        <v>1146</v>
      </c>
      <c r="W855">
        <v>165</v>
      </c>
      <c r="X855">
        <v>22</v>
      </c>
      <c r="Y855">
        <v>1879.21</v>
      </c>
      <c r="Z855">
        <v>318.58999999999997</v>
      </c>
      <c r="AA855" s="9">
        <v>2197.8000000000002</v>
      </c>
      <c r="AB855" t="s">
        <v>40</v>
      </c>
      <c r="AC855">
        <v>6</v>
      </c>
      <c r="AD855">
        <v>83.47</v>
      </c>
      <c r="AE855">
        <v>146</v>
      </c>
      <c r="AF855">
        <v>113</v>
      </c>
      <c r="AG855" s="11">
        <f>Supply_Chain[[#This Row],[Total_Cost]]/Supply_Chain[[#This Row],[Stock_On_Hand]]</f>
        <v>1.917801047120419</v>
      </c>
    </row>
    <row r="856" spans="1:33" x14ac:dyDescent="0.25">
      <c r="A856" t="s">
        <v>2414</v>
      </c>
      <c r="B856" t="s">
        <v>2415</v>
      </c>
      <c r="C856" s="1">
        <v>44318</v>
      </c>
      <c r="D856" s="1">
        <v>44108</v>
      </c>
      <c r="E856" t="s">
        <v>55</v>
      </c>
      <c r="F856" t="s">
        <v>64</v>
      </c>
      <c r="G856" t="s">
        <v>56</v>
      </c>
      <c r="H856" t="s">
        <v>66</v>
      </c>
      <c r="I856" s="3" t="s">
        <v>3419</v>
      </c>
      <c r="J856" s="3" t="s">
        <v>3518</v>
      </c>
      <c r="K856" s="3" t="s">
        <v>3521</v>
      </c>
      <c r="L856" s="3" t="s">
        <v>4205</v>
      </c>
      <c r="M856">
        <v>282.47000000000003</v>
      </c>
      <c r="N856">
        <v>45</v>
      </c>
      <c r="O856">
        <f>Supply_Chain[[#This Row],[Unit_Price]]*Supply_Chain[[#This Row],[Quantity]]</f>
        <v>12711.150000000001</v>
      </c>
      <c r="P856" t="s">
        <v>1006</v>
      </c>
      <c r="Q856" t="s">
        <v>35</v>
      </c>
      <c r="R856" t="s">
        <v>195</v>
      </c>
      <c r="S856" t="s">
        <v>70</v>
      </c>
      <c r="T856" t="s">
        <v>71</v>
      </c>
      <c r="U856" t="s">
        <v>310</v>
      </c>
      <c r="V856">
        <v>1531</v>
      </c>
      <c r="W856">
        <v>154</v>
      </c>
      <c r="X856">
        <v>17</v>
      </c>
      <c r="Y856">
        <v>1529.97</v>
      </c>
      <c r="Z856">
        <v>233.56</v>
      </c>
      <c r="AA856" s="9">
        <v>1763.53</v>
      </c>
      <c r="AB856" t="s">
        <v>52</v>
      </c>
      <c r="AC856">
        <v>0</v>
      </c>
      <c r="AD856">
        <v>90.78</v>
      </c>
      <c r="AE856">
        <v>96</v>
      </c>
      <c r="AF856">
        <v>83</v>
      </c>
      <c r="AG856" s="11">
        <f>Supply_Chain[[#This Row],[Total_Cost]]/Supply_Chain[[#This Row],[Stock_On_Hand]]</f>
        <v>1.1518811234487263</v>
      </c>
    </row>
    <row r="857" spans="1:33" x14ac:dyDescent="0.25">
      <c r="A857" t="s">
        <v>2416</v>
      </c>
      <c r="B857" t="s">
        <v>2417</v>
      </c>
      <c r="C857" s="1">
        <v>44169</v>
      </c>
      <c r="D857" s="1">
        <v>44354</v>
      </c>
      <c r="E857" t="s">
        <v>55</v>
      </c>
      <c r="F857" t="s">
        <v>64</v>
      </c>
      <c r="G857" t="s">
        <v>83</v>
      </c>
      <c r="H857" t="s">
        <v>166</v>
      </c>
      <c r="I857" s="3" t="s">
        <v>3135</v>
      </c>
      <c r="J857" s="3" t="s">
        <v>3518</v>
      </c>
      <c r="K857" s="3" t="s">
        <v>3521</v>
      </c>
      <c r="L857" s="3" t="s">
        <v>3930</v>
      </c>
      <c r="M857">
        <v>406.69</v>
      </c>
      <c r="N857">
        <v>36</v>
      </c>
      <c r="O857">
        <f>Supply_Chain[[#This Row],[Unit_Price]]*Supply_Chain[[#This Row],[Quantity]]</f>
        <v>14640.84</v>
      </c>
      <c r="P857" t="s">
        <v>230</v>
      </c>
      <c r="Q857" t="s">
        <v>110</v>
      </c>
      <c r="R857" t="s">
        <v>154</v>
      </c>
      <c r="S857" t="s">
        <v>37</v>
      </c>
      <c r="T857" t="s">
        <v>100</v>
      </c>
      <c r="U857" t="s">
        <v>338</v>
      </c>
      <c r="V857">
        <v>1181</v>
      </c>
      <c r="W857">
        <v>401</v>
      </c>
      <c r="X857">
        <v>11</v>
      </c>
      <c r="Y857">
        <v>1869.3</v>
      </c>
      <c r="Z857">
        <v>411.7</v>
      </c>
      <c r="AA857" s="9">
        <v>2281</v>
      </c>
      <c r="AB857" t="s">
        <v>52</v>
      </c>
      <c r="AC857">
        <v>0</v>
      </c>
      <c r="AD857">
        <v>87.3</v>
      </c>
      <c r="AE857">
        <v>107</v>
      </c>
      <c r="AF857">
        <v>124</v>
      </c>
      <c r="AG857" s="11">
        <f>Supply_Chain[[#This Row],[Total_Cost]]/Supply_Chain[[#This Row],[Stock_On_Hand]]</f>
        <v>1.9314140558848434</v>
      </c>
    </row>
    <row r="858" spans="1:33" x14ac:dyDescent="0.25">
      <c r="A858" t="s">
        <v>2418</v>
      </c>
      <c r="B858" t="s">
        <v>2419</v>
      </c>
      <c r="C858" s="1">
        <v>44194</v>
      </c>
      <c r="D858" s="1">
        <v>45653</v>
      </c>
      <c r="E858" t="s">
        <v>55</v>
      </c>
      <c r="F858" t="s">
        <v>64</v>
      </c>
      <c r="G858" t="s">
        <v>65</v>
      </c>
      <c r="H858" t="s">
        <v>116</v>
      </c>
      <c r="I858" s="3" t="s">
        <v>3420</v>
      </c>
      <c r="J858" s="3" t="s">
        <v>3518</v>
      </c>
      <c r="K858" s="3" t="s">
        <v>3524</v>
      </c>
      <c r="L858" s="3" t="s">
        <v>4206</v>
      </c>
      <c r="M858">
        <v>290.57</v>
      </c>
      <c r="N858">
        <v>25</v>
      </c>
      <c r="O858">
        <f>Supply_Chain[[#This Row],[Unit_Price]]*Supply_Chain[[#This Row],[Quantity]]</f>
        <v>7264.25</v>
      </c>
      <c r="P858" t="s">
        <v>1043</v>
      </c>
      <c r="Q858" t="s">
        <v>86</v>
      </c>
      <c r="R858" t="s">
        <v>176</v>
      </c>
      <c r="S858" t="s">
        <v>119</v>
      </c>
      <c r="T858" t="s">
        <v>71</v>
      </c>
      <c r="U858" t="s">
        <v>207</v>
      </c>
      <c r="V858">
        <v>69</v>
      </c>
      <c r="W858">
        <v>246</v>
      </c>
      <c r="X858">
        <v>28</v>
      </c>
      <c r="Y858">
        <v>1106.44</v>
      </c>
      <c r="Z858">
        <v>48.48</v>
      </c>
      <c r="AA858" s="9">
        <v>1154.92</v>
      </c>
      <c r="AB858" t="s">
        <v>52</v>
      </c>
      <c r="AC858">
        <v>0</v>
      </c>
      <c r="AD858">
        <v>86.13</v>
      </c>
      <c r="AE858">
        <v>452</v>
      </c>
      <c r="AF858">
        <v>432</v>
      </c>
      <c r="AG858" s="11">
        <f>Supply_Chain[[#This Row],[Total_Cost]]/Supply_Chain[[#This Row],[Stock_On_Hand]]</f>
        <v>16.737971014492754</v>
      </c>
    </row>
    <row r="859" spans="1:33" x14ac:dyDescent="0.25">
      <c r="A859" t="s">
        <v>2420</v>
      </c>
      <c r="B859" t="s">
        <v>2421</v>
      </c>
      <c r="C859" s="1">
        <v>44566</v>
      </c>
      <c r="D859" s="1">
        <v>44841</v>
      </c>
      <c r="E859" t="s">
        <v>43</v>
      </c>
      <c r="F859" t="s">
        <v>31</v>
      </c>
      <c r="G859" t="s">
        <v>65</v>
      </c>
      <c r="H859" t="s">
        <v>128</v>
      </c>
      <c r="I859" s="3" t="s">
        <v>3421</v>
      </c>
      <c r="J859" s="3" t="s">
        <v>3519</v>
      </c>
      <c r="K859" s="3" t="s">
        <v>3530</v>
      </c>
      <c r="L859" s="3" t="s">
        <v>4207</v>
      </c>
      <c r="M859">
        <v>474.24</v>
      </c>
      <c r="N859">
        <v>36</v>
      </c>
      <c r="O859">
        <f>Supply_Chain[[#This Row],[Unit_Price]]*Supply_Chain[[#This Row],[Quantity]]</f>
        <v>17072.64</v>
      </c>
      <c r="P859" t="s">
        <v>757</v>
      </c>
      <c r="Q859" t="s">
        <v>35</v>
      </c>
      <c r="R859" t="s">
        <v>819</v>
      </c>
      <c r="S859" t="s">
        <v>50</v>
      </c>
      <c r="T859" t="s">
        <v>60</v>
      </c>
      <c r="U859" t="s">
        <v>459</v>
      </c>
      <c r="V859">
        <v>2263</v>
      </c>
      <c r="W859">
        <v>416</v>
      </c>
      <c r="X859">
        <v>16</v>
      </c>
      <c r="Y859">
        <v>1672.96</v>
      </c>
      <c r="Z859">
        <v>393.79</v>
      </c>
      <c r="AA859" s="9">
        <v>2066.75</v>
      </c>
      <c r="AB859" t="s">
        <v>52</v>
      </c>
      <c r="AC859">
        <v>0</v>
      </c>
      <c r="AD859">
        <v>82.57</v>
      </c>
      <c r="AE859">
        <v>216</v>
      </c>
      <c r="AF859">
        <v>238</v>
      </c>
      <c r="AG859" s="11">
        <f>Supply_Chain[[#This Row],[Total_Cost]]/Supply_Chain[[#This Row],[Stock_On_Hand]]</f>
        <v>0.9132788334069819</v>
      </c>
    </row>
    <row r="860" spans="1:33" x14ac:dyDescent="0.25">
      <c r="A860" t="s">
        <v>2422</v>
      </c>
      <c r="B860" t="s">
        <v>2423</v>
      </c>
      <c r="C860" s="1">
        <v>44504</v>
      </c>
      <c r="D860" s="1">
        <v>44572</v>
      </c>
      <c r="E860" t="s">
        <v>55</v>
      </c>
      <c r="F860" t="s">
        <v>115</v>
      </c>
      <c r="G860" t="s">
        <v>76</v>
      </c>
      <c r="H860" t="s">
        <v>66</v>
      </c>
      <c r="I860" s="3" t="s">
        <v>3422</v>
      </c>
      <c r="J860" s="3" t="s">
        <v>3519</v>
      </c>
      <c r="K860" s="3" t="s">
        <v>3528</v>
      </c>
      <c r="L860" s="3" t="s">
        <v>4208</v>
      </c>
      <c r="M860">
        <v>493.74</v>
      </c>
      <c r="N860">
        <v>76</v>
      </c>
      <c r="O860">
        <f>Supply_Chain[[#This Row],[Unit_Price]]*Supply_Chain[[#This Row],[Quantity]]</f>
        <v>37524.239999999998</v>
      </c>
      <c r="P860" t="s">
        <v>652</v>
      </c>
      <c r="Q860" t="s">
        <v>48</v>
      </c>
      <c r="R860" t="s">
        <v>118</v>
      </c>
      <c r="S860" t="s">
        <v>37</v>
      </c>
      <c r="T860" t="s">
        <v>71</v>
      </c>
      <c r="U860" t="s">
        <v>489</v>
      </c>
      <c r="V860">
        <v>529</v>
      </c>
      <c r="W860">
        <v>107</v>
      </c>
      <c r="X860">
        <v>1</v>
      </c>
      <c r="Y860">
        <v>1563.58</v>
      </c>
      <c r="Z860">
        <v>289.45</v>
      </c>
      <c r="AA860" s="9">
        <v>1853.03</v>
      </c>
      <c r="AB860" t="s">
        <v>52</v>
      </c>
      <c r="AC860">
        <v>0</v>
      </c>
      <c r="AD860">
        <v>89.59</v>
      </c>
      <c r="AE860">
        <v>131</v>
      </c>
      <c r="AF860">
        <v>139</v>
      </c>
      <c r="AG860" s="11">
        <f>Supply_Chain[[#This Row],[Total_Cost]]/Supply_Chain[[#This Row],[Stock_On_Hand]]</f>
        <v>3.50289224952741</v>
      </c>
    </row>
    <row r="861" spans="1:33" x14ac:dyDescent="0.25">
      <c r="A861" t="s">
        <v>2424</v>
      </c>
      <c r="B861" t="s">
        <v>2425</v>
      </c>
      <c r="C861" s="1">
        <v>44480</v>
      </c>
      <c r="D861" s="1">
        <v>44778</v>
      </c>
      <c r="E861" t="s">
        <v>55</v>
      </c>
      <c r="F861" t="s">
        <v>75</v>
      </c>
      <c r="G861" t="s">
        <v>83</v>
      </c>
      <c r="H861" t="s">
        <v>128</v>
      </c>
      <c r="I861" s="3" t="s">
        <v>3423</v>
      </c>
      <c r="J861" s="3" t="s">
        <v>84</v>
      </c>
      <c r="K861" s="3" t="s">
        <v>3526</v>
      </c>
      <c r="L861" s="3" t="s">
        <v>4209</v>
      </c>
      <c r="M861">
        <v>210.39</v>
      </c>
      <c r="N861">
        <v>42</v>
      </c>
      <c r="O861">
        <f>Supply_Chain[[#This Row],[Unit_Price]]*Supply_Chain[[#This Row],[Quantity]]</f>
        <v>8836.3799999999992</v>
      </c>
      <c r="P861" t="s">
        <v>1231</v>
      </c>
      <c r="Q861" t="s">
        <v>86</v>
      </c>
      <c r="R861" t="s">
        <v>253</v>
      </c>
      <c r="S861" t="s">
        <v>37</v>
      </c>
      <c r="T861" t="s">
        <v>38</v>
      </c>
      <c r="U861" t="s">
        <v>389</v>
      </c>
      <c r="V861">
        <v>1718</v>
      </c>
      <c r="W861">
        <v>334</v>
      </c>
      <c r="X861">
        <v>21</v>
      </c>
      <c r="Y861">
        <v>696.05</v>
      </c>
      <c r="Z861">
        <v>123.19</v>
      </c>
      <c r="AA861" s="9">
        <v>819.24</v>
      </c>
      <c r="AB861" t="s">
        <v>52</v>
      </c>
      <c r="AC861">
        <v>0</v>
      </c>
      <c r="AD861">
        <v>96.06</v>
      </c>
      <c r="AE861">
        <v>119</v>
      </c>
      <c r="AF861">
        <v>84</v>
      </c>
      <c r="AG861" s="11">
        <f>Supply_Chain[[#This Row],[Total_Cost]]/Supply_Chain[[#This Row],[Stock_On_Hand]]</f>
        <v>0.4768568102444703</v>
      </c>
    </row>
    <row r="862" spans="1:33" x14ac:dyDescent="0.25">
      <c r="A862" t="s">
        <v>2426</v>
      </c>
      <c r="B862" t="s">
        <v>2427</v>
      </c>
      <c r="C862" s="1">
        <v>45138</v>
      </c>
      <c r="D862" s="1">
        <v>44995</v>
      </c>
      <c r="E862" t="s">
        <v>55</v>
      </c>
      <c r="F862" t="s">
        <v>44</v>
      </c>
      <c r="G862" t="s">
        <v>91</v>
      </c>
      <c r="H862" t="s">
        <v>46</v>
      </c>
      <c r="I862" s="3" t="s">
        <v>3424</v>
      </c>
      <c r="J862" s="3" t="s">
        <v>84</v>
      </c>
      <c r="K862" s="3" t="s">
        <v>3526</v>
      </c>
      <c r="L862" s="3" t="s">
        <v>4210</v>
      </c>
      <c r="M862">
        <v>274.24</v>
      </c>
      <c r="N862">
        <v>53</v>
      </c>
      <c r="O862">
        <f>Supply_Chain[[#This Row],[Unit_Price]]*Supply_Chain[[#This Row],[Quantity]]</f>
        <v>14534.720000000001</v>
      </c>
      <c r="P862" t="s">
        <v>432</v>
      </c>
      <c r="Q862" t="s">
        <v>48</v>
      </c>
      <c r="R862" t="s">
        <v>195</v>
      </c>
      <c r="S862" t="s">
        <v>37</v>
      </c>
      <c r="T862" t="s">
        <v>79</v>
      </c>
      <c r="U862" t="s">
        <v>39</v>
      </c>
      <c r="V862">
        <v>1953</v>
      </c>
      <c r="W862">
        <v>243</v>
      </c>
      <c r="X862">
        <v>28</v>
      </c>
      <c r="Y862">
        <v>178.35</v>
      </c>
      <c r="Z862">
        <v>305.45999999999998</v>
      </c>
      <c r="AA862" s="9">
        <v>483.80999999999989</v>
      </c>
      <c r="AB862" t="s">
        <v>52</v>
      </c>
      <c r="AC862">
        <v>0</v>
      </c>
      <c r="AD862">
        <v>72.28</v>
      </c>
      <c r="AE862">
        <v>167</v>
      </c>
      <c r="AF862">
        <v>195</v>
      </c>
      <c r="AG862" s="11">
        <f>Supply_Chain[[#This Row],[Total_Cost]]/Supply_Chain[[#This Row],[Stock_On_Hand]]</f>
        <v>0.24772657450076799</v>
      </c>
    </row>
    <row r="863" spans="1:33" x14ac:dyDescent="0.25">
      <c r="A863" t="s">
        <v>2428</v>
      </c>
      <c r="B863" t="s">
        <v>2429</v>
      </c>
      <c r="C863" s="1">
        <v>43940</v>
      </c>
      <c r="D863" s="1">
        <v>45474</v>
      </c>
      <c r="E863" t="s">
        <v>55</v>
      </c>
      <c r="F863" t="s">
        <v>64</v>
      </c>
      <c r="G863" t="s">
        <v>83</v>
      </c>
      <c r="H863" t="s">
        <v>128</v>
      </c>
      <c r="I863" s="3" t="s">
        <v>3425</v>
      </c>
      <c r="J863" s="3" t="s">
        <v>84</v>
      </c>
      <c r="K863" s="3" t="s">
        <v>3534</v>
      </c>
      <c r="L863" s="3" t="s">
        <v>4211</v>
      </c>
      <c r="M863">
        <v>123.09</v>
      </c>
      <c r="N863">
        <v>10</v>
      </c>
      <c r="O863">
        <f>Supply_Chain[[#This Row],[Unit_Price]]*Supply_Chain[[#This Row],[Quantity]]</f>
        <v>1230.9000000000001</v>
      </c>
      <c r="P863" t="s">
        <v>2430</v>
      </c>
      <c r="Q863" t="s">
        <v>48</v>
      </c>
      <c r="R863" t="s">
        <v>124</v>
      </c>
      <c r="S863" t="s">
        <v>37</v>
      </c>
      <c r="T863" t="s">
        <v>100</v>
      </c>
      <c r="U863" t="s">
        <v>389</v>
      </c>
      <c r="V863">
        <v>1476</v>
      </c>
      <c r="W863">
        <v>165</v>
      </c>
      <c r="X863">
        <v>24</v>
      </c>
      <c r="Y863">
        <v>187.19</v>
      </c>
      <c r="Z863">
        <v>458.45</v>
      </c>
      <c r="AA863" s="9">
        <v>645.64</v>
      </c>
      <c r="AB863" t="s">
        <v>52</v>
      </c>
      <c r="AC863">
        <v>0</v>
      </c>
      <c r="AD863">
        <v>85.68</v>
      </c>
      <c r="AE863">
        <v>235</v>
      </c>
      <c r="AF863">
        <v>276</v>
      </c>
      <c r="AG863" s="11">
        <f>Supply_Chain[[#This Row],[Total_Cost]]/Supply_Chain[[#This Row],[Stock_On_Hand]]</f>
        <v>0.43742547425474254</v>
      </c>
    </row>
    <row r="864" spans="1:33" x14ac:dyDescent="0.25">
      <c r="A864" t="s">
        <v>2431</v>
      </c>
      <c r="B864" t="s">
        <v>2432</v>
      </c>
      <c r="C864" s="1">
        <v>45249</v>
      </c>
      <c r="D864" s="1">
        <v>45303</v>
      </c>
      <c r="E864" t="s">
        <v>55</v>
      </c>
      <c r="F864" t="s">
        <v>75</v>
      </c>
      <c r="G864" t="s">
        <v>65</v>
      </c>
      <c r="H864" t="s">
        <v>57</v>
      </c>
      <c r="I864" s="3" t="s">
        <v>2991</v>
      </c>
      <c r="J864" s="3" t="s">
        <v>3518</v>
      </c>
      <c r="K864" s="3" t="s">
        <v>3533</v>
      </c>
      <c r="L864" s="3" t="s">
        <v>3789</v>
      </c>
      <c r="M864">
        <v>445.22</v>
      </c>
      <c r="N864">
        <v>74</v>
      </c>
      <c r="O864">
        <f>Supply_Chain[[#This Row],[Unit_Price]]*Supply_Chain[[#This Row],[Quantity]]</f>
        <v>32946.28</v>
      </c>
      <c r="P864" t="s">
        <v>870</v>
      </c>
      <c r="Q864" t="s">
        <v>110</v>
      </c>
      <c r="R864" t="s">
        <v>419</v>
      </c>
      <c r="S864" t="s">
        <v>70</v>
      </c>
      <c r="T864" t="s">
        <v>60</v>
      </c>
      <c r="U864" t="s">
        <v>182</v>
      </c>
      <c r="V864">
        <v>2964</v>
      </c>
      <c r="W864">
        <v>396</v>
      </c>
      <c r="X864">
        <v>9</v>
      </c>
      <c r="Y864">
        <v>590.41999999999996</v>
      </c>
      <c r="Z864">
        <v>452.76</v>
      </c>
      <c r="AA864" s="9">
        <v>1043.18</v>
      </c>
      <c r="AB864" t="s">
        <v>52</v>
      </c>
      <c r="AC864">
        <v>0</v>
      </c>
      <c r="AD864">
        <v>98.28</v>
      </c>
      <c r="AE864">
        <v>407</v>
      </c>
      <c r="AF864">
        <v>429</v>
      </c>
      <c r="AG864" s="11">
        <f>Supply_Chain[[#This Row],[Total_Cost]]/Supply_Chain[[#This Row],[Stock_On_Hand]]</f>
        <v>0.3519500674763833</v>
      </c>
    </row>
    <row r="865" spans="1:33" x14ac:dyDescent="0.25">
      <c r="A865" t="s">
        <v>2433</v>
      </c>
      <c r="B865" t="s">
        <v>2434</v>
      </c>
      <c r="C865" s="1">
        <v>44273</v>
      </c>
      <c r="D865" s="1">
        <v>45485</v>
      </c>
      <c r="E865" t="s">
        <v>55</v>
      </c>
      <c r="F865" t="s">
        <v>31</v>
      </c>
      <c r="G865" t="s">
        <v>83</v>
      </c>
      <c r="H865" t="s">
        <v>128</v>
      </c>
      <c r="I865" s="3" t="s">
        <v>3426</v>
      </c>
      <c r="J865" s="3" t="s">
        <v>3518</v>
      </c>
      <c r="K865" s="3" t="s">
        <v>3525</v>
      </c>
      <c r="L865" s="3" t="s">
        <v>4212</v>
      </c>
      <c r="M865">
        <v>343.23</v>
      </c>
      <c r="N865">
        <v>84</v>
      </c>
      <c r="O865">
        <f>Supply_Chain[[#This Row],[Unit_Price]]*Supply_Chain[[#This Row],[Quantity]]</f>
        <v>28831.32</v>
      </c>
      <c r="P865" t="s">
        <v>2435</v>
      </c>
      <c r="Q865" t="s">
        <v>68</v>
      </c>
      <c r="R865" t="s">
        <v>99</v>
      </c>
      <c r="S865" t="s">
        <v>37</v>
      </c>
      <c r="T865" t="s">
        <v>38</v>
      </c>
      <c r="U865" t="s">
        <v>112</v>
      </c>
      <c r="V865">
        <v>400</v>
      </c>
      <c r="W865">
        <v>68</v>
      </c>
      <c r="X865">
        <v>7</v>
      </c>
      <c r="Y865">
        <v>1669.2</v>
      </c>
      <c r="Z865">
        <v>57.29</v>
      </c>
      <c r="AA865" s="9">
        <v>1726.49</v>
      </c>
      <c r="AB865" t="s">
        <v>52</v>
      </c>
      <c r="AC865">
        <v>0</v>
      </c>
      <c r="AD865">
        <v>83.77</v>
      </c>
      <c r="AE865">
        <v>249</v>
      </c>
      <c r="AF865">
        <v>244</v>
      </c>
      <c r="AG865" s="11">
        <f>Supply_Chain[[#This Row],[Total_Cost]]/Supply_Chain[[#This Row],[Stock_On_Hand]]</f>
        <v>4.3162250000000002</v>
      </c>
    </row>
    <row r="866" spans="1:33" x14ac:dyDescent="0.25">
      <c r="A866" t="s">
        <v>2436</v>
      </c>
      <c r="B866" t="s">
        <v>2437</v>
      </c>
      <c r="C866" s="1">
        <v>44670</v>
      </c>
      <c r="D866" s="1">
        <v>44218</v>
      </c>
      <c r="E866" t="s">
        <v>55</v>
      </c>
      <c r="F866" t="s">
        <v>44</v>
      </c>
      <c r="G866" t="s">
        <v>83</v>
      </c>
      <c r="H866" t="s">
        <v>166</v>
      </c>
      <c r="I866" s="3" t="s">
        <v>3426</v>
      </c>
      <c r="J866" s="3" t="s">
        <v>3518</v>
      </c>
      <c r="K866" s="3" t="s">
        <v>3525</v>
      </c>
      <c r="L866" s="3" t="s">
        <v>4212</v>
      </c>
      <c r="M866">
        <v>176</v>
      </c>
      <c r="N866">
        <v>43</v>
      </c>
      <c r="O866">
        <f>Supply_Chain[[#This Row],[Unit_Price]]*Supply_Chain[[#This Row],[Quantity]]</f>
        <v>7568</v>
      </c>
      <c r="P866" t="s">
        <v>991</v>
      </c>
      <c r="Q866" t="s">
        <v>110</v>
      </c>
      <c r="R866" t="s">
        <v>480</v>
      </c>
      <c r="S866" t="s">
        <v>119</v>
      </c>
      <c r="T866" t="s">
        <v>79</v>
      </c>
      <c r="U866" t="s">
        <v>227</v>
      </c>
      <c r="V866">
        <v>997</v>
      </c>
      <c r="W866">
        <v>415</v>
      </c>
      <c r="X866">
        <v>22</v>
      </c>
      <c r="Y866">
        <v>63</v>
      </c>
      <c r="Z866">
        <v>480.54</v>
      </c>
      <c r="AA866" s="9">
        <v>543.54</v>
      </c>
      <c r="AB866" t="s">
        <v>52</v>
      </c>
      <c r="AC866">
        <v>0</v>
      </c>
      <c r="AD866">
        <v>81.83</v>
      </c>
      <c r="AE866">
        <v>231</v>
      </c>
      <c r="AF866">
        <v>199</v>
      </c>
      <c r="AG866" s="11">
        <f>Supply_Chain[[#This Row],[Total_Cost]]/Supply_Chain[[#This Row],[Stock_On_Hand]]</f>
        <v>0.54517552657973922</v>
      </c>
    </row>
    <row r="867" spans="1:33" x14ac:dyDescent="0.25">
      <c r="A867" t="s">
        <v>2438</v>
      </c>
      <c r="B867" t="s">
        <v>2439</v>
      </c>
      <c r="C867" s="1">
        <v>44354</v>
      </c>
      <c r="D867" s="1">
        <v>44566</v>
      </c>
      <c r="E867" t="s">
        <v>55</v>
      </c>
      <c r="F867" t="s">
        <v>44</v>
      </c>
      <c r="G867" t="s">
        <v>91</v>
      </c>
      <c r="H867" t="s">
        <v>66</v>
      </c>
      <c r="I867" s="3" t="s">
        <v>3427</v>
      </c>
      <c r="J867" s="3" t="s">
        <v>3518</v>
      </c>
      <c r="K867" s="3" t="s">
        <v>3525</v>
      </c>
      <c r="L867" s="3" t="s">
        <v>4213</v>
      </c>
      <c r="M867">
        <v>296.56</v>
      </c>
      <c r="N867">
        <v>2</v>
      </c>
      <c r="O867">
        <f>Supply_Chain[[#This Row],[Unit_Price]]*Supply_Chain[[#This Row],[Quantity]]</f>
        <v>593.12</v>
      </c>
      <c r="P867" t="s">
        <v>2440</v>
      </c>
      <c r="Q867" t="s">
        <v>110</v>
      </c>
      <c r="R867" t="s">
        <v>306</v>
      </c>
      <c r="S867" t="s">
        <v>70</v>
      </c>
      <c r="T867" t="s">
        <v>60</v>
      </c>
      <c r="U867" t="s">
        <v>316</v>
      </c>
      <c r="V867">
        <v>1937</v>
      </c>
      <c r="W867">
        <v>442</v>
      </c>
      <c r="X867">
        <v>3</v>
      </c>
      <c r="Y867">
        <v>124.06</v>
      </c>
      <c r="Z867">
        <v>192.58</v>
      </c>
      <c r="AA867" s="9">
        <v>316.64</v>
      </c>
      <c r="AB867" t="s">
        <v>52</v>
      </c>
      <c r="AC867">
        <v>0</v>
      </c>
      <c r="AD867">
        <v>92.35</v>
      </c>
      <c r="AE867">
        <v>430</v>
      </c>
      <c r="AF867">
        <v>458</v>
      </c>
      <c r="AG867" s="11">
        <f>Supply_Chain[[#This Row],[Total_Cost]]/Supply_Chain[[#This Row],[Stock_On_Hand]]</f>
        <v>0.16346928239545688</v>
      </c>
    </row>
    <row r="868" spans="1:33" x14ac:dyDescent="0.25">
      <c r="A868" t="s">
        <v>2441</v>
      </c>
      <c r="B868" t="s">
        <v>2442</v>
      </c>
      <c r="C868" s="1">
        <v>45142</v>
      </c>
      <c r="D868" s="1">
        <v>43901</v>
      </c>
      <c r="E868" t="s">
        <v>43</v>
      </c>
      <c r="F868" t="s">
        <v>75</v>
      </c>
      <c r="G868" t="s">
        <v>65</v>
      </c>
      <c r="H868" t="s">
        <v>92</v>
      </c>
      <c r="I868" s="3" t="s">
        <v>2781</v>
      </c>
      <c r="J868" s="3" t="s">
        <v>3518</v>
      </c>
      <c r="K868" s="3" t="s">
        <v>3521</v>
      </c>
      <c r="L868" s="3" t="s">
        <v>4214</v>
      </c>
      <c r="M868">
        <v>61.8</v>
      </c>
      <c r="N868">
        <v>71</v>
      </c>
      <c r="O868">
        <f>Supply_Chain[[#This Row],[Unit_Price]]*Supply_Chain[[#This Row],[Quantity]]</f>
        <v>4387.8</v>
      </c>
      <c r="P868" t="s">
        <v>789</v>
      </c>
      <c r="Q868" t="s">
        <v>68</v>
      </c>
      <c r="R868" t="s">
        <v>69</v>
      </c>
      <c r="S868" t="s">
        <v>119</v>
      </c>
      <c r="T868" t="s">
        <v>38</v>
      </c>
      <c r="U868" t="s">
        <v>223</v>
      </c>
      <c r="V868">
        <v>4673</v>
      </c>
      <c r="W868">
        <v>262</v>
      </c>
      <c r="X868">
        <v>22</v>
      </c>
      <c r="Y868">
        <v>422.04</v>
      </c>
      <c r="Z868">
        <v>398.01</v>
      </c>
      <c r="AA868" s="9">
        <v>820.05</v>
      </c>
      <c r="AB868" t="s">
        <v>52</v>
      </c>
      <c r="AC868">
        <v>0</v>
      </c>
      <c r="AD868">
        <v>85.16</v>
      </c>
      <c r="AE868">
        <v>367</v>
      </c>
      <c r="AF868">
        <v>350</v>
      </c>
      <c r="AG868" s="11">
        <f>Supply_Chain[[#This Row],[Total_Cost]]/Supply_Chain[[#This Row],[Stock_On_Hand]]</f>
        <v>0.17548683928953562</v>
      </c>
    </row>
    <row r="869" spans="1:33" x14ac:dyDescent="0.25">
      <c r="A869" t="s">
        <v>2443</v>
      </c>
      <c r="B869" t="s">
        <v>2444</v>
      </c>
      <c r="C869" s="1">
        <v>45252</v>
      </c>
      <c r="D869" s="1">
        <v>44313</v>
      </c>
      <c r="E869" t="s">
        <v>43</v>
      </c>
      <c r="F869" t="s">
        <v>115</v>
      </c>
      <c r="G869" t="s">
        <v>65</v>
      </c>
      <c r="H869" t="s">
        <v>66</v>
      </c>
      <c r="I869" s="3" t="s">
        <v>3304</v>
      </c>
      <c r="J869" s="3" t="s">
        <v>3518</v>
      </c>
      <c r="K869" s="3" t="s">
        <v>3521</v>
      </c>
      <c r="L869" s="3" t="s">
        <v>4092</v>
      </c>
      <c r="M869">
        <v>51.16</v>
      </c>
      <c r="N869">
        <v>19</v>
      </c>
      <c r="O869">
        <f>Supply_Chain[[#This Row],[Unit_Price]]*Supply_Chain[[#This Row],[Quantity]]</f>
        <v>972.04</v>
      </c>
      <c r="P869" t="s">
        <v>974</v>
      </c>
      <c r="Q869" t="s">
        <v>86</v>
      </c>
      <c r="R869" t="s">
        <v>264</v>
      </c>
      <c r="S869" t="s">
        <v>70</v>
      </c>
      <c r="T869" t="s">
        <v>71</v>
      </c>
      <c r="U869" t="s">
        <v>80</v>
      </c>
      <c r="V869">
        <v>1380</v>
      </c>
      <c r="W869">
        <v>315</v>
      </c>
      <c r="X869">
        <v>25</v>
      </c>
      <c r="Y869">
        <v>718.99</v>
      </c>
      <c r="Z869">
        <v>142.13999999999999</v>
      </c>
      <c r="AA869" s="9">
        <v>861.13</v>
      </c>
      <c r="AB869" t="s">
        <v>52</v>
      </c>
      <c r="AC869">
        <v>0</v>
      </c>
      <c r="AD869">
        <v>88.18</v>
      </c>
      <c r="AE869">
        <v>197</v>
      </c>
      <c r="AF869">
        <v>223</v>
      </c>
      <c r="AG869" s="11">
        <f>Supply_Chain[[#This Row],[Total_Cost]]/Supply_Chain[[#This Row],[Stock_On_Hand]]</f>
        <v>0.6240072463768116</v>
      </c>
    </row>
    <row r="870" spans="1:33" x14ac:dyDescent="0.25">
      <c r="A870" t="s">
        <v>2445</v>
      </c>
      <c r="B870" t="s">
        <v>2446</v>
      </c>
      <c r="C870" s="1">
        <v>45451</v>
      </c>
      <c r="D870" s="1">
        <v>44422</v>
      </c>
      <c r="E870" t="s">
        <v>30</v>
      </c>
      <c r="F870" t="s">
        <v>44</v>
      </c>
      <c r="G870" t="s">
        <v>83</v>
      </c>
      <c r="H870" t="s">
        <v>166</v>
      </c>
      <c r="I870" s="3" t="s">
        <v>2855</v>
      </c>
      <c r="J870" s="3" t="s">
        <v>3518</v>
      </c>
      <c r="K870" s="3" t="s">
        <v>3524</v>
      </c>
      <c r="L870" s="3" t="s">
        <v>3654</v>
      </c>
      <c r="M870">
        <v>333.33</v>
      </c>
      <c r="N870">
        <v>3</v>
      </c>
      <c r="O870">
        <f>Supply_Chain[[#This Row],[Unit_Price]]*Supply_Chain[[#This Row],[Quantity]]</f>
        <v>999.99</v>
      </c>
      <c r="P870" t="s">
        <v>1504</v>
      </c>
      <c r="Q870" t="s">
        <v>110</v>
      </c>
      <c r="R870" t="s">
        <v>105</v>
      </c>
      <c r="S870" t="s">
        <v>37</v>
      </c>
      <c r="T870" t="s">
        <v>60</v>
      </c>
      <c r="U870" t="s">
        <v>489</v>
      </c>
      <c r="V870">
        <v>4529</v>
      </c>
      <c r="W870">
        <v>175</v>
      </c>
      <c r="X870">
        <v>3</v>
      </c>
      <c r="Y870">
        <v>1828.64</v>
      </c>
      <c r="Z870">
        <v>372.05</v>
      </c>
      <c r="AA870" s="9">
        <v>2200.69</v>
      </c>
      <c r="AB870" t="s">
        <v>52</v>
      </c>
      <c r="AC870">
        <v>0</v>
      </c>
      <c r="AD870">
        <v>96.12</v>
      </c>
      <c r="AE870">
        <v>474</v>
      </c>
      <c r="AF870">
        <v>520</v>
      </c>
      <c r="AG870" s="11">
        <f>Supply_Chain[[#This Row],[Total_Cost]]/Supply_Chain[[#This Row],[Stock_On_Hand]]</f>
        <v>0.48591079708544932</v>
      </c>
    </row>
    <row r="871" spans="1:33" x14ac:dyDescent="0.25">
      <c r="A871" t="s">
        <v>2447</v>
      </c>
      <c r="B871" t="s">
        <v>2448</v>
      </c>
      <c r="C871" s="1">
        <v>44875</v>
      </c>
      <c r="D871" s="1">
        <v>44999</v>
      </c>
      <c r="E871" t="s">
        <v>43</v>
      </c>
      <c r="F871" t="s">
        <v>115</v>
      </c>
      <c r="G871" t="s">
        <v>83</v>
      </c>
      <c r="H871" t="s">
        <v>57</v>
      </c>
      <c r="I871" s="3" t="s">
        <v>3428</v>
      </c>
      <c r="J871" s="3" t="s">
        <v>3519</v>
      </c>
      <c r="K871" s="3" t="s">
        <v>3530</v>
      </c>
      <c r="L871" s="3" t="s">
        <v>4215</v>
      </c>
      <c r="M871">
        <v>188.72</v>
      </c>
      <c r="N871">
        <v>72</v>
      </c>
      <c r="O871">
        <f>Supply_Chain[[#This Row],[Unit_Price]]*Supply_Chain[[#This Row],[Quantity]]</f>
        <v>13587.84</v>
      </c>
      <c r="P871" t="s">
        <v>1246</v>
      </c>
      <c r="Q871" t="s">
        <v>86</v>
      </c>
      <c r="R871" t="s">
        <v>124</v>
      </c>
      <c r="S871" t="s">
        <v>50</v>
      </c>
      <c r="T871" t="s">
        <v>60</v>
      </c>
      <c r="U871" t="s">
        <v>146</v>
      </c>
      <c r="V871">
        <v>4506</v>
      </c>
      <c r="W871">
        <v>110</v>
      </c>
      <c r="X871">
        <v>14</v>
      </c>
      <c r="Y871">
        <v>866.7</v>
      </c>
      <c r="Z871">
        <v>442.82</v>
      </c>
      <c r="AA871" s="9">
        <v>1309.52</v>
      </c>
      <c r="AB871" t="s">
        <v>52</v>
      </c>
      <c r="AC871">
        <v>0</v>
      </c>
      <c r="AD871">
        <v>94.64</v>
      </c>
      <c r="AE871">
        <v>385</v>
      </c>
      <c r="AF871">
        <v>349</v>
      </c>
      <c r="AG871" s="11">
        <f>Supply_Chain[[#This Row],[Total_Cost]]/Supply_Chain[[#This Row],[Stock_On_Hand]]</f>
        <v>0.29061695517088326</v>
      </c>
    </row>
    <row r="872" spans="1:33" x14ac:dyDescent="0.25">
      <c r="A872" t="s">
        <v>2449</v>
      </c>
      <c r="B872" t="s">
        <v>2450</v>
      </c>
      <c r="C872" s="1">
        <v>44729</v>
      </c>
      <c r="D872" s="1">
        <v>44420</v>
      </c>
      <c r="E872" t="s">
        <v>55</v>
      </c>
      <c r="F872" t="s">
        <v>31</v>
      </c>
      <c r="G872" t="s">
        <v>247</v>
      </c>
      <c r="H872" t="s">
        <v>33</v>
      </c>
      <c r="I872" s="3" t="s">
        <v>3429</v>
      </c>
      <c r="J872" s="3" t="s">
        <v>3519</v>
      </c>
      <c r="K872" s="3" t="s">
        <v>3528</v>
      </c>
      <c r="L872" s="3" t="s">
        <v>4216</v>
      </c>
      <c r="M872">
        <v>202.77</v>
      </c>
      <c r="N872">
        <v>6</v>
      </c>
      <c r="O872">
        <f>Supply_Chain[[#This Row],[Unit_Price]]*Supply_Chain[[#This Row],[Quantity]]</f>
        <v>1216.6200000000001</v>
      </c>
      <c r="P872" t="s">
        <v>2451</v>
      </c>
      <c r="Q872" t="s">
        <v>35</v>
      </c>
      <c r="R872" t="s">
        <v>323</v>
      </c>
      <c r="S872" t="s">
        <v>70</v>
      </c>
      <c r="T872" t="s">
        <v>60</v>
      </c>
      <c r="U872" t="s">
        <v>257</v>
      </c>
      <c r="V872">
        <v>1865</v>
      </c>
      <c r="W872">
        <v>184</v>
      </c>
      <c r="X872">
        <v>10</v>
      </c>
      <c r="Y872">
        <v>1438.31</v>
      </c>
      <c r="Z872">
        <v>167.3</v>
      </c>
      <c r="AA872" s="9">
        <v>1605.61</v>
      </c>
      <c r="AB872" t="s">
        <v>52</v>
      </c>
      <c r="AC872">
        <v>0</v>
      </c>
      <c r="AD872">
        <v>80.88</v>
      </c>
      <c r="AE872">
        <v>373</v>
      </c>
      <c r="AF872">
        <v>364</v>
      </c>
      <c r="AG872" s="11">
        <f>Supply_Chain[[#This Row],[Total_Cost]]/Supply_Chain[[#This Row],[Stock_On_Hand]]</f>
        <v>0.86091689008042893</v>
      </c>
    </row>
    <row r="873" spans="1:33" x14ac:dyDescent="0.25">
      <c r="A873" t="s">
        <v>2452</v>
      </c>
      <c r="B873" t="s">
        <v>2453</v>
      </c>
      <c r="C873" s="1">
        <v>44006</v>
      </c>
      <c r="D873" s="1">
        <v>44640</v>
      </c>
      <c r="E873" t="s">
        <v>55</v>
      </c>
      <c r="F873" t="s">
        <v>31</v>
      </c>
      <c r="G873" t="s">
        <v>76</v>
      </c>
      <c r="H873" t="s">
        <v>66</v>
      </c>
      <c r="I873" s="3" t="s">
        <v>3367</v>
      </c>
      <c r="J873" s="3" t="s">
        <v>3519</v>
      </c>
      <c r="K873" s="3" t="s">
        <v>3530</v>
      </c>
      <c r="L873" s="3" t="s">
        <v>4154</v>
      </c>
      <c r="M873">
        <v>43.76</v>
      </c>
      <c r="N873">
        <v>81</v>
      </c>
      <c r="O873">
        <f>Supply_Chain[[#This Row],[Unit_Price]]*Supply_Chain[[#This Row],[Quantity]]</f>
        <v>3544.56</v>
      </c>
      <c r="P873" t="s">
        <v>213</v>
      </c>
      <c r="Q873" t="s">
        <v>35</v>
      </c>
      <c r="R873" t="s">
        <v>344</v>
      </c>
      <c r="S873" t="s">
        <v>37</v>
      </c>
      <c r="T873" t="s">
        <v>38</v>
      </c>
      <c r="U873" t="s">
        <v>316</v>
      </c>
      <c r="V873">
        <v>282</v>
      </c>
      <c r="W873">
        <v>235</v>
      </c>
      <c r="X873">
        <v>26</v>
      </c>
      <c r="Y873">
        <v>435.84</v>
      </c>
      <c r="Z873">
        <v>492.85</v>
      </c>
      <c r="AA873" s="9">
        <v>928.69</v>
      </c>
      <c r="AB873" t="s">
        <v>52</v>
      </c>
      <c r="AC873">
        <v>0</v>
      </c>
      <c r="AD873">
        <v>89.41</v>
      </c>
      <c r="AE873">
        <v>53</v>
      </c>
      <c r="AF873">
        <v>41</v>
      </c>
      <c r="AG873" s="11">
        <f>Supply_Chain[[#This Row],[Total_Cost]]/Supply_Chain[[#This Row],[Stock_On_Hand]]</f>
        <v>3.2932269503546103</v>
      </c>
    </row>
    <row r="874" spans="1:33" x14ac:dyDescent="0.25">
      <c r="A874" t="s">
        <v>2454</v>
      </c>
      <c r="B874" t="s">
        <v>2455</v>
      </c>
      <c r="C874" s="1">
        <v>45318</v>
      </c>
      <c r="D874" s="1">
        <v>44581</v>
      </c>
      <c r="E874" t="s">
        <v>43</v>
      </c>
      <c r="F874" t="s">
        <v>31</v>
      </c>
      <c r="G874" t="s">
        <v>76</v>
      </c>
      <c r="H874" t="s">
        <v>116</v>
      </c>
      <c r="I874" s="3" t="s">
        <v>3430</v>
      </c>
      <c r="J874" s="3" t="s">
        <v>3519</v>
      </c>
      <c r="K874" s="3" t="s">
        <v>3530</v>
      </c>
      <c r="L874" s="3" t="s">
        <v>4217</v>
      </c>
      <c r="M874">
        <v>419.28</v>
      </c>
      <c r="N874">
        <v>92</v>
      </c>
      <c r="O874">
        <f>Supply_Chain[[#This Row],[Unit_Price]]*Supply_Chain[[#This Row],[Quantity]]</f>
        <v>38573.759999999995</v>
      </c>
      <c r="P874" t="s">
        <v>479</v>
      </c>
      <c r="Q874" t="s">
        <v>35</v>
      </c>
      <c r="R874" t="s">
        <v>360</v>
      </c>
      <c r="S874" t="s">
        <v>70</v>
      </c>
      <c r="T874" t="s">
        <v>79</v>
      </c>
      <c r="U874" t="s">
        <v>72</v>
      </c>
      <c r="V874">
        <v>4620</v>
      </c>
      <c r="W874">
        <v>389</v>
      </c>
      <c r="X874">
        <v>9</v>
      </c>
      <c r="Y874">
        <v>324.97000000000003</v>
      </c>
      <c r="Z874">
        <v>24.55</v>
      </c>
      <c r="AA874" s="9">
        <v>349.52</v>
      </c>
      <c r="AB874" t="s">
        <v>52</v>
      </c>
      <c r="AC874">
        <v>0</v>
      </c>
      <c r="AD874">
        <v>75.89</v>
      </c>
      <c r="AE874">
        <v>489</v>
      </c>
      <c r="AF874">
        <v>451</v>
      </c>
      <c r="AG874" s="11">
        <f>Supply_Chain[[#This Row],[Total_Cost]]/Supply_Chain[[#This Row],[Stock_On_Hand]]</f>
        <v>7.5653679653679654E-2</v>
      </c>
    </row>
    <row r="875" spans="1:33" x14ac:dyDescent="0.25">
      <c r="A875" t="s">
        <v>2456</v>
      </c>
      <c r="B875" t="s">
        <v>2457</v>
      </c>
      <c r="C875" s="1">
        <v>44620</v>
      </c>
      <c r="D875" s="1">
        <v>45174</v>
      </c>
      <c r="E875" t="s">
        <v>43</v>
      </c>
      <c r="F875" t="s">
        <v>44</v>
      </c>
      <c r="G875" t="s">
        <v>83</v>
      </c>
      <c r="H875" t="s">
        <v>46</v>
      </c>
      <c r="I875" s="3" t="s">
        <v>3431</v>
      </c>
      <c r="J875" s="3" t="s">
        <v>84</v>
      </c>
      <c r="K875" s="3" t="s">
        <v>3531</v>
      </c>
      <c r="L875" s="3" t="s">
        <v>4218</v>
      </c>
      <c r="M875">
        <v>344.53</v>
      </c>
      <c r="N875">
        <v>8</v>
      </c>
      <c r="O875">
        <f>Supply_Chain[[#This Row],[Unit_Price]]*Supply_Chain[[#This Row],[Quantity]]</f>
        <v>2756.24</v>
      </c>
      <c r="P875" t="s">
        <v>2458</v>
      </c>
      <c r="Q875" t="s">
        <v>68</v>
      </c>
      <c r="R875" t="s">
        <v>231</v>
      </c>
      <c r="S875" t="s">
        <v>119</v>
      </c>
      <c r="T875" t="s">
        <v>71</v>
      </c>
      <c r="U875" t="s">
        <v>370</v>
      </c>
      <c r="V875">
        <v>4352</v>
      </c>
      <c r="W875">
        <v>484</v>
      </c>
      <c r="X875">
        <v>3</v>
      </c>
      <c r="Y875">
        <v>403.43</v>
      </c>
      <c r="Z875">
        <v>107.55</v>
      </c>
      <c r="AA875" s="9">
        <v>510.98</v>
      </c>
      <c r="AB875" t="s">
        <v>52</v>
      </c>
      <c r="AC875">
        <v>0</v>
      </c>
      <c r="AD875">
        <v>94.09</v>
      </c>
      <c r="AE875">
        <v>183</v>
      </c>
      <c r="AF875">
        <v>134</v>
      </c>
      <c r="AG875" s="11">
        <f>Supply_Chain[[#This Row],[Total_Cost]]/Supply_Chain[[#This Row],[Stock_On_Hand]]</f>
        <v>0.11741268382352942</v>
      </c>
    </row>
    <row r="876" spans="1:33" x14ac:dyDescent="0.25">
      <c r="A876" t="s">
        <v>2459</v>
      </c>
      <c r="B876" t="s">
        <v>2460</v>
      </c>
      <c r="C876" s="1">
        <v>44447</v>
      </c>
      <c r="D876" s="1">
        <v>43849</v>
      </c>
      <c r="E876" t="s">
        <v>43</v>
      </c>
      <c r="F876" t="s">
        <v>75</v>
      </c>
      <c r="G876" t="s">
        <v>83</v>
      </c>
      <c r="H876" t="s">
        <v>128</v>
      </c>
      <c r="I876" s="3" t="s">
        <v>3432</v>
      </c>
      <c r="J876" s="3" t="s">
        <v>84</v>
      </c>
      <c r="K876" s="3" t="s">
        <v>3529</v>
      </c>
      <c r="L876" s="3" t="s">
        <v>4219</v>
      </c>
      <c r="M876">
        <v>90.05</v>
      </c>
      <c r="N876">
        <v>94</v>
      </c>
      <c r="O876">
        <f>Supply_Chain[[#This Row],[Unit_Price]]*Supply_Chain[[#This Row],[Quantity]]</f>
        <v>8464.6999999999989</v>
      </c>
      <c r="P876" t="s">
        <v>1824</v>
      </c>
      <c r="Q876" t="s">
        <v>68</v>
      </c>
      <c r="R876" t="s">
        <v>306</v>
      </c>
      <c r="S876" t="s">
        <v>70</v>
      </c>
      <c r="T876" t="s">
        <v>71</v>
      </c>
      <c r="U876" t="s">
        <v>39</v>
      </c>
      <c r="V876">
        <v>3168</v>
      </c>
      <c r="W876">
        <v>303</v>
      </c>
      <c r="X876">
        <v>11</v>
      </c>
      <c r="Y876">
        <v>1254.2</v>
      </c>
      <c r="Z876">
        <v>384.87</v>
      </c>
      <c r="AA876" s="9">
        <v>1639.07</v>
      </c>
      <c r="AB876" t="s">
        <v>40</v>
      </c>
      <c r="AC876">
        <v>14</v>
      </c>
      <c r="AD876">
        <v>72.47</v>
      </c>
      <c r="AE876">
        <v>63</v>
      </c>
      <c r="AF876">
        <v>31</v>
      </c>
      <c r="AG876" s="11">
        <f>Supply_Chain[[#This Row],[Total_Cost]]/Supply_Chain[[#This Row],[Stock_On_Hand]]</f>
        <v>0.51738320707070706</v>
      </c>
    </row>
    <row r="877" spans="1:33" x14ac:dyDescent="0.25">
      <c r="A877" t="s">
        <v>2461</v>
      </c>
      <c r="B877" t="s">
        <v>2462</v>
      </c>
      <c r="C877" s="1">
        <v>44970</v>
      </c>
      <c r="D877" s="1">
        <v>45567</v>
      </c>
      <c r="E877" t="s">
        <v>55</v>
      </c>
      <c r="F877" t="s">
        <v>64</v>
      </c>
      <c r="G877" t="s">
        <v>247</v>
      </c>
      <c r="H877" t="s">
        <v>33</v>
      </c>
      <c r="I877" s="3" t="s">
        <v>2904</v>
      </c>
      <c r="J877" s="3" t="s">
        <v>84</v>
      </c>
      <c r="K877" s="3" t="s">
        <v>3529</v>
      </c>
      <c r="L877" s="3" t="s">
        <v>3703</v>
      </c>
      <c r="M877">
        <v>289.19</v>
      </c>
      <c r="N877">
        <v>85</v>
      </c>
      <c r="O877">
        <f>Supply_Chain[[#This Row],[Unit_Price]]*Supply_Chain[[#This Row],[Quantity]]</f>
        <v>24581.15</v>
      </c>
      <c r="P877" t="s">
        <v>2463</v>
      </c>
      <c r="Q877" t="s">
        <v>110</v>
      </c>
      <c r="R877" t="s">
        <v>186</v>
      </c>
      <c r="S877" t="s">
        <v>50</v>
      </c>
      <c r="T877" t="s">
        <v>79</v>
      </c>
      <c r="U877" t="s">
        <v>310</v>
      </c>
      <c r="V877">
        <v>3406</v>
      </c>
      <c r="W877">
        <v>107</v>
      </c>
      <c r="X877">
        <v>23</v>
      </c>
      <c r="Y877">
        <v>1958.23</v>
      </c>
      <c r="Z877">
        <v>241.1</v>
      </c>
      <c r="AA877" s="9">
        <v>2199.33</v>
      </c>
      <c r="AB877" t="s">
        <v>52</v>
      </c>
      <c r="AC877">
        <v>0</v>
      </c>
      <c r="AD877">
        <v>98.34</v>
      </c>
      <c r="AE877">
        <v>407</v>
      </c>
      <c r="AF877">
        <v>363</v>
      </c>
      <c r="AG877" s="11">
        <f>Supply_Chain[[#This Row],[Total_Cost]]/Supply_Chain[[#This Row],[Stock_On_Hand]]</f>
        <v>0.64572225484439227</v>
      </c>
    </row>
    <row r="878" spans="1:33" x14ac:dyDescent="0.25">
      <c r="A878" t="s">
        <v>2464</v>
      </c>
      <c r="B878" t="s">
        <v>2465</v>
      </c>
      <c r="C878" s="1">
        <v>45327</v>
      </c>
      <c r="D878" s="1">
        <v>45295</v>
      </c>
      <c r="E878" t="s">
        <v>43</v>
      </c>
      <c r="F878" t="s">
        <v>115</v>
      </c>
      <c r="G878" t="s">
        <v>76</v>
      </c>
      <c r="H878" t="s">
        <v>92</v>
      </c>
      <c r="I878" s="3" t="s">
        <v>3433</v>
      </c>
      <c r="J878" s="3" t="s">
        <v>84</v>
      </c>
      <c r="K878" s="3" t="s">
        <v>3529</v>
      </c>
      <c r="L878" s="3" t="s">
        <v>4220</v>
      </c>
      <c r="M878">
        <v>387.24</v>
      </c>
      <c r="N878">
        <v>51</v>
      </c>
      <c r="O878">
        <f>Supply_Chain[[#This Row],[Unit_Price]]*Supply_Chain[[#This Row],[Quantity]]</f>
        <v>19749.240000000002</v>
      </c>
      <c r="P878" t="s">
        <v>930</v>
      </c>
      <c r="Q878" t="s">
        <v>35</v>
      </c>
      <c r="R878" t="s">
        <v>111</v>
      </c>
      <c r="S878" t="s">
        <v>70</v>
      </c>
      <c r="T878" t="s">
        <v>71</v>
      </c>
      <c r="U878" t="s">
        <v>141</v>
      </c>
      <c r="V878">
        <v>848</v>
      </c>
      <c r="W878">
        <v>395</v>
      </c>
      <c r="X878">
        <v>24</v>
      </c>
      <c r="Y878">
        <v>467.02</v>
      </c>
      <c r="Z878">
        <v>38.92</v>
      </c>
      <c r="AA878" s="9">
        <v>505.94</v>
      </c>
      <c r="AB878" t="s">
        <v>52</v>
      </c>
      <c r="AC878">
        <v>0</v>
      </c>
      <c r="AD878">
        <v>73.12</v>
      </c>
      <c r="AE878">
        <v>202</v>
      </c>
      <c r="AF878">
        <v>244</v>
      </c>
      <c r="AG878" s="11">
        <f>Supply_Chain[[#This Row],[Total_Cost]]/Supply_Chain[[#This Row],[Stock_On_Hand]]</f>
        <v>0.59662735849056603</v>
      </c>
    </row>
    <row r="879" spans="1:33" x14ac:dyDescent="0.25">
      <c r="A879" t="s">
        <v>2466</v>
      </c>
      <c r="B879" t="s">
        <v>805</v>
      </c>
      <c r="C879" s="1">
        <v>44214</v>
      </c>
      <c r="D879" s="1">
        <v>44313</v>
      </c>
      <c r="E879" t="s">
        <v>55</v>
      </c>
      <c r="F879" t="s">
        <v>44</v>
      </c>
      <c r="G879" t="s">
        <v>32</v>
      </c>
      <c r="H879" t="s">
        <v>92</v>
      </c>
      <c r="I879" s="3" t="s">
        <v>3434</v>
      </c>
      <c r="J879" s="3" t="s">
        <v>3518</v>
      </c>
      <c r="K879" s="3" t="s">
        <v>3533</v>
      </c>
      <c r="L879" s="3" t="s">
        <v>4221</v>
      </c>
      <c r="M879">
        <v>446.04</v>
      </c>
      <c r="N879">
        <v>36</v>
      </c>
      <c r="O879">
        <f>Supply_Chain[[#This Row],[Unit_Price]]*Supply_Chain[[#This Row],[Quantity]]</f>
        <v>16057.44</v>
      </c>
      <c r="P879" t="s">
        <v>1682</v>
      </c>
      <c r="Q879" t="s">
        <v>68</v>
      </c>
      <c r="R879" t="s">
        <v>306</v>
      </c>
      <c r="S879" t="s">
        <v>119</v>
      </c>
      <c r="T879" t="s">
        <v>100</v>
      </c>
      <c r="U879" t="s">
        <v>241</v>
      </c>
      <c r="V879">
        <v>4298</v>
      </c>
      <c r="W879">
        <v>85</v>
      </c>
      <c r="X879">
        <v>2</v>
      </c>
      <c r="Y879">
        <v>136.57</v>
      </c>
      <c r="Z879">
        <v>398.54</v>
      </c>
      <c r="AA879" s="9">
        <v>535.11</v>
      </c>
      <c r="AB879" t="s">
        <v>52</v>
      </c>
      <c r="AC879">
        <v>0</v>
      </c>
      <c r="AD879">
        <v>89.72</v>
      </c>
      <c r="AE879">
        <v>366</v>
      </c>
      <c r="AF879">
        <v>393</v>
      </c>
      <c r="AG879" s="11">
        <f>Supply_Chain[[#This Row],[Total_Cost]]/Supply_Chain[[#This Row],[Stock_On_Hand]]</f>
        <v>0.124502093997208</v>
      </c>
    </row>
    <row r="880" spans="1:33" x14ac:dyDescent="0.25">
      <c r="A880" t="s">
        <v>2467</v>
      </c>
      <c r="B880" t="s">
        <v>2468</v>
      </c>
      <c r="C880" s="1">
        <v>43889</v>
      </c>
      <c r="D880" s="1">
        <v>44973</v>
      </c>
      <c r="E880" t="s">
        <v>55</v>
      </c>
      <c r="F880" t="s">
        <v>64</v>
      </c>
      <c r="G880" t="s">
        <v>56</v>
      </c>
      <c r="H880" t="s">
        <v>66</v>
      </c>
      <c r="I880" s="3" t="s">
        <v>3435</v>
      </c>
      <c r="J880" s="3" t="s">
        <v>3518</v>
      </c>
      <c r="K880" s="3" t="s">
        <v>3533</v>
      </c>
      <c r="L880" s="3" t="s">
        <v>4222</v>
      </c>
      <c r="M880">
        <v>182.97</v>
      </c>
      <c r="N880">
        <v>82</v>
      </c>
      <c r="O880">
        <f>Supply_Chain[[#This Row],[Unit_Price]]*Supply_Chain[[#This Row],[Quantity]]</f>
        <v>15003.539999999999</v>
      </c>
      <c r="P880" t="s">
        <v>1097</v>
      </c>
      <c r="Q880" t="s">
        <v>68</v>
      </c>
      <c r="R880" t="s">
        <v>476</v>
      </c>
      <c r="S880" t="s">
        <v>37</v>
      </c>
      <c r="T880" t="s">
        <v>79</v>
      </c>
      <c r="U880" t="s">
        <v>141</v>
      </c>
      <c r="V880">
        <v>1719</v>
      </c>
      <c r="W880">
        <v>273</v>
      </c>
      <c r="X880">
        <v>4</v>
      </c>
      <c r="Y880">
        <v>1428.4</v>
      </c>
      <c r="Z880">
        <v>362.46</v>
      </c>
      <c r="AA880" s="9">
        <v>1790.86</v>
      </c>
      <c r="AB880" t="s">
        <v>52</v>
      </c>
      <c r="AC880">
        <v>0</v>
      </c>
      <c r="AD880">
        <v>90.59</v>
      </c>
      <c r="AE880">
        <v>74</v>
      </c>
      <c r="AF880">
        <v>52</v>
      </c>
      <c r="AG880" s="11">
        <f>Supply_Chain[[#This Row],[Total_Cost]]/Supply_Chain[[#This Row],[Stock_On_Hand]]</f>
        <v>1.0418033740546828</v>
      </c>
    </row>
    <row r="881" spans="1:33" x14ac:dyDescent="0.25">
      <c r="A881" t="s">
        <v>2469</v>
      </c>
      <c r="B881" t="s">
        <v>2470</v>
      </c>
      <c r="C881" s="1">
        <v>44505</v>
      </c>
      <c r="D881" s="1">
        <v>44105</v>
      </c>
      <c r="E881" t="s">
        <v>55</v>
      </c>
      <c r="F881" t="s">
        <v>115</v>
      </c>
      <c r="G881" t="s">
        <v>83</v>
      </c>
      <c r="H881" t="s">
        <v>166</v>
      </c>
      <c r="I881" s="3" t="s">
        <v>3436</v>
      </c>
      <c r="J881" s="3" t="s">
        <v>3518</v>
      </c>
      <c r="K881" s="3" t="s">
        <v>3532</v>
      </c>
      <c r="L881" s="3" t="s">
        <v>4223</v>
      </c>
      <c r="M881">
        <v>108.94</v>
      </c>
      <c r="N881">
        <v>72</v>
      </c>
      <c r="O881">
        <f>Supply_Chain[[#This Row],[Unit_Price]]*Supply_Chain[[#This Row],[Quantity]]</f>
        <v>7843.68</v>
      </c>
      <c r="P881" t="s">
        <v>2471</v>
      </c>
      <c r="Q881" t="s">
        <v>68</v>
      </c>
      <c r="R881" t="s">
        <v>99</v>
      </c>
      <c r="S881" t="s">
        <v>119</v>
      </c>
      <c r="T881" t="s">
        <v>79</v>
      </c>
      <c r="U881" t="s">
        <v>39</v>
      </c>
      <c r="V881">
        <v>1923</v>
      </c>
      <c r="W881">
        <v>488</v>
      </c>
      <c r="X881">
        <v>21</v>
      </c>
      <c r="Y881">
        <v>1190.4000000000001</v>
      </c>
      <c r="Z881">
        <v>372.56</v>
      </c>
      <c r="AA881" s="9">
        <v>1562.96</v>
      </c>
      <c r="AB881" t="s">
        <v>52</v>
      </c>
      <c r="AC881">
        <v>0</v>
      </c>
      <c r="AD881">
        <v>94.18</v>
      </c>
      <c r="AE881">
        <v>278</v>
      </c>
      <c r="AF881">
        <v>242</v>
      </c>
      <c r="AG881" s="11">
        <f>Supply_Chain[[#This Row],[Total_Cost]]/Supply_Chain[[#This Row],[Stock_On_Hand]]</f>
        <v>0.8127717108684348</v>
      </c>
    </row>
    <row r="882" spans="1:33" x14ac:dyDescent="0.25">
      <c r="A882" t="s">
        <v>2472</v>
      </c>
      <c r="B882" t="s">
        <v>2004</v>
      </c>
      <c r="C882" s="1">
        <v>45485</v>
      </c>
      <c r="D882" s="1">
        <v>44988</v>
      </c>
      <c r="E882" t="s">
        <v>43</v>
      </c>
      <c r="F882" t="s">
        <v>31</v>
      </c>
      <c r="G882" t="s">
        <v>65</v>
      </c>
      <c r="H882" t="s">
        <v>66</v>
      </c>
      <c r="I882" s="3" t="s">
        <v>3437</v>
      </c>
      <c r="J882" s="3" t="s">
        <v>3518</v>
      </c>
      <c r="K882" s="3" t="s">
        <v>3524</v>
      </c>
      <c r="L882" s="3" t="s">
        <v>4224</v>
      </c>
      <c r="M882">
        <v>374.22</v>
      </c>
      <c r="N882">
        <v>76</v>
      </c>
      <c r="O882">
        <f>Supply_Chain[[#This Row],[Unit_Price]]*Supply_Chain[[#This Row],[Quantity]]</f>
        <v>28440.720000000001</v>
      </c>
      <c r="P882" t="s">
        <v>1736</v>
      </c>
      <c r="Q882" t="s">
        <v>110</v>
      </c>
      <c r="R882" t="s">
        <v>369</v>
      </c>
      <c r="S882" t="s">
        <v>70</v>
      </c>
      <c r="T882" t="s">
        <v>38</v>
      </c>
      <c r="U882" t="s">
        <v>499</v>
      </c>
      <c r="V882">
        <v>3223</v>
      </c>
      <c r="W882">
        <v>95</v>
      </c>
      <c r="X882">
        <v>4</v>
      </c>
      <c r="Y882">
        <v>1232.02</v>
      </c>
      <c r="Z882">
        <v>174.77</v>
      </c>
      <c r="AA882" s="9">
        <v>1406.79</v>
      </c>
      <c r="AB882" t="s">
        <v>40</v>
      </c>
      <c r="AC882">
        <v>14</v>
      </c>
      <c r="AD882">
        <v>83.83</v>
      </c>
      <c r="AE882">
        <v>476</v>
      </c>
      <c r="AF882">
        <v>495</v>
      </c>
      <c r="AG882" s="11">
        <f>Supply_Chain[[#This Row],[Total_Cost]]/Supply_Chain[[#This Row],[Stock_On_Hand]]</f>
        <v>0.43648464163822526</v>
      </c>
    </row>
    <row r="883" spans="1:33" x14ac:dyDescent="0.25">
      <c r="A883" t="s">
        <v>2473</v>
      </c>
      <c r="B883" t="s">
        <v>2474</v>
      </c>
      <c r="C883" s="1">
        <v>44332</v>
      </c>
      <c r="D883" s="1">
        <v>44842</v>
      </c>
      <c r="E883" t="s">
        <v>43</v>
      </c>
      <c r="F883" t="s">
        <v>75</v>
      </c>
      <c r="G883" t="s">
        <v>83</v>
      </c>
      <c r="H883" t="s">
        <v>66</v>
      </c>
      <c r="I883" s="3" t="s">
        <v>3438</v>
      </c>
      <c r="J883" s="3" t="s">
        <v>3519</v>
      </c>
      <c r="K883" s="3" t="s">
        <v>3530</v>
      </c>
      <c r="L883" s="3" t="s">
        <v>4225</v>
      </c>
      <c r="M883">
        <v>496.3</v>
      </c>
      <c r="N883">
        <v>23</v>
      </c>
      <c r="O883">
        <f>Supply_Chain[[#This Row],[Unit_Price]]*Supply_Chain[[#This Row],[Quantity]]</f>
        <v>11414.9</v>
      </c>
      <c r="P883" t="s">
        <v>1003</v>
      </c>
      <c r="Q883" t="s">
        <v>110</v>
      </c>
      <c r="R883" t="s">
        <v>290</v>
      </c>
      <c r="S883" t="s">
        <v>50</v>
      </c>
      <c r="T883" t="s">
        <v>100</v>
      </c>
      <c r="U883" t="s">
        <v>131</v>
      </c>
      <c r="V883">
        <v>2190</v>
      </c>
      <c r="W883">
        <v>72</v>
      </c>
      <c r="X883">
        <v>4</v>
      </c>
      <c r="Y883">
        <v>267.63</v>
      </c>
      <c r="Z883">
        <v>268.79000000000002</v>
      </c>
      <c r="AA883" s="9">
        <v>536.42000000000007</v>
      </c>
      <c r="AB883" t="s">
        <v>52</v>
      </c>
      <c r="AC883">
        <v>0</v>
      </c>
      <c r="AD883">
        <v>94.59</v>
      </c>
      <c r="AE883">
        <v>413</v>
      </c>
      <c r="AF883">
        <v>446</v>
      </c>
      <c r="AG883" s="11">
        <f>Supply_Chain[[#This Row],[Total_Cost]]/Supply_Chain[[#This Row],[Stock_On_Hand]]</f>
        <v>0.24494063926940643</v>
      </c>
    </row>
    <row r="884" spans="1:33" x14ac:dyDescent="0.25">
      <c r="A884" t="s">
        <v>2475</v>
      </c>
      <c r="B884" t="s">
        <v>2476</v>
      </c>
      <c r="C884" s="1">
        <v>44019</v>
      </c>
      <c r="D884" s="1">
        <v>45530</v>
      </c>
      <c r="E884" t="s">
        <v>43</v>
      </c>
      <c r="F884" t="s">
        <v>64</v>
      </c>
      <c r="G884" t="s">
        <v>247</v>
      </c>
      <c r="H884" t="s">
        <v>46</v>
      </c>
      <c r="I884" s="3" t="s">
        <v>3439</v>
      </c>
      <c r="J884" s="3" t="s">
        <v>3519</v>
      </c>
      <c r="K884" s="3" t="s">
        <v>3537</v>
      </c>
      <c r="L884" s="3" t="s">
        <v>4226</v>
      </c>
      <c r="M884">
        <v>36.24</v>
      </c>
      <c r="N884">
        <v>64</v>
      </c>
      <c r="O884">
        <f>Supply_Chain[[#This Row],[Unit_Price]]*Supply_Chain[[#This Row],[Quantity]]</f>
        <v>2319.36</v>
      </c>
      <c r="P884" t="s">
        <v>422</v>
      </c>
      <c r="Q884" t="s">
        <v>86</v>
      </c>
      <c r="R884" t="s">
        <v>140</v>
      </c>
      <c r="S884" t="s">
        <v>70</v>
      </c>
      <c r="T884" t="s">
        <v>100</v>
      </c>
      <c r="U884" t="s">
        <v>809</v>
      </c>
      <c r="V884">
        <v>2213</v>
      </c>
      <c r="W884">
        <v>411</v>
      </c>
      <c r="X884">
        <v>26</v>
      </c>
      <c r="Y884">
        <v>109.92</v>
      </c>
      <c r="Z884">
        <v>41.8</v>
      </c>
      <c r="AA884" s="9">
        <v>151.72</v>
      </c>
      <c r="AB884" t="s">
        <v>52</v>
      </c>
      <c r="AC884">
        <v>0</v>
      </c>
      <c r="AD884">
        <v>83.89</v>
      </c>
      <c r="AE884">
        <v>481</v>
      </c>
      <c r="AF884">
        <v>528</v>
      </c>
      <c r="AG884" s="11">
        <f>Supply_Chain[[#This Row],[Total_Cost]]/Supply_Chain[[#This Row],[Stock_On_Hand]]</f>
        <v>6.8558517849073658E-2</v>
      </c>
    </row>
    <row r="885" spans="1:33" x14ac:dyDescent="0.25">
      <c r="A885" t="s">
        <v>2477</v>
      </c>
      <c r="B885" t="s">
        <v>2478</v>
      </c>
      <c r="C885" s="1">
        <v>44424</v>
      </c>
      <c r="D885" s="1">
        <v>44642</v>
      </c>
      <c r="E885" t="s">
        <v>55</v>
      </c>
      <c r="F885" t="s">
        <v>44</v>
      </c>
      <c r="G885" t="s">
        <v>247</v>
      </c>
      <c r="H885" t="s">
        <v>116</v>
      </c>
      <c r="I885" s="3" t="s">
        <v>3440</v>
      </c>
      <c r="J885" s="3" t="s">
        <v>3519</v>
      </c>
      <c r="K885" s="3" t="s">
        <v>3537</v>
      </c>
      <c r="L885" s="3" t="s">
        <v>4227</v>
      </c>
      <c r="M885">
        <v>129.79</v>
      </c>
      <c r="N885">
        <v>23</v>
      </c>
      <c r="O885">
        <f>Supply_Chain[[#This Row],[Unit_Price]]*Supply_Chain[[#This Row],[Quantity]]</f>
        <v>2985.1699999999996</v>
      </c>
      <c r="P885" t="s">
        <v>1022</v>
      </c>
      <c r="Q885" t="s">
        <v>86</v>
      </c>
      <c r="R885" t="s">
        <v>253</v>
      </c>
      <c r="S885" t="s">
        <v>119</v>
      </c>
      <c r="T885" t="s">
        <v>60</v>
      </c>
      <c r="U885" t="s">
        <v>232</v>
      </c>
      <c r="V885">
        <v>3825</v>
      </c>
      <c r="W885">
        <v>183</v>
      </c>
      <c r="X885">
        <v>1</v>
      </c>
      <c r="Y885">
        <v>166.23</v>
      </c>
      <c r="Z885">
        <v>263.66000000000003</v>
      </c>
      <c r="AA885" s="9">
        <v>429.89</v>
      </c>
      <c r="AB885" t="s">
        <v>52</v>
      </c>
      <c r="AC885">
        <v>0</v>
      </c>
      <c r="AD885">
        <v>86.49</v>
      </c>
      <c r="AE885">
        <v>433</v>
      </c>
      <c r="AF885">
        <v>420</v>
      </c>
      <c r="AG885" s="11">
        <f>Supply_Chain[[#This Row],[Total_Cost]]/Supply_Chain[[#This Row],[Stock_On_Hand]]</f>
        <v>0.11238954248366012</v>
      </c>
    </row>
    <row r="886" spans="1:33" x14ac:dyDescent="0.25">
      <c r="A886" t="s">
        <v>2479</v>
      </c>
      <c r="B886" t="s">
        <v>2480</v>
      </c>
      <c r="C886" s="1">
        <v>45220</v>
      </c>
      <c r="D886" s="1">
        <v>45146</v>
      </c>
      <c r="E886" t="s">
        <v>30</v>
      </c>
      <c r="F886" t="s">
        <v>31</v>
      </c>
      <c r="G886" t="s">
        <v>32</v>
      </c>
      <c r="H886" t="s">
        <v>166</v>
      </c>
      <c r="I886" s="3" t="s">
        <v>3006</v>
      </c>
      <c r="J886" s="3" t="s">
        <v>3519</v>
      </c>
      <c r="K886" s="3" t="s">
        <v>3528</v>
      </c>
      <c r="L886" s="3" t="s">
        <v>3804</v>
      </c>
      <c r="M886">
        <v>273.74</v>
      </c>
      <c r="N886">
        <v>66</v>
      </c>
      <c r="O886">
        <f>Supply_Chain[[#This Row],[Unit_Price]]*Supply_Chain[[#This Row],[Quantity]]</f>
        <v>18066.84</v>
      </c>
      <c r="P886" t="s">
        <v>2458</v>
      </c>
      <c r="Q886" t="s">
        <v>48</v>
      </c>
      <c r="R886" t="s">
        <v>195</v>
      </c>
      <c r="S886" t="s">
        <v>37</v>
      </c>
      <c r="T886" t="s">
        <v>79</v>
      </c>
      <c r="U886" t="s">
        <v>61</v>
      </c>
      <c r="V886">
        <v>1188</v>
      </c>
      <c r="W886">
        <v>346</v>
      </c>
      <c r="X886">
        <v>6</v>
      </c>
      <c r="Y886">
        <v>396.08</v>
      </c>
      <c r="Z886">
        <v>436.08</v>
      </c>
      <c r="AA886" s="9">
        <v>832.16</v>
      </c>
      <c r="AB886" t="s">
        <v>52</v>
      </c>
      <c r="AC886">
        <v>0</v>
      </c>
      <c r="AD886">
        <v>98.2</v>
      </c>
      <c r="AE886">
        <v>245</v>
      </c>
      <c r="AF886">
        <v>285</v>
      </c>
      <c r="AG886" s="11">
        <f>Supply_Chain[[#This Row],[Total_Cost]]/Supply_Chain[[#This Row],[Stock_On_Hand]]</f>
        <v>0.70047138047138047</v>
      </c>
    </row>
    <row r="887" spans="1:33" x14ac:dyDescent="0.25">
      <c r="A887" t="s">
        <v>2481</v>
      </c>
      <c r="B887" t="s">
        <v>2482</v>
      </c>
      <c r="C887" s="1">
        <v>45185</v>
      </c>
      <c r="D887" s="1">
        <v>43953</v>
      </c>
      <c r="E887" t="s">
        <v>43</v>
      </c>
      <c r="F887" t="s">
        <v>64</v>
      </c>
      <c r="G887" t="s">
        <v>65</v>
      </c>
      <c r="H887" t="s">
        <v>116</v>
      </c>
      <c r="I887" s="3" t="s">
        <v>3441</v>
      </c>
      <c r="J887" s="3" t="s">
        <v>3519</v>
      </c>
      <c r="K887" s="3" t="s">
        <v>3528</v>
      </c>
      <c r="L887" s="3" t="s">
        <v>4228</v>
      </c>
      <c r="M887">
        <v>55.76</v>
      </c>
      <c r="N887">
        <v>16</v>
      </c>
      <c r="O887">
        <f>Supply_Chain[[#This Row],[Unit_Price]]*Supply_Chain[[#This Row],[Quantity]]</f>
        <v>892.16</v>
      </c>
      <c r="P887" t="s">
        <v>559</v>
      </c>
      <c r="Q887" t="s">
        <v>68</v>
      </c>
      <c r="R887" t="s">
        <v>236</v>
      </c>
      <c r="S887" t="s">
        <v>37</v>
      </c>
      <c r="T887" t="s">
        <v>79</v>
      </c>
      <c r="U887" t="s">
        <v>446</v>
      </c>
      <c r="V887">
        <v>1461</v>
      </c>
      <c r="W887">
        <v>62</v>
      </c>
      <c r="X887">
        <v>15</v>
      </c>
      <c r="Y887">
        <v>1315.19</v>
      </c>
      <c r="Z887">
        <v>182.28</v>
      </c>
      <c r="AA887" s="9">
        <v>1497.47</v>
      </c>
      <c r="AB887" t="s">
        <v>52</v>
      </c>
      <c r="AC887">
        <v>0</v>
      </c>
      <c r="AD887">
        <v>95.99</v>
      </c>
      <c r="AE887">
        <v>298</v>
      </c>
      <c r="AF887">
        <v>323</v>
      </c>
      <c r="AG887" s="11">
        <f>Supply_Chain[[#This Row],[Total_Cost]]/Supply_Chain[[#This Row],[Stock_On_Hand]]</f>
        <v>1.0249623545516771</v>
      </c>
    </row>
    <row r="888" spans="1:33" x14ac:dyDescent="0.25">
      <c r="A888" t="s">
        <v>2483</v>
      </c>
      <c r="B888" t="s">
        <v>2484</v>
      </c>
      <c r="C888" s="1">
        <v>44660</v>
      </c>
      <c r="D888" s="1">
        <v>45639</v>
      </c>
      <c r="E888" t="s">
        <v>43</v>
      </c>
      <c r="F888" t="s">
        <v>44</v>
      </c>
      <c r="G888" t="s">
        <v>56</v>
      </c>
      <c r="H888" t="s">
        <v>116</v>
      </c>
      <c r="I888" s="4" t="s">
        <v>3442</v>
      </c>
      <c r="J888" s="4" t="s">
        <v>3518</v>
      </c>
      <c r="K888" s="4" t="s">
        <v>3533</v>
      </c>
      <c r="L888" s="4" t="s">
        <v>4229</v>
      </c>
      <c r="M888">
        <v>167.3</v>
      </c>
      <c r="N888">
        <v>52</v>
      </c>
      <c r="O888">
        <f>Supply_Chain[[#This Row],[Unit_Price]]*Supply_Chain[[#This Row],[Quantity]]</f>
        <v>8699.6</v>
      </c>
      <c r="P888" t="s">
        <v>907</v>
      </c>
      <c r="Q888" t="s">
        <v>35</v>
      </c>
      <c r="R888" t="s">
        <v>264</v>
      </c>
      <c r="S888" t="s">
        <v>119</v>
      </c>
      <c r="T888" t="s">
        <v>60</v>
      </c>
      <c r="U888" t="s">
        <v>446</v>
      </c>
      <c r="V888">
        <v>1800</v>
      </c>
      <c r="W888">
        <v>143</v>
      </c>
      <c r="X888">
        <v>29</v>
      </c>
      <c r="Y888">
        <v>95.4</v>
      </c>
      <c r="Z888">
        <v>196.07</v>
      </c>
      <c r="AA888" s="9">
        <v>291.47000000000003</v>
      </c>
      <c r="AB888" t="s">
        <v>52</v>
      </c>
      <c r="AC888">
        <v>0</v>
      </c>
      <c r="AD888">
        <v>96.63</v>
      </c>
      <c r="AE888">
        <v>94</v>
      </c>
      <c r="AF888">
        <v>79</v>
      </c>
      <c r="AG888" s="11">
        <f>Supply_Chain[[#This Row],[Total_Cost]]/Supply_Chain[[#This Row],[Stock_On_Hand]]</f>
        <v>0.16192777777777778</v>
      </c>
    </row>
    <row r="889" spans="1:33" x14ac:dyDescent="0.25">
      <c r="A889" t="s">
        <v>2485</v>
      </c>
      <c r="B889" t="s">
        <v>2486</v>
      </c>
      <c r="C889" s="1">
        <v>45624</v>
      </c>
      <c r="D889" s="1">
        <v>45426</v>
      </c>
      <c r="E889" t="s">
        <v>55</v>
      </c>
      <c r="F889" t="s">
        <v>64</v>
      </c>
      <c r="G889" t="s">
        <v>65</v>
      </c>
      <c r="H889" t="s">
        <v>166</v>
      </c>
      <c r="I889" s="4" t="s">
        <v>3443</v>
      </c>
      <c r="J889" s="4" t="s">
        <v>3518</v>
      </c>
      <c r="K889" s="4" t="s">
        <v>3525</v>
      </c>
      <c r="L889" s="4" t="s">
        <v>4230</v>
      </c>
      <c r="M889">
        <v>30.4</v>
      </c>
      <c r="N889">
        <v>46</v>
      </c>
      <c r="O889">
        <f>Supply_Chain[[#This Row],[Unit_Price]]*Supply_Chain[[#This Row],[Quantity]]</f>
        <v>1398.3999999999999</v>
      </c>
      <c r="P889" t="s">
        <v>2487</v>
      </c>
      <c r="Q889" t="s">
        <v>68</v>
      </c>
      <c r="R889" t="s">
        <v>476</v>
      </c>
      <c r="S889" t="s">
        <v>70</v>
      </c>
      <c r="T889" t="s">
        <v>71</v>
      </c>
      <c r="U889" t="s">
        <v>51</v>
      </c>
      <c r="V889">
        <v>2981</v>
      </c>
      <c r="W889">
        <v>291</v>
      </c>
      <c r="X889">
        <v>1</v>
      </c>
      <c r="Y889">
        <v>1899.42</v>
      </c>
      <c r="Z889">
        <v>342.32</v>
      </c>
      <c r="AA889" s="9">
        <v>2241.7399999999998</v>
      </c>
      <c r="AB889" t="s">
        <v>52</v>
      </c>
      <c r="AC889">
        <v>0</v>
      </c>
      <c r="AD889">
        <v>86.6</v>
      </c>
      <c r="AE889">
        <v>190</v>
      </c>
      <c r="AF889">
        <v>190</v>
      </c>
      <c r="AG889" s="11">
        <f>Supply_Chain[[#This Row],[Total_Cost]]/Supply_Chain[[#This Row],[Stock_On_Hand]]</f>
        <v>0.75200939282120083</v>
      </c>
    </row>
    <row r="890" spans="1:33" x14ac:dyDescent="0.25">
      <c r="A890" t="s">
        <v>2488</v>
      </c>
      <c r="B890" t="s">
        <v>2489</v>
      </c>
      <c r="C890" s="1">
        <v>44907</v>
      </c>
      <c r="D890" s="1">
        <v>44234</v>
      </c>
      <c r="E890" t="s">
        <v>55</v>
      </c>
      <c r="F890" t="s">
        <v>115</v>
      </c>
      <c r="G890" t="s">
        <v>32</v>
      </c>
      <c r="H890" t="s">
        <v>128</v>
      </c>
      <c r="I890" s="4" t="s">
        <v>3444</v>
      </c>
      <c r="J890" s="4" t="s">
        <v>3518</v>
      </c>
      <c r="K890" s="4" t="s">
        <v>3522</v>
      </c>
      <c r="L890" s="4" t="s">
        <v>4231</v>
      </c>
      <c r="M890">
        <v>284.3</v>
      </c>
      <c r="N890">
        <v>9</v>
      </c>
      <c r="O890">
        <f>Supply_Chain[[#This Row],[Unit_Price]]*Supply_Chain[[#This Row],[Quantity]]</f>
        <v>2558.7000000000003</v>
      </c>
      <c r="P890" t="s">
        <v>376</v>
      </c>
      <c r="Q890" t="s">
        <v>35</v>
      </c>
      <c r="R890" t="s">
        <v>69</v>
      </c>
      <c r="S890" t="s">
        <v>37</v>
      </c>
      <c r="T890" t="s">
        <v>100</v>
      </c>
      <c r="U890" t="s">
        <v>297</v>
      </c>
      <c r="V890">
        <v>1850</v>
      </c>
      <c r="W890">
        <v>69</v>
      </c>
      <c r="X890">
        <v>23</v>
      </c>
      <c r="Y890">
        <v>1299.18</v>
      </c>
      <c r="Z890">
        <v>169.7</v>
      </c>
      <c r="AA890" s="9">
        <v>1468.88</v>
      </c>
      <c r="AB890" t="s">
        <v>52</v>
      </c>
      <c r="AC890">
        <v>0</v>
      </c>
      <c r="AD890">
        <v>89.36</v>
      </c>
      <c r="AE890">
        <v>212</v>
      </c>
      <c r="AF890">
        <v>253</v>
      </c>
      <c r="AG890" s="11">
        <f>Supply_Chain[[#This Row],[Total_Cost]]/Supply_Chain[[#This Row],[Stock_On_Hand]]</f>
        <v>0.79398918918918926</v>
      </c>
    </row>
    <row r="891" spans="1:33" x14ac:dyDescent="0.25">
      <c r="A891" t="s">
        <v>2490</v>
      </c>
      <c r="B891" t="s">
        <v>2491</v>
      </c>
      <c r="C891" s="1">
        <v>45140</v>
      </c>
      <c r="D891" s="1">
        <v>45119</v>
      </c>
      <c r="E891" t="s">
        <v>55</v>
      </c>
      <c r="F891" t="s">
        <v>44</v>
      </c>
      <c r="G891" t="s">
        <v>91</v>
      </c>
      <c r="H891" t="s">
        <v>166</v>
      </c>
      <c r="I891" s="3" t="s">
        <v>2992</v>
      </c>
      <c r="J891" s="3" t="s">
        <v>3518</v>
      </c>
      <c r="K891" s="3" t="s">
        <v>3522</v>
      </c>
      <c r="L891" s="3" t="s">
        <v>3790</v>
      </c>
      <c r="M891">
        <v>151.66999999999999</v>
      </c>
      <c r="N891">
        <v>82</v>
      </c>
      <c r="O891">
        <f>Supply_Chain[[#This Row],[Unit_Price]]*Supply_Chain[[#This Row],[Quantity]]</f>
        <v>12436.939999999999</v>
      </c>
      <c r="P891" t="s">
        <v>2492</v>
      </c>
      <c r="Q891" t="s">
        <v>110</v>
      </c>
      <c r="R891" t="s">
        <v>59</v>
      </c>
      <c r="S891" t="s">
        <v>70</v>
      </c>
      <c r="T891" t="s">
        <v>100</v>
      </c>
      <c r="U891" t="s">
        <v>310</v>
      </c>
      <c r="V891">
        <v>2828</v>
      </c>
      <c r="W891">
        <v>492</v>
      </c>
      <c r="X891">
        <v>8</v>
      </c>
      <c r="Y891">
        <v>695.89</v>
      </c>
      <c r="Z891">
        <v>210.76</v>
      </c>
      <c r="AA891" s="9">
        <v>906.65</v>
      </c>
      <c r="AB891" t="s">
        <v>52</v>
      </c>
      <c r="AC891">
        <v>0</v>
      </c>
      <c r="AD891">
        <v>85.59</v>
      </c>
      <c r="AE891">
        <v>306</v>
      </c>
      <c r="AF891">
        <v>316</v>
      </c>
      <c r="AG891" s="11">
        <f>Supply_Chain[[#This Row],[Total_Cost]]/Supply_Chain[[#This Row],[Stock_On_Hand]]</f>
        <v>0.3205975954738331</v>
      </c>
    </row>
    <row r="892" spans="1:33" x14ac:dyDescent="0.25">
      <c r="A892" t="s">
        <v>2493</v>
      </c>
      <c r="B892" t="s">
        <v>2494</v>
      </c>
      <c r="C892" s="1">
        <v>45379</v>
      </c>
      <c r="D892" s="1">
        <v>44494</v>
      </c>
      <c r="E892" t="s">
        <v>55</v>
      </c>
      <c r="F892" t="s">
        <v>31</v>
      </c>
      <c r="G892" t="s">
        <v>247</v>
      </c>
      <c r="H892" t="s">
        <v>166</v>
      </c>
      <c r="I892" s="3" t="s">
        <v>3445</v>
      </c>
      <c r="J892" s="3" t="s">
        <v>3518</v>
      </c>
      <c r="K892" s="3" t="s">
        <v>3522</v>
      </c>
      <c r="L892" s="3" t="s">
        <v>4232</v>
      </c>
      <c r="M892">
        <v>404.41</v>
      </c>
      <c r="N892">
        <v>91</v>
      </c>
      <c r="O892">
        <f>Supply_Chain[[#This Row],[Unit_Price]]*Supply_Chain[[#This Row],[Quantity]]</f>
        <v>36801.310000000005</v>
      </c>
      <c r="P892" t="s">
        <v>2495</v>
      </c>
      <c r="Q892" t="s">
        <v>86</v>
      </c>
      <c r="R892" t="s">
        <v>388</v>
      </c>
      <c r="S892" t="s">
        <v>37</v>
      </c>
      <c r="T892" t="s">
        <v>38</v>
      </c>
      <c r="U892" t="s">
        <v>191</v>
      </c>
      <c r="V892">
        <v>3621</v>
      </c>
      <c r="W892">
        <v>364</v>
      </c>
      <c r="X892">
        <v>10</v>
      </c>
      <c r="Y892">
        <v>662.77</v>
      </c>
      <c r="Z892">
        <v>402.51</v>
      </c>
      <c r="AA892" s="9">
        <v>1065.28</v>
      </c>
      <c r="AB892" t="s">
        <v>52</v>
      </c>
      <c r="AC892">
        <v>0</v>
      </c>
      <c r="AD892">
        <v>98.67</v>
      </c>
      <c r="AE892">
        <v>351</v>
      </c>
      <c r="AF892">
        <v>392</v>
      </c>
      <c r="AG892" s="11">
        <f>Supply_Chain[[#This Row],[Total_Cost]]/Supply_Chain[[#This Row],[Stock_On_Hand]]</f>
        <v>0.29419497376415354</v>
      </c>
    </row>
    <row r="893" spans="1:33" x14ac:dyDescent="0.25">
      <c r="A893" t="s">
        <v>2496</v>
      </c>
      <c r="B893" t="s">
        <v>2497</v>
      </c>
      <c r="C893" s="1">
        <v>45388</v>
      </c>
      <c r="D893" s="1">
        <v>45389</v>
      </c>
      <c r="E893" t="s">
        <v>43</v>
      </c>
      <c r="F893" t="s">
        <v>115</v>
      </c>
      <c r="G893" t="s">
        <v>32</v>
      </c>
      <c r="H893" t="s">
        <v>116</v>
      </c>
      <c r="I893" s="3" t="s">
        <v>3446</v>
      </c>
      <c r="J893" s="3" t="s">
        <v>3518</v>
      </c>
      <c r="K893" s="3" t="s">
        <v>3527</v>
      </c>
      <c r="L893" s="3" t="s">
        <v>4233</v>
      </c>
      <c r="M893">
        <v>253.08</v>
      </c>
      <c r="N893">
        <v>36</v>
      </c>
      <c r="O893">
        <f>Supply_Chain[[#This Row],[Unit_Price]]*Supply_Chain[[#This Row],[Quantity]]</f>
        <v>9110.880000000001</v>
      </c>
      <c r="P893" t="s">
        <v>2451</v>
      </c>
      <c r="Q893" t="s">
        <v>86</v>
      </c>
      <c r="R893" t="s">
        <v>610</v>
      </c>
      <c r="S893" t="s">
        <v>37</v>
      </c>
      <c r="T893" t="s">
        <v>60</v>
      </c>
      <c r="U893" t="s">
        <v>611</v>
      </c>
      <c r="V893">
        <v>2855</v>
      </c>
      <c r="W893">
        <v>393</v>
      </c>
      <c r="X893">
        <v>22</v>
      </c>
      <c r="Y893">
        <v>200.42</v>
      </c>
      <c r="Z893">
        <v>265.24</v>
      </c>
      <c r="AA893" s="9">
        <v>465.66</v>
      </c>
      <c r="AB893" t="s">
        <v>52</v>
      </c>
      <c r="AC893">
        <v>0</v>
      </c>
      <c r="AD893">
        <v>86.96</v>
      </c>
      <c r="AE893">
        <v>432</v>
      </c>
      <c r="AF893">
        <v>467</v>
      </c>
      <c r="AG893" s="11">
        <f>Supply_Chain[[#This Row],[Total_Cost]]/Supply_Chain[[#This Row],[Stock_On_Hand]]</f>
        <v>0.16310332749562173</v>
      </c>
    </row>
    <row r="894" spans="1:33" x14ac:dyDescent="0.25">
      <c r="A894" t="s">
        <v>2498</v>
      </c>
      <c r="B894" t="s">
        <v>2499</v>
      </c>
      <c r="C894" s="1">
        <v>44940</v>
      </c>
      <c r="D894" s="1">
        <v>44969</v>
      </c>
      <c r="E894" t="s">
        <v>55</v>
      </c>
      <c r="F894" t="s">
        <v>44</v>
      </c>
      <c r="G894" t="s">
        <v>45</v>
      </c>
      <c r="H894" t="s">
        <v>57</v>
      </c>
      <c r="I894" s="3" t="s">
        <v>3447</v>
      </c>
      <c r="J894" s="3" t="s">
        <v>3518</v>
      </c>
      <c r="K894" s="3" t="s">
        <v>3523</v>
      </c>
      <c r="L894" s="3" t="s">
        <v>4234</v>
      </c>
      <c r="M894">
        <v>413.48</v>
      </c>
      <c r="N894">
        <v>24</v>
      </c>
      <c r="O894">
        <f>Supply_Chain[[#This Row],[Unit_Price]]*Supply_Chain[[#This Row],[Quantity]]</f>
        <v>9923.52</v>
      </c>
      <c r="P894" t="s">
        <v>1567</v>
      </c>
      <c r="Q894" t="s">
        <v>110</v>
      </c>
      <c r="R894" t="s">
        <v>130</v>
      </c>
      <c r="S894" t="s">
        <v>50</v>
      </c>
      <c r="T894" t="s">
        <v>38</v>
      </c>
      <c r="U894" t="s">
        <v>101</v>
      </c>
      <c r="V894">
        <v>756</v>
      </c>
      <c r="W894">
        <v>276</v>
      </c>
      <c r="X894">
        <v>8</v>
      </c>
      <c r="Y894">
        <v>1965.51</v>
      </c>
      <c r="Z894">
        <v>285.73</v>
      </c>
      <c r="AA894" s="9">
        <v>2251.2399999999998</v>
      </c>
      <c r="AB894" t="s">
        <v>52</v>
      </c>
      <c r="AC894">
        <v>0</v>
      </c>
      <c r="AD894">
        <v>86.18</v>
      </c>
      <c r="AE894">
        <v>79</v>
      </c>
      <c r="AF894">
        <v>35</v>
      </c>
      <c r="AG894" s="11">
        <f>Supply_Chain[[#This Row],[Total_Cost]]/Supply_Chain[[#This Row],[Stock_On_Hand]]</f>
        <v>2.9778306878306875</v>
      </c>
    </row>
    <row r="895" spans="1:33" x14ac:dyDescent="0.25">
      <c r="A895" t="s">
        <v>2500</v>
      </c>
      <c r="B895" t="s">
        <v>2501</v>
      </c>
      <c r="C895" s="1">
        <v>44836</v>
      </c>
      <c r="D895" s="1">
        <v>44202</v>
      </c>
      <c r="E895" t="s">
        <v>55</v>
      </c>
      <c r="F895" t="s">
        <v>44</v>
      </c>
      <c r="G895" t="s">
        <v>91</v>
      </c>
      <c r="H895" t="s">
        <v>92</v>
      </c>
      <c r="I895" s="3" t="s">
        <v>3448</v>
      </c>
      <c r="J895" s="3" t="s">
        <v>3518</v>
      </c>
      <c r="K895" s="3" t="s">
        <v>3521</v>
      </c>
      <c r="L895" s="3" t="s">
        <v>4235</v>
      </c>
      <c r="M895">
        <v>327.02</v>
      </c>
      <c r="N895">
        <v>39</v>
      </c>
      <c r="O895">
        <f>Supply_Chain[[#This Row],[Unit_Price]]*Supply_Chain[[#This Row],[Quantity]]</f>
        <v>12753.779999999999</v>
      </c>
      <c r="P895" t="s">
        <v>818</v>
      </c>
      <c r="Q895" t="s">
        <v>68</v>
      </c>
      <c r="R895" t="s">
        <v>162</v>
      </c>
      <c r="S895" t="s">
        <v>37</v>
      </c>
      <c r="T895" t="s">
        <v>79</v>
      </c>
      <c r="U895" t="s">
        <v>131</v>
      </c>
      <c r="V895">
        <v>4974</v>
      </c>
      <c r="W895">
        <v>208</v>
      </c>
      <c r="X895">
        <v>9</v>
      </c>
      <c r="Y895">
        <v>1280.0999999999999</v>
      </c>
      <c r="Z895">
        <v>18.329999999999998</v>
      </c>
      <c r="AA895" s="9">
        <v>1298.43</v>
      </c>
      <c r="AB895" t="s">
        <v>52</v>
      </c>
      <c r="AC895">
        <v>0</v>
      </c>
      <c r="AD895">
        <v>86.32</v>
      </c>
      <c r="AE895">
        <v>346</v>
      </c>
      <c r="AF895">
        <v>324</v>
      </c>
      <c r="AG895" s="11">
        <f>Supply_Chain[[#This Row],[Total_Cost]]/Supply_Chain[[#This Row],[Stock_On_Hand]]</f>
        <v>0.26104342581423401</v>
      </c>
    </row>
    <row r="896" spans="1:33" x14ac:dyDescent="0.25">
      <c r="A896" t="s">
        <v>2502</v>
      </c>
      <c r="B896" t="s">
        <v>2503</v>
      </c>
      <c r="C896" s="1">
        <v>43839</v>
      </c>
      <c r="D896" s="1">
        <v>45169</v>
      </c>
      <c r="E896" t="s">
        <v>55</v>
      </c>
      <c r="F896" t="s">
        <v>64</v>
      </c>
      <c r="G896" t="s">
        <v>65</v>
      </c>
      <c r="H896" t="s">
        <v>116</v>
      </c>
      <c r="I896" s="3" t="s">
        <v>3449</v>
      </c>
      <c r="J896" s="3" t="s">
        <v>3518</v>
      </c>
      <c r="K896" s="3" t="s">
        <v>3521</v>
      </c>
      <c r="L896" s="3" t="s">
        <v>4236</v>
      </c>
      <c r="M896">
        <v>256.17</v>
      </c>
      <c r="N896">
        <v>22</v>
      </c>
      <c r="O896">
        <f>Supply_Chain[[#This Row],[Unit_Price]]*Supply_Chain[[#This Row],[Quantity]]</f>
        <v>5635.7400000000007</v>
      </c>
      <c r="P896" t="s">
        <v>1105</v>
      </c>
      <c r="Q896" t="s">
        <v>35</v>
      </c>
      <c r="R896" t="s">
        <v>419</v>
      </c>
      <c r="S896" t="s">
        <v>37</v>
      </c>
      <c r="T896" t="s">
        <v>71</v>
      </c>
      <c r="U896" t="s">
        <v>141</v>
      </c>
      <c r="V896">
        <v>3012</v>
      </c>
      <c r="W896">
        <v>322</v>
      </c>
      <c r="X896">
        <v>25</v>
      </c>
      <c r="Y896">
        <v>73.37</v>
      </c>
      <c r="Z896">
        <v>490.49</v>
      </c>
      <c r="AA896" s="9">
        <v>563.86</v>
      </c>
      <c r="AB896" t="s">
        <v>52</v>
      </c>
      <c r="AC896">
        <v>0</v>
      </c>
      <c r="AD896">
        <v>72.28</v>
      </c>
      <c r="AE896">
        <v>300</v>
      </c>
      <c r="AF896">
        <v>299</v>
      </c>
      <c r="AG896" s="11">
        <f>Supply_Chain[[#This Row],[Total_Cost]]/Supply_Chain[[#This Row],[Stock_On_Hand]]</f>
        <v>0.18720451527224435</v>
      </c>
    </row>
    <row r="897" spans="1:33" x14ac:dyDescent="0.25">
      <c r="A897" t="s">
        <v>2504</v>
      </c>
      <c r="B897" t="s">
        <v>2505</v>
      </c>
      <c r="C897" s="1">
        <v>45504</v>
      </c>
      <c r="D897" s="1">
        <v>44644</v>
      </c>
      <c r="E897" t="s">
        <v>43</v>
      </c>
      <c r="F897" t="s">
        <v>44</v>
      </c>
      <c r="G897" t="s">
        <v>83</v>
      </c>
      <c r="H897" t="s">
        <v>66</v>
      </c>
      <c r="I897" s="3" t="s">
        <v>3450</v>
      </c>
      <c r="J897" s="3" t="s">
        <v>3519</v>
      </c>
      <c r="K897" s="3" t="s">
        <v>3528</v>
      </c>
      <c r="L897" s="3" t="s">
        <v>4237</v>
      </c>
      <c r="M897">
        <v>338.58</v>
      </c>
      <c r="N897">
        <v>55</v>
      </c>
      <c r="O897">
        <f>Supply_Chain[[#This Row],[Unit_Price]]*Supply_Chain[[#This Row],[Quantity]]</f>
        <v>18621.899999999998</v>
      </c>
      <c r="P897" t="s">
        <v>2506</v>
      </c>
      <c r="Q897" t="s">
        <v>68</v>
      </c>
      <c r="R897" t="s">
        <v>69</v>
      </c>
      <c r="S897" t="s">
        <v>70</v>
      </c>
      <c r="T897" t="s">
        <v>79</v>
      </c>
      <c r="U897" t="s">
        <v>215</v>
      </c>
      <c r="V897">
        <v>111</v>
      </c>
      <c r="W897">
        <v>295</v>
      </c>
      <c r="X897">
        <v>21</v>
      </c>
      <c r="Y897">
        <v>1918.15</v>
      </c>
      <c r="Z897">
        <v>94.89</v>
      </c>
      <c r="AA897" s="9">
        <v>2013.04</v>
      </c>
      <c r="AB897" t="s">
        <v>52</v>
      </c>
      <c r="AC897">
        <v>0</v>
      </c>
      <c r="AD897">
        <v>77.430000000000007</v>
      </c>
      <c r="AE897">
        <v>338</v>
      </c>
      <c r="AF897">
        <v>298</v>
      </c>
      <c r="AG897" s="11">
        <f>Supply_Chain[[#This Row],[Total_Cost]]/Supply_Chain[[#This Row],[Stock_On_Hand]]</f>
        <v>18.135495495495494</v>
      </c>
    </row>
    <row r="898" spans="1:33" x14ac:dyDescent="0.25">
      <c r="A898" t="s">
        <v>2507</v>
      </c>
      <c r="B898" t="s">
        <v>2508</v>
      </c>
      <c r="C898" s="1">
        <v>44503</v>
      </c>
      <c r="D898" s="1">
        <v>44039</v>
      </c>
      <c r="E898" t="s">
        <v>55</v>
      </c>
      <c r="F898" t="s">
        <v>75</v>
      </c>
      <c r="G898" t="s">
        <v>56</v>
      </c>
      <c r="H898" t="s">
        <v>92</v>
      </c>
      <c r="I898" s="3" t="s">
        <v>3169</v>
      </c>
      <c r="J898" s="3" t="s">
        <v>3519</v>
      </c>
      <c r="K898" s="3" t="s">
        <v>3528</v>
      </c>
      <c r="L898" s="3" t="s">
        <v>4238</v>
      </c>
      <c r="M898">
        <v>432.23</v>
      </c>
      <c r="N898">
        <v>19</v>
      </c>
      <c r="O898">
        <f>Supply_Chain[[#This Row],[Unit_Price]]*Supply_Chain[[#This Row],[Quantity]]</f>
        <v>8212.3700000000008</v>
      </c>
      <c r="P898" t="s">
        <v>2509</v>
      </c>
      <c r="Q898" t="s">
        <v>68</v>
      </c>
      <c r="R898" t="s">
        <v>476</v>
      </c>
      <c r="S898" t="s">
        <v>70</v>
      </c>
      <c r="T898" t="s">
        <v>38</v>
      </c>
      <c r="U898" t="s">
        <v>489</v>
      </c>
      <c r="V898">
        <v>3749</v>
      </c>
      <c r="W898">
        <v>430</v>
      </c>
      <c r="X898">
        <v>22</v>
      </c>
      <c r="Y898">
        <v>1935.66</v>
      </c>
      <c r="Z898">
        <v>440.16</v>
      </c>
      <c r="AA898" s="9">
        <v>2375.8200000000002</v>
      </c>
      <c r="AB898" t="s">
        <v>52</v>
      </c>
      <c r="AC898">
        <v>0</v>
      </c>
      <c r="AD898">
        <v>83.13</v>
      </c>
      <c r="AE898">
        <v>201</v>
      </c>
      <c r="AF898">
        <v>194</v>
      </c>
      <c r="AG898" s="11">
        <f>Supply_Chain[[#This Row],[Total_Cost]]/Supply_Chain[[#This Row],[Stock_On_Hand]]</f>
        <v>0.63372099226460399</v>
      </c>
    </row>
    <row r="899" spans="1:33" x14ac:dyDescent="0.25">
      <c r="A899" t="s">
        <v>2510</v>
      </c>
      <c r="B899" t="s">
        <v>2511</v>
      </c>
      <c r="C899" s="1">
        <v>45307</v>
      </c>
      <c r="D899" s="1">
        <v>44745</v>
      </c>
      <c r="E899" t="s">
        <v>55</v>
      </c>
      <c r="F899" t="s">
        <v>31</v>
      </c>
      <c r="G899" t="s">
        <v>65</v>
      </c>
      <c r="H899" t="s">
        <v>46</v>
      </c>
      <c r="I899" s="3" t="s">
        <v>3441</v>
      </c>
      <c r="J899" s="3" t="s">
        <v>3519</v>
      </c>
      <c r="K899" s="3" t="s">
        <v>3528</v>
      </c>
      <c r="L899" s="3" t="s">
        <v>4228</v>
      </c>
      <c r="M899">
        <v>119.9</v>
      </c>
      <c r="N899">
        <v>55</v>
      </c>
      <c r="O899">
        <f>Supply_Chain[[#This Row],[Unit_Price]]*Supply_Chain[[#This Row],[Quantity]]</f>
        <v>6594.5</v>
      </c>
      <c r="P899" t="s">
        <v>1043</v>
      </c>
      <c r="Q899" t="s">
        <v>110</v>
      </c>
      <c r="R899" t="s">
        <v>264</v>
      </c>
      <c r="S899" t="s">
        <v>50</v>
      </c>
      <c r="T899" t="s">
        <v>60</v>
      </c>
      <c r="U899" t="s">
        <v>150</v>
      </c>
      <c r="V899">
        <v>1386</v>
      </c>
      <c r="W899">
        <v>263</v>
      </c>
      <c r="X899">
        <v>1</v>
      </c>
      <c r="Y899">
        <v>846.75</v>
      </c>
      <c r="Z899">
        <v>480.18</v>
      </c>
      <c r="AA899" s="9">
        <v>1326.93</v>
      </c>
      <c r="AB899" t="s">
        <v>52</v>
      </c>
      <c r="AC899">
        <v>0</v>
      </c>
      <c r="AD899">
        <v>77.400000000000006</v>
      </c>
      <c r="AE899">
        <v>210</v>
      </c>
      <c r="AF899">
        <v>233</v>
      </c>
      <c r="AG899" s="11">
        <f>Supply_Chain[[#This Row],[Total_Cost]]/Supply_Chain[[#This Row],[Stock_On_Hand]]</f>
        <v>0.95738095238095244</v>
      </c>
    </row>
    <row r="900" spans="1:33" x14ac:dyDescent="0.25">
      <c r="A900" t="s">
        <v>2512</v>
      </c>
      <c r="B900" t="s">
        <v>2513</v>
      </c>
      <c r="C900" s="1">
        <v>44050</v>
      </c>
      <c r="D900" s="1">
        <v>45345</v>
      </c>
      <c r="E900" t="s">
        <v>55</v>
      </c>
      <c r="F900" t="s">
        <v>44</v>
      </c>
      <c r="G900" t="s">
        <v>83</v>
      </c>
      <c r="H900" t="s">
        <v>33</v>
      </c>
      <c r="I900" s="3" t="s">
        <v>3451</v>
      </c>
      <c r="J900" s="3" t="s">
        <v>84</v>
      </c>
      <c r="K900" s="3" t="s">
        <v>3529</v>
      </c>
      <c r="L900" s="3" t="s">
        <v>4239</v>
      </c>
      <c r="M900">
        <v>25.82</v>
      </c>
      <c r="N900">
        <v>17</v>
      </c>
      <c r="O900">
        <f>Supply_Chain[[#This Row],[Unit_Price]]*Supply_Chain[[#This Row],[Quantity]]</f>
        <v>438.94</v>
      </c>
      <c r="P900" t="s">
        <v>2514</v>
      </c>
      <c r="Q900" t="s">
        <v>110</v>
      </c>
      <c r="R900" t="s">
        <v>369</v>
      </c>
      <c r="S900" t="s">
        <v>70</v>
      </c>
      <c r="T900" t="s">
        <v>38</v>
      </c>
      <c r="U900" t="s">
        <v>155</v>
      </c>
      <c r="V900">
        <v>3811</v>
      </c>
      <c r="W900">
        <v>259</v>
      </c>
      <c r="X900">
        <v>25</v>
      </c>
      <c r="Y900">
        <v>1263.24</v>
      </c>
      <c r="Z900">
        <v>325.43</v>
      </c>
      <c r="AA900" s="9">
        <v>1588.67</v>
      </c>
      <c r="AB900" t="s">
        <v>52</v>
      </c>
      <c r="AC900">
        <v>0</v>
      </c>
      <c r="AD900">
        <v>99.03</v>
      </c>
      <c r="AE900">
        <v>432</v>
      </c>
      <c r="AF900">
        <v>437</v>
      </c>
      <c r="AG900" s="11">
        <f>Supply_Chain[[#This Row],[Total_Cost]]/Supply_Chain[[#This Row],[Stock_On_Hand]]</f>
        <v>0.41686434006822359</v>
      </c>
    </row>
    <row r="901" spans="1:33" x14ac:dyDescent="0.25">
      <c r="A901" t="s">
        <v>2515</v>
      </c>
      <c r="B901" t="s">
        <v>1717</v>
      </c>
      <c r="C901" s="1">
        <v>44524</v>
      </c>
      <c r="D901" s="1">
        <v>44893</v>
      </c>
      <c r="E901" t="s">
        <v>43</v>
      </c>
      <c r="F901" t="s">
        <v>44</v>
      </c>
      <c r="G901" t="s">
        <v>65</v>
      </c>
      <c r="H901" t="s">
        <v>46</v>
      </c>
      <c r="I901" s="3" t="s">
        <v>3452</v>
      </c>
      <c r="J901" s="3" t="s">
        <v>3518</v>
      </c>
      <c r="K901" s="3" t="s">
        <v>3525</v>
      </c>
      <c r="L901" s="3" t="s">
        <v>4240</v>
      </c>
      <c r="M901">
        <v>16.8</v>
      </c>
      <c r="N901">
        <v>56</v>
      </c>
      <c r="O901">
        <f>Supply_Chain[[#This Row],[Unit_Price]]*Supply_Chain[[#This Row],[Quantity]]</f>
        <v>940.80000000000007</v>
      </c>
      <c r="P901" t="s">
        <v>2516</v>
      </c>
      <c r="Q901" t="s">
        <v>86</v>
      </c>
      <c r="R901" t="s">
        <v>323</v>
      </c>
      <c r="S901" t="s">
        <v>119</v>
      </c>
      <c r="T901" t="s">
        <v>100</v>
      </c>
      <c r="U901" t="s">
        <v>187</v>
      </c>
      <c r="V901">
        <v>715</v>
      </c>
      <c r="W901">
        <v>260</v>
      </c>
      <c r="X901">
        <v>5</v>
      </c>
      <c r="Y901">
        <v>58.34</v>
      </c>
      <c r="Z901">
        <v>90.53</v>
      </c>
      <c r="AA901" s="9">
        <v>148.87</v>
      </c>
      <c r="AB901" t="s">
        <v>52</v>
      </c>
      <c r="AC901">
        <v>0</v>
      </c>
      <c r="AD901">
        <v>77.44</v>
      </c>
      <c r="AE901">
        <v>165</v>
      </c>
      <c r="AF901">
        <v>160</v>
      </c>
      <c r="AG901" s="11">
        <f>Supply_Chain[[#This Row],[Total_Cost]]/Supply_Chain[[#This Row],[Stock_On_Hand]]</f>
        <v>0.20820979020979022</v>
      </c>
    </row>
    <row r="902" spans="1:33" x14ac:dyDescent="0.25">
      <c r="A902" t="s">
        <v>2517</v>
      </c>
      <c r="B902" t="s">
        <v>2518</v>
      </c>
      <c r="C902" s="1">
        <v>43923</v>
      </c>
      <c r="D902" s="1">
        <v>45396</v>
      </c>
      <c r="E902" t="s">
        <v>55</v>
      </c>
      <c r="F902" t="s">
        <v>44</v>
      </c>
      <c r="G902" t="s">
        <v>56</v>
      </c>
      <c r="H902" t="s">
        <v>33</v>
      </c>
      <c r="I902" s="3" t="s">
        <v>3453</v>
      </c>
      <c r="J902" s="3" t="s">
        <v>3518</v>
      </c>
      <c r="K902" s="3" t="s">
        <v>3527</v>
      </c>
      <c r="L902" s="3" t="s">
        <v>4241</v>
      </c>
      <c r="M902">
        <v>218.43</v>
      </c>
      <c r="N902">
        <v>3</v>
      </c>
      <c r="O902">
        <f>Supply_Chain[[#This Row],[Unit_Price]]*Supply_Chain[[#This Row],[Quantity]]</f>
        <v>655.29</v>
      </c>
      <c r="P902" t="s">
        <v>2519</v>
      </c>
      <c r="Q902" t="s">
        <v>68</v>
      </c>
      <c r="R902" t="s">
        <v>99</v>
      </c>
      <c r="S902" t="s">
        <v>70</v>
      </c>
      <c r="T902" t="s">
        <v>71</v>
      </c>
      <c r="U902" t="s">
        <v>39</v>
      </c>
      <c r="V902">
        <v>2096</v>
      </c>
      <c r="W902">
        <v>245</v>
      </c>
      <c r="X902">
        <v>27</v>
      </c>
      <c r="Y902">
        <v>1979.64</v>
      </c>
      <c r="Z902">
        <v>325.19</v>
      </c>
      <c r="AA902" s="9">
        <v>2304.83</v>
      </c>
      <c r="AB902" t="s">
        <v>52</v>
      </c>
      <c r="AC902">
        <v>0</v>
      </c>
      <c r="AD902">
        <v>86.09</v>
      </c>
      <c r="AE902">
        <v>227</v>
      </c>
      <c r="AF902">
        <v>233</v>
      </c>
      <c r="AG902" s="11">
        <f>Supply_Chain[[#This Row],[Total_Cost]]/Supply_Chain[[#This Row],[Stock_On_Hand]]</f>
        <v>1.0996326335877862</v>
      </c>
    </row>
    <row r="903" spans="1:33" x14ac:dyDescent="0.25">
      <c r="A903" t="s">
        <v>2520</v>
      </c>
      <c r="B903" t="s">
        <v>2521</v>
      </c>
      <c r="C903" s="1">
        <v>43866</v>
      </c>
      <c r="D903" s="1">
        <v>44840</v>
      </c>
      <c r="E903" t="s">
        <v>55</v>
      </c>
      <c r="F903" t="s">
        <v>115</v>
      </c>
      <c r="G903" t="s">
        <v>91</v>
      </c>
      <c r="H903" t="s">
        <v>166</v>
      </c>
      <c r="I903" s="3" t="s">
        <v>3454</v>
      </c>
      <c r="J903" s="3" t="s">
        <v>3518</v>
      </c>
      <c r="K903" s="3" t="s">
        <v>3524</v>
      </c>
      <c r="L903" s="3" t="s">
        <v>4242</v>
      </c>
      <c r="M903">
        <v>322.01</v>
      </c>
      <c r="N903">
        <v>68</v>
      </c>
      <c r="O903">
        <f>Supply_Chain[[#This Row],[Unit_Price]]*Supply_Chain[[#This Row],[Quantity]]</f>
        <v>21896.68</v>
      </c>
      <c r="P903" t="s">
        <v>1331</v>
      </c>
      <c r="Q903" t="s">
        <v>68</v>
      </c>
      <c r="R903" t="s">
        <v>466</v>
      </c>
      <c r="S903" t="s">
        <v>37</v>
      </c>
      <c r="T903" t="s">
        <v>100</v>
      </c>
      <c r="U903" t="s">
        <v>302</v>
      </c>
      <c r="V903">
        <v>4470</v>
      </c>
      <c r="W903">
        <v>296</v>
      </c>
      <c r="X903">
        <v>10</v>
      </c>
      <c r="Y903">
        <v>1328.44</v>
      </c>
      <c r="Z903">
        <v>481.56</v>
      </c>
      <c r="AA903" s="9">
        <v>1810</v>
      </c>
      <c r="AB903" t="s">
        <v>52</v>
      </c>
      <c r="AC903">
        <v>0</v>
      </c>
      <c r="AD903">
        <v>70.56</v>
      </c>
      <c r="AE903">
        <v>407</v>
      </c>
      <c r="AF903">
        <v>423</v>
      </c>
      <c r="AG903" s="11">
        <f>Supply_Chain[[#This Row],[Total_Cost]]/Supply_Chain[[#This Row],[Stock_On_Hand]]</f>
        <v>0.40492170022371365</v>
      </c>
    </row>
    <row r="904" spans="1:33" x14ac:dyDescent="0.25">
      <c r="A904" t="s">
        <v>2522</v>
      </c>
      <c r="B904" t="s">
        <v>515</v>
      </c>
      <c r="C904" s="1">
        <v>44122</v>
      </c>
      <c r="D904" s="1">
        <v>44466</v>
      </c>
      <c r="E904" t="s">
        <v>43</v>
      </c>
      <c r="F904" t="s">
        <v>75</v>
      </c>
      <c r="G904" t="s">
        <v>45</v>
      </c>
      <c r="H904" t="s">
        <v>33</v>
      </c>
      <c r="I904" s="3" t="s">
        <v>3222</v>
      </c>
      <c r="J904" s="3" t="s">
        <v>84</v>
      </c>
      <c r="K904" s="3" t="s">
        <v>3529</v>
      </c>
      <c r="L904" s="3" t="s">
        <v>4013</v>
      </c>
      <c r="M904">
        <v>241.91</v>
      </c>
      <c r="N904">
        <v>4</v>
      </c>
      <c r="O904">
        <f>Supply_Chain[[#This Row],[Unit_Price]]*Supply_Chain[[#This Row],[Quantity]]</f>
        <v>967.64</v>
      </c>
      <c r="P904" t="s">
        <v>2523</v>
      </c>
      <c r="Q904" t="s">
        <v>86</v>
      </c>
      <c r="R904" t="s">
        <v>176</v>
      </c>
      <c r="S904" t="s">
        <v>50</v>
      </c>
      <c r="T904" t="s">
        <v>79</v>
      </c>
      <c r="U904" t="s">
        <v>72</v>
      </c>
      <c r="V904">
        <v>4449</v>
      </c>
      <c r="W904">
        <v>260</v>
      </c>
      <c r="X904">
        <v>20</v>
      </c>
      <c r="Y904">
        <v>1017.33</v>
      </c>
      <c r="Z904">
        <v>269.29000000000002</v>
      </c>
      <c r="AA904" s="9">
        <v>1286.6199999999999</v>
      </c>
      <c r="AB904" t="s">
        <v>52</v>
      </c>
      <c r="AC904">
        <v>0</v>
      </c>
      <c r="AD904">
        <v>76.12</v>
      </c>
      <c r="AE904">
        <v>349</v>
      </c>
      <c r="AF904">
        <v>328</v>
      </c>
      <c r="AG904" s="11">
        <f>Supply_Chain[[#This Row],[Total_Cost]]/Supply_Chain[[#This Row],[Stock_On_Hand]]</f>
        <v>0.28919307709597658</v>
      </c>
    </row>
    <row r="905" spans="1:33" x14ac:dyDescent="0.25">
      <c r="A905" t="s">
        <v>2524</v>
      </c>
      <c r="B905" t="s">
        <v>2525</v>
      </c>
      <c r="C905" s="1">
        <v>43856</v>
      </c>
      <c r="D905" s="1">
        <v>43859</v>
      </c>
      <c r="E905" t="s">
        <v>55</v>
      </c>
      <c r="F905" t="s">
        <v>44</v>
      </c>
      <c r="G905" t="s">
        <v>32</v>
      </c>
      <c r="H905" t="s">
        <v>116</v>
      </c>
      <c r="I905" s="3" t="s">
        <v>3455</v>
      </c>
      <c r="J905" s="3" t="s">
        <v>3518</v>
      </c>
      <c r="K905" s="3" t="s">
        <v>3533</v>
      </c>
      <c r="L905" s="3" t="s">
        <v>4243</v>
      </c>
      <c r="M905">
        <v>206.31</v>
      </c>
      <c r="N905">
        <v>14</v>
      </c>
      <c r="O905">
        <f>Supply_Chain[[#This Row],[Unit_Price]]*Supply_Chain[[#This Row],[Quantity]]</f>
        <v>2888.34</v>
      </c>
      <c r="P905" t="s">
        <v>751</v>
      </c>
      <c r="Q905" t="s">
        <v>48</v>
      </c>
      <c r="R905" t="s">
        <v>301</v>
      </c>
      <c r="S905" t="s">
        <v>70</v>
      </c>
      <c r="T905" t="s">
        <v>79</v>
      </c>
      <c r="U905" t="s">
        <v>389</v>
      </c>
      <c r="V905">
        <v>4507</v>
      </c>
      <c r="W905">
        <v>156</v>
      </c>
      <c r="X905">
        <v>3</v>
      </c>
      <c r="Y905">
        <v>1805.2</v>
      </c>
      <c r="Z905">
        <v>444.96</v>
      </c>
      <c r="AA905" s="9">
        <v>2250.16</v>
      </c>
      <c r="AB905" t="s">
        <v>52</v>
      </c>
      <c r="AC905">
        <v>0</v>
      </c>
      <c r="AD905">
        <v>93.04</v>
      </c>
      <c r="AE905">
        <v>93</v>
      </c>
      <c r="AF905">
        <v>67</v>
      </c>
      <c r="AG905" s="11">
        <f>Supply_Chain[[#This Row],[Total_Cost]]/Supply_Chain[[#This Row],[Stock_On_Hand]]</f>
        <v>0.49925893055247389</v>
      </c>
    </row>
    <row r="906" spans="1:33" x14ac:dyDescent="0.25">
      <c r="A906" t="s">
        <v>2526</v>
      </c>
      <c r="B906" t="s">
        <v>2527</v>
      </c>
      <c r="C906" s="1">
        <v>44046</v>
      </c>
      <c r="D906" s="1">
        <v>45535</v>
      </c>
      <c r="E906" t="s">
        <v>43</v>
      </c>
      <c r="F906" t="s">
        <v>64</v>
      </c>
      <c r="G906" t="s">
        <v>65</v>
      </c>
      <c r="H906" t="s">
        <v>92</v>
      </c>
      <c r="I906" s="3" t="s">
        <v>3456</v>
      </c>
      <c r="J906" s="3" t="s">
        <v>3518</v>
      </c>
      <c r="K906" s="3" t="s">
        <v>3525</v>
      </c>
      <c r="L906" s="3" t="s">
        <v>4244</v>
      </c>
      <c r="M906">
        <v>337.89</v>
      </c>
      <c r="N906">
        <v>44</v>
      </c>
      <c r="O906">
        <f>Supply_Chain[[#This Row],[Unit_Price]]*Supply_Chain[[#This Row],[Quantity]]</f>
        <v>14867.16</v>
      </c>
      <c r="P906" t="s">
        <v>2528</v>
      </c>
      <c r="Q906" t="s">
        <v>48</v>
      </c>
      <c r="R906" t="s">
        <v>176</v>
      </c>
      <c r="S906" t="s">
        <v>37</v>
      </c>
      <c r="T906" t="s">
        <v>100</v>
      </c>
      <c r="U906" t="s">
        <v>545</v>
      </c>
      <c r="V906">
        <v>3143</v>
      </c>
      <c r="W906">
        <v>104</v>
      </c>
      <c r="X906">
        <v>16</v>
      </c>
      <c r="Y906">
        <v>1807.54</v>
      </c>
      <c r="Z906">
        <v>140.4</v>
      </c>
      <c r="AA906" s="9">
        <v>1947.94</v>
      </c>
      <c r="AB906" t="s">
        <v>40</v>
      </c>
      <c r="AC906">
        <v>4</v>
      </c>
      <c r="AD906">
        <v>92.55</v>
      </c>
      <c r="AE906">
        <v>230</v>
      </c>
      <c r="AF906">
        <v>210</v>
      </c>
      <c r="AG906" s="11">
        <f>Supply_Chain[[#This Row],[Total_Cost]]/Supply_Chain[[#This Row],[Stock_On_Hand]]</f>
        <v>0.61977091950365892</v>
      </c>
    </row>
    <row r="907" spans="1:33" x14ac:dyDescent="0.25">
      <c r="A907" t="s">
        <v>2529</v>
      </c>
      <c r="B907" t="s">
        <v>2530</v>
      </c>
      <c r="C907" s="1">
        <v>44988</v>
      </c>
      <c r="D907" s="1">
        <v>45201</v>
      </c>
      <c r="E907" t="s">
        <v>43</v>
      </c>
      <c r="F907" t="s">
        <v>44</v>
      </c>
      <c r="G907" t="s">
        <v>83</v>
      </c>
      <c r="H907" t="s">
        <v>66</v>
      </c>
      <c r="I907" s="3" t="s">
        <v>3457</v>
      </c>
      <c r="J907" s="3" t="s">
        <v>3518</v>
      </c>
      <c r="K907" s="3" t="s">
        <v>3522</v>
      </c>
      <c r="L907" s="3" t="s">
        <v>4245</v>
      </c>
      <c r="M907">
        <v>142.07</v>
      </c>
      <c r="N907">
        <v>58</v>
      </c>
      <c r="O907">
        <f>Supply_Chain[[#This Row],[Unit_Price]]*Supply_Chain[[#This Row],[Quantity]]</f>
        <v>8240.06</v>
      </c>
      <c r="P907" t="s">
        <v>2531</v>
      </c>
      <c r="Q907" t="s">
        <v>110</v>
      </c>
      <c r="R907" t="s">
        <v>111</v>
      </c>
      <c r="S907" t="s">
        <v>70</v>
      </c>
      <c r="T907" t="s">
        <v>100</v>
      </c>
      <c r="U907" t="s">
        <v>146</v>
      </c>
      <c r="V907">
        <v>4504</v>
      </c>
      <c r="W907">
        <v>434</v>
      </c>
      <c r="X907">
        <v>3</v>
      </c>
      <c r="Y907">
        <v>375.65</v>
      </c>
      <c r="Z907">
        <v>339.13</v>
      </c>
      <c r="AA907" s="9">
        <v>714.78</v>
      </c>
      <c r="AB907" t="s">
        <v>52</v>
      </c>
      <c r="AC907">
        <v>0</v>
      </c>
      <c r="AD907">
        <v>72.290000000000006</v>
      </c>
      <c r="AE907">
        <v>403</v>
      </c>
      <c r="AF907">
        <v>400</v>
      </c>
      <c r="AG907" s="11">
        <f>Supply_Chain[[#This Row],[Total_Cost]]/Supply_Chain[[#This Row],[Stock_On_Hand]]</f>
        <v>0.15869893428063941</v>
      </c>
    </row>
    <row r="908" spans="1:33" x14ac:dyDescent="0.25">
      <c r="A908" t="s">
        <v>2532</v>
      </c>
      <c r="B908" t="s">
        <v>2533</v>
      </c>
      <c r="C908" s="1">
        <v>44215</v>
      </c>
      <c r="D908" s="1">
        <v>45353</v>
      </c>
      <c r="E908" t="s">
        <v>55</v>
      </c>
      <c r="F908" t="s">
        <v>44</v>
      </c>
      <c r="G908" t="s">
        <v>32</v>
      </c>
      <c r="H908" t="s">
        <v>57</v>
      </c>
      <c r="I908" s="3" t="s">
        <v>3458</v>
      </c>
      <c r="J908" s="3" t="s">
        <v>3518</v>
      </c>
      <c r="K908" s="3" t="s">
        <v>3522</v>
      </c>
      <c r="L908" s="3" t="s">
        <v>4246</v>
      </c>
      <c r="M908">
        <v>333.42</v>
      </c>
      <c r="N908">
        <v>37</v>
      </c>
      <c r="O908">
        <f>Supply_Chain[[#This Row],[Unit_Price]]*Supply_Chain[[#This Row],[Quantity]]</f>
        <v>12336.54</v>
      </c>
      <c r="P908" t="s">
        <v>2139</v>
      </c>
      <c r="Q908" t="s">
        <v>86</v>
      </c>
      <c r="R908" t="s">
        <v>369</v>
      </c>
      <c r="S908" t="s">
        <v>37</v>
      </c>
      <c r="T908" t="s">
        <v>38</v>
      </c>
      <c r="U908" t="s">
        <v>223</v>
      </c>
      <c r="V908">
        <v>3139</v>
      </c>
      <c r="W908">
        <v>259</v>
      </c>
      <c r="X908">
        <v>23</v>
      </c>
      <c r="Y908">
        <v>742.45</v>
      </c>
      <c r="Z908">
        <v>433.51</v>
      </c>
      <c r="AA908" s="9">
        <v>1175.96</v>
      </c>
      <c r="AB908" t="s">
        <v>52</v>
      </c>
      <c r="AC908">
        <v>0</v>
      </c>
      <c r="AD908">
        <v>94.29</v>
      </c>
      <c r="AE908">
        <v>425</v>
      </c>
      <c r="AF908">
        <v>474</v>
      </c>
      <c r="AG908" s="11">
        <f>Supply_Chain[[#This Row],[Total_Cost]]/Supply_Chain[[#This Row],[Stock_On_Hand]]</f>
        <v>0.37462886269512585</v>
      </c>
    </row>
    <row r="909" spans="1:33" x14ac:dyDescent="0.25">
      <c r="A909" t="s">
        <v>2534</v>
      </c>
      <c r="B909" t="s">
        <v>2535</v>
      </c>
      <c r="C909" s="1">
        <v>45642</v>
      </c>
      <c r="D909" s="1">
        <v>44783</v>
      </c>
      <c r="E909" t="s">
        <v>55</v>
      </c>
      <c r="F909" t="s">
        <v>31</v>
      </c>
      <c r="G909" t="s">
        <v>45</v>
      </c>
      <c r="H909" t="s">
        <v>33</v>
      </c>
      <c r="I909" s="3" t="s">
        <v>2945</v>
      </c>
      <c r="J909" s="3" t="s">
        <v>3518</v>
      </c>
      <c r="K909" s="3" t="s">
        <v>3523</v>
      </c>
      <c r="L909" s="3" t="s">
        <v>3743</v>
      </c>
      <c r="M909">
        <v>343.32</v>
      </c>
      <c r="N909">
        <v>79</v>
      </c>
      <c r="O909">
        <f>Supply_Chain[[#This Row],[Unit_Price]]*Supply_Chain[[#This Row],[Quantity]]</f>
        <v>27122.28</v>
      </c>
      <c r="P909" t="s">
        <v>2536</v>
      </c>
      <c r="Q909" t="s">
        <v>68</v>
      </c>
      <c r="R909" t="s">
        <v>176</v>
      </c>
      <c r="S909" t="s">
        <v>119</v>
      </c>
      <c r="T909" t="s">
        <v>60</v>
      </c>
      <c r="U909" t="s">
        <v>316</v>
      </c>
      <c r="V909">
        <v>268</v>
      </c>
      <c r="W909">
        <v>499</v>
      </c>
      <c r="X909">
        <v>14</v>
      </c>
      <c r="Y909">
        <v>1946.76</v>
      </c>
      <c r="Z909">
        <v>98.01</v>
      </c>
      <c r="AA909" s="9">
        <v>2044.77</v>
      </c>
      <c r="AB909" t="s">
        <v>52</v>
      </c>
      <c r="AC909">
        <v>0</v>
      </c>
      <c r="AD909">
        <v>95.78</v>
      </c>
      <c r="AE909">
        <v>172</v>
      </c>
      <c r="AF909">
        <v>133</v>
      </c>
      <c r="AG909" s="11">
        <f>Supply_Chain[[#This Row],[Total_Cost]]/Supply_Chain[[#This Row],[Stock_On_Hand]]</f>
        <v>7.629738805970149</v>
      </c>
    </row>
    <row r="910" spans="1:33" x14ac:dyDescent="0.25">
      <c r="A910" t="s">
        <v>2537</v>
      </c>
      <c r="B910" t="s">
        <v>2538</v>
      </c>
      <c r="C910" s="1">
        <v>45385</v>
      </c>
      <c r="D910" s="1">
        <v>44324</v>
      </c>
      <c r="E910" t="s">
        <v>55</v>
      </c>
      <c r="F910" t="s">
        <v>44</v>
      </c>
      <c r="G910" t="s">
        <v>247</v>
      </c>
      <c r="H910" t="s">
        <v>66</v>
      </c>
      <c r="I910" s="3" t="s">
        <v>3459</v>
      </c>
      <c r="J910" s="3" t="s">
        <v>3518</v>
      </c>
      <c r="K910" s="3" t="s">
        <v>3521</v>
      </c>
      <c r="L910" s="3" t="s">
        <v>4247</v>
      </c>
      <c r="M910">
        <v>145.97999999999999</v>
      </c>
      <c r="N910">
        <v>19</v>
      </c>
      <c r="O910">
        <f>Supply_Chain[[#This Row],[Unit_Price]]*Supply_Chain[[#This Row],[Quantity]]</f>
        <v>2773.62</v>
      </c>
      <c r="P910" t="s">
        <v>2083</v>
      </c>
      <c r="Q910" t="s">
        <v>86</v>
      </c>
      <c r="R910" t="s">
        <v>69</v>
      </c>
      <c r="S910" t="s">
        <v>119</v>
      </c>
      <c r="T910" t="s">
        <v>71</v>
      </c>
      <c r="U910" t="s">
        <v>203</v>
      </c>
      <c r="V910">
        <v>1125</v>
      </c>
      <c r="W910">
        <v>116</v>
      </c>
      <c r="X910">
        <v>14</v>
      </c>
      <c r="Y910">
        <v>970.65</v>
      </c>
      <c r="Z910">
        <v>291.51</v>
      </c>
      <c r="AA910" s="9">
        <v>1262.1600000000001</v>
      </c>
      <c r="AB910" t="s">
        <v>52</v>
      </c>
      <c r="AC910">
        <v>0</v>
      </c>
      <c r="AD910">
        <v>99.25</v>
      </c>
      <c r="AE910">
        <v>486</v>
      </c>
      <c r="AF910">
        <v>511</v>
      </c>
      <c r="AG910" s="11">
        <f>Supply_Chain[[#This Row],[Total_Cost]]/Supply_Chain[[#This Row],[Stock_On_Hand]]</f>
        <v>1.12192</v>
      </c>
    </row>
    <row r="911" spans="1:33" x14ac:dyDescent="0.25">
      <c r="A911" t="s">
        <v>2539</v>
      </c>
      <c r="B911" t="s">
        <v>2540</v>
      </c>
      <c r="C911" s="1">
        <v>44901</v>
      </c>
      <c r="D911" s="1">
        <v>45456</v>
      </c>
      <c r="E911" t="s">
        <v>55</v>
      </c>
      <c r="F911" t="s">
        <v>115</v>
      </c>
      <c r="G911" t="s">
        <v>91</v>
      </c>
      <c r="H911" t="s">
        <v>166</v>
      </c>
      <c r="I911" s="3" t="s">
        <v>3460</v>
      </c>
      <c r="J911" s="3" t="s">
        <v>3518</v>
      </c>
      <c r="K911" s="3" t="s">
        <v>3535</v>
      </c>
      <c r="L911" s="3" t="s">
        <v>4248</v>
      </c>
      <c r="M911">
        <v>376.04</v>
      </c>
      <c r="N911">
        <v>81</v>
      </c>
      <c r="O911">
        <f>Supply_Chain[[#This Row],[Unit_Price]]*Supply_Chain[[#This Row],[Quantity]]</f>
        <v>30459.24</v>
      </c>
      <c r="P911" t="s">
        <v>2541</v>
      </c>
      <c r="Q911" t="s">
        <v>35</v>
      </c>
      <c r="R911" t="s">
        <v>290</v>
      </c>
      <c r="S911" t="s">
        <v>50</v>
      </c>
      <c r="T911" t="s">
        <v>100</v>
      </c>
      <c r="U911" t="s">
        <v>101</v>
      </c>
      <c r="V911">
        <v>1394</v>
      </c>
      <c r="W911">
        <v>175</v>
      </c>
      <c r="X911">
        <v>11</v>
      </c>
      <c r="Y911">
        <v>1291.1600000000001</v>
      </c>
      <c r="Z911">
        <v>198.07</v>
      </c>
      <c r="AA911" s="9">
        <v>1489.23</v>
      </c>
      <c r="AB911" t="s">
        <v>52</v>
      </c>
      <c r="AC911">
        <v>0</v>
      </c>
      <c r="AD911">
        <v>91.48</v>
      </c>
      <c r="AE911">
        <v>248</v>
      </c>
      <c r="AF911">
        <v>268</v>
      </c>
      <c r="AG911" s="11">
        <f>Supply_Chain[[#This Row],[Total_Cost]]/Supply_Chain[[#This Row],[Stock_On_Hand]]</f>
        <v>1.0683142037302726</v>
      </c>
    </row>
    <row r="912" spans="1:33" x14ac:dyDescent="0.25">
      <c r="A912" t="s">
        <v>2542</v>
      </c>
      <c r="B912" t="s">
        <v>2543</v>
      </c>
      <c r="C912" s="1">
        <v>43968</v>
      </c>
      <c r="D912" s="1">
        <v>45255</v>
      </c>
      <c r="E912" t="s">
        <v>55</v>
      </c>
      <c r="F912" t="s">
        <v>44</v>
      </c>
      <c r="G912" t="s">
        <v>83</v>
      </c>
      <c r="H912" t="s">
        <v>57</v>
      </c>
      <c r="I912" s="3" t="s">
        <v>3367</v>
      </c>
      <c r="J912" s="3" t="s">
        <v>3519</v>
      </c>
      <c r="K912" s="3" t="s">
        <v>3530</v>
      </c>
      <c r="L912" s="3" t="s">
        <v>4154</v>
      </c>
      <c r="M912">
        <v>488.49</v>
      </c>
      <c r="N912">
        <v>94</v>
      </c>
      <c r="O912">
        <f>Supply_Chain[[#This Row],[Unit_Price]]*Supply_Chain[[#This Row],[Quantity]]</f>
        <v>45918.06</v>
      </c>
      <c r="P912" t="s">
        <v>2544</v>
      </c>
      <c r="Q912" t="s">
        <v>68</v>
      </c>
      <c r="R912" t="s">
        <v>176</v>
      </c>
      <c r="S912" t="s">
        <v>119</v>
      </c>
      <c r="T912" t="s">
        <v>71</v>
      </c>
      <c r="U912" t="s">
        <v>72</v>
      </c>
      <c r="V912">
        <v>4599</v>
      </c>
      <c r="W912">
        <v>299</v>
      </c>
      <c r="X912">
        <v>5</v>
      </c>
      <c r="Y912">
        <v>982.85</v>
      </c>
      <c r="Z912">
        <v>388.46</v>
      </c>
      <c r="AA912" s="9">
        <v>1371.31</v>
      </c>
      <c r="AB912" t="s">
        <v>52</v>
      </c>
      <c r="AC912">
        <v>0</v>
      </c>
      <c r="AD912">
        <v>83.01</v>
      </c>
      <c r="AE912">
        <v>224</v>
      </c>
      <c r="AF912">
        <v>263</v>
      </c>
      <c r="AG912" s="11">
        <f>Supply_Chain[[#This Row],[Total_Cost]]/Supply_Chain[[#This Row],[Stock_On_Hand]]</f>
        <v>0.29817569036747116</v>
      </c>
    </row>
    <row r="913" spans="1:33" x14ac:dyDescent="0.25">
      <c r="A913" t="s">
        <v>2545</v>
      </c>
      <c r="B913" t="s">
        <v>2546</v>
      </c>
      <c r="C913" s="1">
        <v>44762</v>
      </c>
      <c r="D913" s="1">
        <v>45153</v>
      </c>
      <c r="E913" t="s">
        <v>55</v>
      </c>
      <c r="F913" t="s">
        <v>31</v>
      </c>
      <c r="G913" t="s">
        <v>32</v>
      </c>
      <c r="H913" t="s">
        <v>46</v>
      </c>
      <c r="I913" s="3" t="s">
        <v>3421</v>
      </c>
      <c r="J913" s="3" t="s">
        <v>3519</v>
      </c>
      <c r="K913" s="3" t="s">
        <v>3530</v>
      </c>
      <c r="L913" s="3" t="s">
        <v>4207</v>
      </c>
      <c r="M913">
        <v>318.87</v>
      </c>
      <c r="N913">
        <v>25</v>
      </c>
      <c r="O913">
        <f>Supply_Chain[[#This Row],[Unit_Price]]*Supply_Chain[[#This Row],[Quantity]]</f>
        <v>7971.75</v>
      </c>
      <c r="P913" t="s">
        <v>1180</v>
      </c>
      <c r="Q913" t="s">
        <v>86</v>
      </c>
      <c r="R913" t="s">
        <v>140</v>
      </c>
      <c r="S913" t="s">
        <v>50</v>
      </c>
      <c r="T913" t="s">
        <v>100</v>
      </c>
      <c r="U913" t="s">
        <v>855</v>
      </c>
      <c r="V913">
        <v>4876</v>
      </c>
      <c r="W913">
        <v>484</v>
      </c>
      <c r="X913">
        <v>13</v>
      </c>
      <c r="Y913">
        <v>1373.13</v>
      </c>
      <c r="Z913">
        <v>98.48</v>
      </c>
      <c r="AA913" s="9">
        <v>1471.61</v>
      </c>
      <c r="AB913" t="s">
        <v>52</v>
      </c>
      <c r="AC913">
        <v>0</v>
      </c>
      <c r="AD913">
        <v>90.15</v>
      </c>
      <c r="AE913">
        <v>110</v>
      </c>
      <c r="AF913">
        <v>84</v>
      </c>
      <c r="AG913" s="11">
        <f>Supply_Chain[[#This Row],[Total_Cost]]/Supply_Chain[[#This Row],[Stock_On_Hand]]</f>
        <v>0.30180680885972105</v>
      </c>
    </row>
    <row r="914" spans="1:33" x14ac:dyDescent="0.25">
      <c r="A914" t="s">
        <v>2547</v>
      </c>
      <c r="B914" t="s">
        <v>2548</v>
      </c>
      <c r="C914" s="1">
        <v>44799</v>
      </c>
      <c r="D914" s="1">
        <v>45124</v>
      </c>
      <c r="E914" t="s">
        <v>30</v>
      </c>
      <c r="F914" t="s">
        <v>115</v>
      </c>
      <c r="G914" t="s">
        <v>65</v>
      </c>
      <c r="H914" t="s">
        <v>92</v>
      </c>
      <c r="I914" s="3" t="s">
        <v>3461</v>
      </c>
      <c r="J914" s="3" t="s">
        <v>3519</v>
      </c>
      <c r="K914" s="3" t="s">
        <v>3528</v>
      </c>
      <c r="L914" s="3" t="s">
        <v>4249</v>
      </c>
      <c r="M914">
        <v>300.8</v>
      </c>
      <c r="N914">
        <v>59</v>
      </c>
      <c r="O914">
        <f>Supply_Chain[[#This Row],[Unit_Price]]*Supply_Chain[[#This Row],[Quantity]]</f>
        <v>17747.2</v>
      </c>
      <c r="P914" t="s">
        <v>1219</v>
      </c>
      <c r="Q914" t="s">
        <v>48</v>
      </c>
      <c r="R914" t="s">
        <v>419</v>
      </c>
      <c r="S914" t="s">
        <v>119</v>
      </c>
      <c r="T914" t="s">
        <v>71</v>
      </c>
      <c r="U914" t="s">
        <v>125</v>
      </c>
      <c r="V914">
        <v>1397</v>
      </c>
      <c r="W914">
        <v>324</v>
      </c>
      <c r="X914">
        <v>20</v>
      </c>
      <c r="Y914">
        <v>1202.0899999999999</v>
      </c>
      <c r="Z914">
        <v>258.22000000000003</v>
      </c>
      <c r="AA914" s="9">
        <v>1460.31</v>
      </c>
      <c r="AB914" t="s">
        <v>52</v>
      </c>
      <c r="AC914">
        <v>0</v>
      </c>
      <c r="AD914">
        <v>81.739999999999995</v>
      </c>
      <c r="AE914">
        <v>369</v>
      </c>
      <c r="AF914">
        <v>386</v>
      </c>
      <c r="AG914" s="11">
        <f>Supply_Chain[[#This Row],[Total_Cost]]/Supply_Chain[[#This Row],[Stock_On_Hand]]</f>
        <v>1.0453185397279885</v>
      </c>
    </row>
    <row r="915" spans="1:33" x14ac:dyDescent="0.25">
      <c r="A915" t="s">
        <v>2549</v>
      </c>
      <c r="B915" t="s">
        <v>2550</v>
      </c>
      <c r="C915" s="1">
        <v>44261</v>
      </c>
      <c r="D915" s="1">
        <v>43967</v>
      </c>
      <c r="E915" t="s">
        <v>43</v>
      </c>
      <c r="F915" t="s">
        <v>44</v>
      </c>
      <c r="G915" t="s">
        <v>65</v>
      </c>
      <c r="H915" t="s">
        <v>128</v>
      </c>
      <c r="I915" s="3" t="s">
        <v>3462</v>
      </c>
      <c r="J915" s="3" t="s">
        <v>84</v>
      </c>
      <c r="K915" s="3" t="s">
        <v>3526</v>
      </c>
      <c r="L915" s="3" t="s">
        <v>4250</v>
      </c>
      <c r="M915">
        <v>232.32</v>
      </c>
      <c r="N915">
        <v>47</v>
      </c>
      <c r="O915">
        <f>Supply_Chain[[#This Row],[Unit_Price]]*Supply_Chain[[#This Row],[Quantity]]</f>
        <v>10919.039999999999</v>
      </c>
      <c r="P915" t="s">
        <v>2551</v>
      </c>
      <c r="Q915" t="s">
        <v>68</v>
      </c>
      <c r="R915" t="s">
        <v>186</v>
      </c>
      <c r="S915" t="s">
        <v>50</v>
      </c>
      <c r="T915" t="s">
        <v>100</v>
      </c>
      <c r="U915" t="s">
        <v>669</v>
      </c>
      <c r="V915">
        <v>2536</v>
      </c>
      <c r="W915">
        <v>297</v>
      </c>
      <c r="X915">
        <v>12</v>
      </c>
      <c r="Y915">
        <v>770.75</v>
      </c>
      <c r="Z915">
        <v>400.96</v>
      </c>
      <c r="AA915" s="9">
        <v>1171.71</v>
      </c>
      <c r="AB915" t="s">
        <v>52</v>
      </c>
      <c r="AC915">
        <v>0</v>
      </c>
      <c r="AD915">
        <v>73.16</v>
      </c>
      <c r="AE915">
        <v>168</v>
      </c>
      <c r="AF915">
        <v>200</v>
      </c>
      <c r="AG915" s="11">
        <f>Supply_Chain[[#This Row],[Total_Cost]]/Supply_Chain[[#This Row],[Stock_On_Hand]]</f>
        <v>0.46203075709779179</v>
      </c>
    </row>
    <row r="916" spans="1:33" x14ac:dyDescent="0.25">
      <c r="A916" t="s">
        <v>2552</v>
      </c>
      <c r="B916" t="s">
        <v>2553</v>
      </c>
      <c r="C916" s="1">
        <v>44928</v>
      </c>
      <c r="D916" s="1">
        <v>44783</v>
      </c>
      <c r="E916" t="s">
        <v>55</v>
      </c>
      <c r="F916" t="s">
        <v>115</v>
      </c>
      <c r="G916" t="s">
        <v>247</v>
      </c>
      <c r="H916" t="s">
        <v>33</v>
      </c>
      <c r="I916" s="3" t="s">
        <v>3463</v>
      </c>
      <c r="J916" s="3" t="s">
        <v>3518</v>
      </c>
      <c r="K916" s="3" t="s">
        <v>3533</v>
      </c>
      <c r="L916" s="3" t="s">
        <v>4251</v>
      </c>
      <c r="M916">
        <v>233.06</v>
      </c>
      <c r="N916">
        <v>15</v>
      </c>
      <c r="O916">
        <f>Supply_Chain[[#This Row],[Unit_Price]]*Supply_Chain[[#This Row],[Quantity]]</f>
        <v>3495.9</v>
      </c>
      <c r="P916" t="s">
        <v>2554</v>
      </c>
      <c r="Q916" t="s">
        <v>35</v>
      </c>
      <c r="R916" t="s">
        <v>360</v>
      </c>
      <c r="S916" t="s">
        <v>50</v>
      </c>
      <c r="T916" t="s">
        <v>79</v>
      </c>
      <c r="U916" t="s">
        <v>389</v>
      </c>
      <c r="V916">
        <v>612</v>
      </c>
      <c r="W916">
        <v>120</v>
      </c>
      <c r="X916">
        <v>28</v>
      </c>
      <c r="Y916">
        <v>592.12</v>
      </c>
      <c r="Z916">
        <v>252.54</v>
      </c>
      <c r="AA916" s="9">
        <v>844.66</v>
      </c>
      <c r="AB916" t="s">
        <v>52</v>
      </c>
      <c r="AC916">
        <v>0</v>
      </c>
      <c r="AD916">
        <v>91.39</v>
      </c>
      <c r="AE916">
        <v>57</v>
      </c>
      <c r="AF916">
        <v>10</v>
      </c>
      <c r="AG916" s="11">
        <f>Supply_Chain[[#This Row],[Total_Cost]]/Supply_Chain[[#This Row],[Stock_On_Hand]]</f>
        <v>1.3801633986928104</v>
      </c>
    </row>
    <row r="917" spans="1:33" x14ac:dyDescent="0.25">
      <c r="A917" t="s">
        <v>2555</v>
      </c>
      <c r="B917" t="s">
        <v>2556</v>
      </c>
      <c r="C917" s="1">
        <v>45034</v>
      </c>
      <c r="D917" s="1">
        <v>44594</v>
      </c>
      <c r="E917" t="s">
        <v>55</v>
      </c>
      <c r="F917" t="s">
        <v>115</v>
      </c>
      <c r="G917" t="s">
        <v>45</v>
      </c>
      <c r="H917" t="s">
        <v>92</v>
      </c>
      <c r="I917" s="3" t="s">
        <v>3435</v>
      </c>
      <c r="J917" s="3" t="s">
        <v>3518</v>
      </c>
      <c r="K917" s="3" t="s">
        <v>3533</v>
      </c>
      <c r="L917" s="3" t="s">
        <v>4222</v>
      </c>
      <c r="M917">
        <v>286</v>
      </c>
      <c r="N917">
        <v>49</v>
      </c>
      <c r="O917">
        <f>Supply_Chain[[#This Row],[Unit_Price]]*Supply_Chain[[#This Row],[Quantity]]</f>
        <v>14014</v>
      </c>
      <c r="P917" t="s">
        <v>2557</v>
      </c>
      <c r="Q917" t="s">
        <v>110</v>
      </c>
      <c r="R917" t="s">
        <v>36</v>
      </c>
      <c r="S917" t="s">
        <v>70</v>
      </c>
      <c r="T917" t="s">
        <v>71</v>
      </c>
      <c r="U917" t="s">
        <v>106</v>
      </c>
      <c r="V917">
        <v>332</v>
      </c>
      <c r="W917">
        <v>339</v>
      </c>
      <c r="X917">
        <v>23</v>
      </c>
      <c r="Y917">
        <v>1643.38</v>
      </c>
      <c r="Z917">
        <v>309.74</v>
      </c>
      <c r="AA917" s="9">
        <v>1953.12</v>
      </c>
      <c r="AB917" t="s">
        <v>52</v>
      </c>
      <c r="AC917">
        <v>0</v>
      </c>
      <c r="AD917">
        <v>97.44</v>
      </c>
      <c r="AE917">
        <v>332</v>
      </c>
      <c r="AF917">
        <v>310</v>
      </c>
      <c r="AG917" s="11">
        <f>Supply_Chain[[#This Row],[Total_Cost]]/Supply_Chain[[#This Row],[Stock_On_Hand]]</f>
        <v>5.8828915662650596</v>
      </c>
    </row>
    <row r="918" spans="1:33" x14ac:dyDescent="0.25">
      <c r="A918" t="s">
        <v>2558</v>
      </c>
      <c r="B918" t="s">
        <v>2559</v>
      </c>
      <c r="C918" s="1">
        <v>44929</v>
      </c>
      <c r="D918" s="1">
        <v>45346</v>
      </c>
      <c r="E918" t="s">
        <v>55</v>
      </c>
      <c r="F918" t="s">
        <v>64</v>
      </c>
      <c r="G918" t="s">
        <v>45</v>
      </c>
      <c r="H918" t="s">
        <v>116</v>
      </c>
      <c r="I918" s="3" t="s">
        <v>3464</v>
      </c>
      <c r="J918" s="3" t="s">
        <v>3518</v>
      </c>
      <c r="K918" s="3" t="s">
        <v>3522</v>
      </c>
      <c r="L918" s="3" t="s">
        <v>4252</v>
      </c>
      <c r="M918">
        <v>422.12</v>
      </c>
      <c r="N918">
        <v>33</v>
      </c>
      <c r="O918">
        <f>Supply_Chain[[#This Row],[Unit_Price]]*Supply_Chain[[#This Row],[Quantity]]</f>
        <v>13929.960000000001</v>
      </c>
      <c r="P918" t="s">
        <v>1923</v>
      </c>
      <c r="Q918" t="s">
        <v>35</v>
      </c>
      <c r="R918" t="s">
        <v>36</v>
      </c>
      <c r="S918" t="s">
        <v>37</v>
      </c>
      <c r="T918" t="s">
        <v>38</v>
      </c>
      <c r="U918" t="s">
        <v>131</v>
      </c>
      <c r="V918">
        <v>3306</v>
      </c>
      <c r="W918">
        <v>122</v>
      </c>
      <c r="X918">
        <v>4</v>
      </c>
      <c r="Y918">
        <v>323.37</v>
      </c>
      <c r="Z918">
        <v>331.23</v>
      </c>
      <c r="AA918" s="9">
        <v>654.6</v>
      </c>
      <c r="AB918" t="s">
        <v>52</v>
      </c>
      <c r="AC918">
        <v>0</v>
      </c>
      <c r="AD918">
        <v>91.09</v>
      </c>
      <c r="AE918">
        <v>429</v>
      </c>
      <c r="AF918">
        <v>430</v>
      </c>
      <c r="AG918" s="11">
        <f>Supply_Chain[[#This Row],[Total_Cost]]/Supply_Chain[[#This Row],[Stock_On_Hand]]</f>
        <v>0.19800362976406535</v>
      </c>
    </row>
    <row r="919" spans="1:33" x14ac:dyDescent="0.25">
      <c r="A919" t="s">
        <v>2560</v>
      </c>
      <c r="B919" t="s">
        <v>2561</v>
      </c>
      <c r="C919" s="1">
        <v>45205</v>
      </c>
      <c r="D919" s="1">
        <v>44502</v>
      </c>
      <c r="E919" t="s">
        <v>55</v>
      </c>
      <c r="F919" t="s">
        <v>64</v>
      </c>
      <c r="G919" t="s">
        <v>32</v>
      </c>
      <c r="H919" t="s">
        <v>116</v>
      </c>
      <c r="I919" s="3" t="s">
        <v>3465</v>
      </c>
      <c r="J919" s="3" t="s">
        <v>3518</v>
      </c>
      <c r="K919" s="3" t="s">
        <v>3522</v>
      </c>
      <c r="L919" s="3" t="s">
        <v>4253</v>
      </c>
      <c r="M919">
        <v>401.92</v>
      </c>
      <c r="N919">
        <v>39</v>
      </c>
      <c r="O919">
        <f>Supply_Chain[[#This Row],[Unit_Price]]*Supply_Chain[[#This Row],[Quantity]]</f>
        <v>15674.880000000001</v>
      </c>
      <c r="P919" t="s">
        <v>742</v>
      </c>
      <c r="Q919" t="s">
        <v>48</v>
      </c>
      <c r="R919" t="s">
        <v>369</v>
      </c>
      <c r="S919" t="s">
        <v>37</v>
      </c>
      <c r="T919" t="s">
        <v>38</v>
      </c>
      <c r="U919" t="s">
        <v>291</v>
      </c>
      <c r="V919">
        <v>4354</v>
      </c>
      <c r="W919">
        <v>169</v>
      </c>
      <c r="X919">
        <v>11</v>
      </c>
      <c r="Y919">
        <v>1022.12</v>
      </c>
      <c r="Z919">
        <v>302.07</v>
      </c>
      <c r="AA919" s="9">
        <v>1324.19</v>
      </c>
      <c r="AB919" t="s">
        <v>52</v>
      </c>
      <c r="AC919">
        <v>0</v>
      </c>
      <c r="AD919">
        <v>91.59</v>
      </c>
      <c r="AE919">
        <v>406</v>
      </c>
      <c r="AF919">
        <v>417</v>
      </c>
      <c r="AG919" s="11">
        <f>Supply_Chain[[#This Row],[Total_Cost]]/Supply_Chain[[#This Row],[Stock_On_Hand]]</f>
        <v>0.30413183279742767</v>
      </c>
    </row>
    <row r="920" spans="1:33" x14ac:dyDescent="0.25">
      <c r="A920" t="s">
        <v>2562</v>
      </c>
      <c r="B920" t="s">
        <v>2031</v>
      </c>
      <c r="C920" s="1">
        <v>45451</v>
      </c>
      <c r="D920" s="1">
        <v>45114</v>
      </c>
      <c r="E920" t="s">
        <v>55</v>
      </c>
      <c r="F920" t="s">
        <v>115</v>
      </c>
      <c r="G920" t="s">
        <v>56</v>
      </c>
      <c r="H920" t="s">
        <v>33</v>
      </c>
      <c r="I920" s="3" t="s">
        <v>3075</v>
      </c>
      <c r="J920" s="3" t="s">
        <v>3518</v>
      </c>
      <c r="K920" s="3" t="s">
        <v>3522</v>
      </c>
      <c r="L920" s="3" t="s">
        <v>3871</v>
      </c>
      <c r="M920">
        <v>196.55</v>
      </c>
      <c r="N920">
        <v>76</v>
      </c>
      <c r="O920">
        <f>Supply_Chain[[#This Row],[Unit_Price]]*Supply_Chain[[#This Row],[Quantity]]</f>
        <v>14937.800000000001</v>
      </c>
      <c r="P920" t="s">
        <v>2563</v>
      </c>
      <c r="Q920" t="s">
        <v>110</v>
      </c>
      <c r="R920" t="s">
        <v>236</v>
      </c>
      <c r="S920" t="s">
        <v>50</v>
      </c>
      <c r="T920" t="s">
        <v>100</v>
      </c>
      <c r="U920" t="s">
        <v>163</v>
      </c>
      <c r="V920">
        <v>752</v>
      </c>
      <c r="W920">
        <v>446</v>
      </c>
      <c r="X920">
        <v>7</v>
      </c>
      <c r="Y920">
        <v>870.6</v>
      </c>
      <c r="Z920">
        <v>469.28</v>
      </c>
      <c r="AA920" s="9">
        <v>1339.88</v>
      </c>
      <c r="AB920" t="s">
        <v>52</v>
      </c>
      <c r="AC920">
        <v>0</v>
      </c>
      <c r="AD920">
        <v>89.57</v>
      </c>
      <c r="AE920">
        <v>483</v>
      </c>
      <c r="AF920">
        <v>446</v>
      </c>
      <c r="AG920" s="11">
        <f>Supply_Chain[[#This Row],[Total_Cost]]/Supply_Chain[[#This Row],[Stock_On_Hand]]</f>
        <v>1.7817553191489364</v>
      </c>
    </row>
    <row r="921" spans="1:33" x14ac:dyDescent="0.25">
      <c r="A921" t="s">
        <v>2564</v>
      </c>
      <c r="B921" t="s">
        <v>2565</v>
      </c>
      <c r="C921" s="1">
        <v>44789</v>
      </c>
      <c r="D921" s="1">
        <v>44846</v>
      </c>
      <c r="E921" t="s">
        <v>55</v>
      </c>
      <c r="F921" t="s">
        <v>115</v>
      </c>
      <c r="G921" t="s">
        <v>32</v>
      </c>
      <c r="H921" t="s">
        <v>166</v>
      </c>
      <c r="I921" s="3" t="s">
        <v>3075</v>
      </c>
      <c r="J921" s="3" t="s">
        <v>3518</v>
      </c>
      <c r="K921" s="3" t="s">
        <v>3522</v>
      </c>
      <c r="L921" s="3" t="s">
        <v>3871</v>
      </c>
      <c r="M921">
        <v>50.02</v>
      </c>
      <c r="N921">
        <v>53</v>
      </c>
      <c r="O921">
        <f>Supply_Chain[[#This Row],[Unit_Price]]*Supply_Chain[[#This Row],[Quantity]]</f>
        <v>2651.06</v>
      </c>
      <c r="P921" t="s">
        <v>988</v>
      </c>
      <c r="Q921" t="s">
        <v>68</v>
      </c>
      <c r="R921" t="s">
        <v>162</v>
      </c>
      <c r="S921" t="s">
        <v>50</v>
      </c>
      <c r="T921" t="s">
        <v>71</v>
      </c>
      <c r="U921" t="s">
        <v>356</v>
      </c>
      <c r="V921">
        <v>4967</v>
      </c>
      <c r="W921">
        <v>242</v>
      </c>
      <c r="X921">
        <v>19</v>
      </c>
      <c r="Y921">
        <v>1965.69</v>
      </c>
      <c r="Z921">
        <v>407.05</v>
      </c>
      <c r="AA921" s="9">
        <v>2372.7399999999998</v>
      </c>
      <c r="AB921" t="s">
        <v>52</v>
      </c>
      <c r="AC921">
        <v>0</v>
      </c>
      <c r="AD921">
        <v>72.900000000000006</v>
      </c>
      <c r="AE921">
        <v>341</v>
      </c>
      <c r="AF921">
        <v>388</v>
      </c>
      <c r="AG921" s="11">
        <f>Supply_Chain[[#This Row],[Total_Cost]]/Supply_Chain[[#This Row],[Stock_On_Hand]]</f>
        <v>0.47770082544795645</v>
      </c>
    </row>
    <row r="922" spans="1:33" x14ac:dyDescent="0.25">
      <c r="A922" t="s">
        <v>2566</v>
      </c>
      <c r="B922" t="s">
        <v>2567</v>
      </c>
      <c r="C922" s="1">
        <v>44813</v>
      </c>
      <c r="D922" s="1">
        <v>45337</v>
      </c>
      <c r="E922" t="s">
        <v>55</v>
      </c>
      <c r="F922" t="s">
        <v>64</v>
      </c>
      <c r="G922" t="s">
        <v>45</v>
      </c>
      <c r="H922" t="s">
        <v>66</v>
      </c>
      <c r="I922" s="3" t="s">
        <v>3260</v>
      </c>
      <c r="J922" s="3" t="s">
        <v>3518</v>
      </c>
      <c r="K922" s="3" t="s">
        <v>3521</v>
      </c>
      <c r="L922" s="3" t="s">
        <v>4049</v>
      </c>
      <c r="M922">
        <v>315.48</v>
      </c>
      <c r="N922">
        <v>83</v>
      </c>
      <c r="O922">
        <f>Supply_Chain[[#This Row],[Unit_Price]]*Supply_Chain[[#This Row],[Quantity]]</f>
        <v>26184.84</v>
      </c>
      <c r="P922" t="s">
        <v>678</v>
      </c>
      <c r="Q922" t="s">
        <v>48</v>
      </c>
      <c r="R922" t="s">
        <v>135</v>
      </c>
      <c r="S922" t="s">
        <v>50</v>
      </c>
      <c r="T922" t="s">
        <v>60</v>
      </c>
      <c r="U922" t="s">
        <v>770</v>
      </c>
      <c r="V922">
        <v>3507</v>
      </c>
      <c r="W922">
        <v>405</v>
      </c>
      <c r="X922">
        <v>7</v>
      </c>
      <c r="Y922">
        <v>1733.66</v>
      </c>
      <c r="Z922">
        <v>452.26</v>
      </c>
      <c r="AA922" s="9">
        <v>2185.92</v>
      </c>
      <c r="AB922" t="s">
        <v>40</v>
      </c>
      <c r="AC922">
        <v>9</v>
      </c>
      <c r="AD922">
        <v>71.02</v>
      </c>
      <c r="AE922">
        <v>220</v>
      </c>
      <c r="AF922">
        <v>187</v>
      </c>
      <c r="AG922" s="11">
        <f>Supply_Chain[[#This Row],[Total_Cost]]/Supply_Chain[[#This Row],[Stock_On_Hand]]</f>
        <v>0.62330196749358424</v>
      </c>
    </row>
    <row r="923" spans="1:33" x14ac:dyDescent="0.25">
      <c r="A923" t="s">
        <v>2568</v>
      </c>
      <c r="B923" t="s">
        <v>2569</v>
      </c>
      <c r="C923" s="1">
        <v>44036</v>
      </c>
      <c r="D923" s="1">
        <v>44609</v>
      </c>
      <c r="E923" t="s">
        <v>55</v>
      </c>
      <c r="F923" t="s">
        <v>64</v>
      </c>
      <c r="G923" t="s">
        <v>247</v>
      </c>
      <c r="H923" t="s">
        <v>128</v>
      </c>
      <c r="I923" s="3" t="s">
        <v>3466</v>
      </c>
      <c r="J923" s="3" t="s">
        <v>3518</v>
      </c>
      <c r="K923" s="3" t="s">
        <v>3521</v>
      </c>
      <c r="L923" s="3" t="s">
        <v>4254</v>
      </c>
      <c r="M923">
        <v>421.83</v>
      </c>
      <c r="N923">
        <v>97</v>
      </c>
      <c r="O923">
        <f>Supply_Chain[[#This Row],[Unit_Price]]*Supply_Chain[[#This Row],[Quantity]]</f>
        <v>40917.51</v>
      </c>
      <c r="P923" t="s">
        <v>1141</v>
      </c>
      <c r="Q923" t="s">
        <v>110</v>
      </c>
      <c r="R923" t="s">
        <v>186</v>
      </c>
      <c r="S923" t="s">
        <v>50</v>
      </c>
      <c r="T923" t="s">
        <v>79</v>
      </c>
      <c r="U923" t="s">
        <v>219</v>
      </c>
      <c r="V923">
        <v>1076</v>
      </c>
      <c r="W923">
        <v>90</v>
      </c>
      <c r="X923">
        <v>2</v>
      </c>
      <c r="Y923">
        <v>1965.56</v>
      </c>
      <c r="Z923">
        <v>30.77</v>
      </c>
      <c r="AA923" s="9">
        <v>1996.33</v>
      </c>
      <c r="AB923" t="s">
        <v>52</v>
      </c>
      <c r="AC923">
        <v>0</v>
      </c>
      <c r="AD923">
        <v>71.61</v>
      </c>
      <c r="AE923">
        <v>65</v>
      </c>
      <c r="AF923">
        <v>49</v>
      </c>
      <c r="AG923" s="11">
        <f>Supply_Chain[[#This Row],[Total_Cost]]/Supply_Chain[[#This Row],[Stock_On_Hand]]</f>
        <v>1.8553252788104089</v>
      </c>
    </row>
    <row r="924" spans="1:33" x14ac:dyDescent="0.25">
      <c r="A924" t="s">
        <v>2570</v>
      </c>
      <c r="B924" t="s">
        <v>2571</v>
      </c>
      <c r="C924" s="1">
        <v>45015</v>
      </c>
      <c r="D924" s="1">
        <v>43878</v>
      </c>
      <c r="E924" t="s">
        <v>30</v>
      </c>
      <c r="F924" t="s">
        <v>31</v>
      </c>
      <c r="G924" t="s">
        <v>56</v>
      </c>
      <c r="H924" t="s">
        <v>46</v>
      </c>
      <c r="I924" s="3" t="s">
        <v>3196</v>
      </c>
      <c r="J924" s="3" t="s">
        <v>84</v>
      </c>
      <c r="K924" s="3" t="s">
        <v>3534</v>
      </c>
      <c r="L924" s="3" t="s">
        <v>3988</v>
      </c>
      <c r="M924">
        <v>54.99</v>
      </c>
      <c r="N924">
        <v>38</v>
      </c>
      <c r="O924">
        <f>Supply_Chain[[#This Row],[Unit_Price]]*Supply_Chain[[#This Row],[Quantity]]</f>
        <v>2089.62</v>
      </c>
      <c r="P924" t="s">
        <v>2435</v>
      </c>
      <c r="Q924" t="s">
        <v>35</v>
      </c>
      <c r="R924" t="s">
        <v>369</v>
      </c>
      <c r="S924" t="s">
        <v>119</v>
      </c>
      <c r="T924" t="s">
        <v>100</v>
      </c>
      <c r="U924" t="s">
        <v>182</v>
      </c>
      <c r="V924">
        <v>4451</v>
      </c>
      <c r="W924">
        <v>420</v>
      </c>
      <c r="X924">
        <v>29</v>
      </c>
      <c r="Y924">
        <v>1769.2</v>
      </c>
      <c r="Z924">
        <v>474.26</v>
      </c>
      <c r="AA924" s="9">
        <v>2243.46</v>
      </c>
      <c r="AB924" t="s">
        <v>40</v>
      </c>
      <c r="AC924">
        <v>1</v>
      </c>
      <c r="AD924">
        <v>72.53</v>
      </c>
      <c r="AE924">
        <v>318</v>
      </c>
      <c r="AF924">
        <v>347</v>
      </c>
      <c r="AG924" s="11">
        <f>Supply_Chain[[#This Row],[Total_Cost]]/Supply_Chain[[#This Row],[Stock_On_Hand]]</f>
        <v>0.50403504830375201</v>
      </c>
    </row>
    <row r="925" spans="1:33" x14ac:dyDescent="0.25">
      <c r="A925" t="s">
        <v>2572</v>
      </c>
      <c r="B925" t="s">
        <v>1810</v>
      </c>
      <c r="C925" s="1">
        <v>44145</v>
      </c>
      <c r="D925" s="1">
        <v>44867</v>
      </c>
      <c r="E925" t="s">
        <v>43</v>
      </c>
      <c r="F925" t="s">
        <v>75</v>
      </c>
      <c r="G925" t="s">
        <v>76</v>
      </c>
      <c r="H925" t="s">
        <v>33</v>
      </c>
      <c r="I925" s="3" t="s">
        <v>3174</v>
      </c>
      <c r="J925" s="3" t="s">
        <v>3518</v>
      </c>
      <c r="K925" s="3" t="s">
        <v>3522</v>
      </c>
      <c r="L925" s="3" t="s">
        <v>3807</v>
      </c>
      <c r="M925">
        <v>196.1</v>
      </c>
      <c r="N925">
        <v>62</v>
      </c>
      <c r="O925">
        <f>Supply_Chain[[#This Row],[Unit_Price]]*Supply_Chain[[#This Row],[Quantity]]</f>
        <v>12158.199999999999</v>
      </c>
      <c r="P925" t="s">
        <v>2573</v>
      </c>
      <c r="Q925" t="s">
        <v>35</v>
      </c>
      <c r="R925" t="s">
        <v>323</v>
      </c>
      <c r="S925" t="s">
        <v>50</v>
      </c>
      <c r="T925" t="s">
        <v>100</v>
      </c>
      <c r="U925" t="s">
        <v>177</v>
      </c>
      <c r="V925">
        <v>2620</v>
      </c>
      <c r="W925">
        <v>457</v>
      </c>
      <c r="X925">
        <v>13</v>
      </c>
      <c r="Y925">
        <v>1152.77</v>
      </c>
      <c r="Z925">
        <v>176.89</v>
      </c>
      <c r="AA925" s="9">
        <v>1329.66</v>
      </c>
      <c r="AB925" t="s">
        <v>52</v>
      </c>
      <c r="AC925">
        <v>0</v>
      </c>
      <c r="AD925">
        <v>87.77</v>
      </c>
      <c r="AE925">
        <v>99</v>
      </c>
      <c r="AF925">
        <v>63</v>
      </c>
      <c r="AG925" s="11">
        <f>Supply_Chain[[#This Row],[Total_Cost]]/Supply_Chain[[#This Row],[Stock_On_Hand]]</f>
        <v>0.50750381679389311</v>
      </c>
    </row>
    <row r="926" spans="1:33" x14ac:dyDescent="0.25">
      <c r="A926" t="s">
        <v>2574</v>
      </c>
      <c r="B926" t="s">
        <v>1563</v>
      </c>
      <c r="C926" s="1">
        <v>44363</v>
      </c>
      <c r="D926" s="1">
        <v>44929</v>
      </c>
      <c r="E926" t="s">
        <v>43</v>
      </c>
      <c r="F926" t="s">
        <v>31</v>
      </c>
      <c r="G926" t="s">
        <v>91</v>
      </c>
      <c r="H926" t="s">
        <v>33</v>
      </c>
      <c r="I926" s="3" t="s">
        <v>3467</v>
      </c>
      <c r="J926" s="3" t="s">
        <v>3518</v>
      </c>
      <c r="K926" s="3" t="s">
        <v>3527</v>
      </c>
      <c r="L926" s="3" t="s">
        <v>4255</v>
      </c>
      <c r="M926">
        <v>365.79</v>
      </c>
      <c r="N926">
        <v>88</v>
      </c>
      <c r="O926">
        <f>Supply_Chain[[#This Row],[Unit_Price]]*Supply_Chain[[#This Row],[Quantity]]</f>
        <v>32189.52</v>
      </c>
      <c r="P926" t="s">
        <v>789</v>
      </c>
      <c r="Q926" t="s">
        <v>48</v>
      </c>
      <c r="R926" t="s">
        <v>306</v>
      </c>
      <c r="S926" t="s">
        <v>119</v>
      </c>
      <c r="T926" t="s">
        <v>60</v>
      </c>
      <c r="U926" t="s">
        <v>120</v>
      </c>
      <c r="V926">
        <v>3726</v>
      </c>
      <c r="W926">
        <v>380</v>
      </c>
      <c r="X926">
        <v>22</v>
      </c>
      <c r="Y926">
        <v>587.34</v>
      </c>
      <c r="Z926">
        <v>211.38</v>
      </c>
      <c r="AA926" s="9">
        <v>798.72</v>
      </c>
      <c r="AB926" t="s">
        <v>52</v>
      </c>
      <c r="AC926">
        <v>0</v>
      </c>
      <c r="AD926">
        <v>96.4</v>
      </c>
      <c r="AE926">
        <v>71</v>
      </c>
      <c r="AF926">
        <v>96</v>
      </c>
      <c r="AG926" s="11">
        <f>Supply_Chain[[#This Row],[Total_Cost]]/Supply_Chain[[#This Row],[Stock_On_Hand]]</f>
        <v>0.21436392914653785</v>
      </c>
    </row>
    <row r="927" spans="1:33" x14ac:dyDescent="0.25">
      <c r="A927" t="s">
        <v>2575</v>
      </c>
      <c r="B927" t="s">
        <v>2576</v>
      </c>
      <c r="C927" s="1">
        <v>44395</v>
      </c>
      <c r="D927" s="1">
        <v>45620</v>
      </c>
      <c r="E927" t="s">
        <v>43</v>
      </c>
      <c r="F927" t="s">
        <v>44</v>
      </c>
      <c r="G927" t="s">
        <v>65</v>
      </c>
      <c r="H927" t="s">
        <v>46</v>
      </c>
      <c r="I927" s="3" t="s">
        <v>3468</v>
      </c>
      <c r="J927" s="3" t="s">
        <v>3518</v>
      </c>
      <c r="K927" s="3" t="s">
        <v>3521</v>
      </c>
      <c r="L927" s="3" t="s">
        <v>4256</v>
      </c>
      <c r="M927">
        <v>396.66</v>
      </c>
      <c r="N927">
        <v>29</v>
      </c>
      <c r="O927">
        <f>Supply_Chain[[#This Row],[Unit_Price]]*Supply_Chain[[#This Row],[Quantity]]</f>
        <v>11503.140000000001</v>
      </c>
      <c r="P927" t="s">
        <v>2577</v>
      </c>
      <c r="Q927" t="s">
        <v>35</v>
      </c>
      <c r="R927" t="s">
        <v>214</v>
      </c>
      <c r="S927" t="s">
        <v>50</v>
      </c>
      <c r="T927" t="s">
        <v>60</v>
      </c>
      <c r="U927" t="s">
        <v>196</v>
      </c>
      <c r="V927">
        <v>1943</v>
      </c>
      <c r="W927">
        <v>84</v>
      </c>
      <c r="X927">
        <v>20</v>
      </c>
      <c r="Y927">
        <v>317.86</v>
      </c>
      <c r="Z927">
        <v>281.14</v>
      </c>
      <c r="AA927" s="9">
        <v>599</v>
      </c>
      <c r="AB927" t="s">
        <v>52</v>
      </c>
      <c r="AC927">
        <v>0</v>
      </c>
      <c r="AD927">
        <v>96.26</v>
      </c>
      <c r="AE927">
        <v>204</v>
      </c>
      <c r="AF927">
        <v>223</v>
      </c>
      <c r="AG927" s="11">
        <f>Supply_Chain[[#This Row],[Total_Cost]]/Supply_Chain[[#This Row],[Stock_On_Hand]]</f>
        <v>0.3082861554297478</v>
      </c>
    </row>
    <row r="928" spans="1:33" x14ac:dyDescent="0.25">
      <c r="A928" t="s">
        <v>2578</v>
      </c>
      <c r="B928" t="s">
        <v>2579</v>
      </c>
      <c r="C928" s="1">
        <v>44073</v>
      </c>
      <c r="D928" s="1">
        <v>44980</v>
      </c>
      <c r="E928" t="s">
        <v>55</v>
      </c>
      <c r="F928" t="s">
        <v>115</v>
      </c>
      <c r="G928" t="s">
        <v>91</v>
      </c>
      <c r="H928" t="s">
        <v>46</v>
      </c>
      <c r="I928" s="3" t="s">
        <v>3469</v>
      </c>
      <c r="J928" s="3" t="s">
        <v>3518</v>
      </c>
      <c r="K928" s="3" t="s">
        <v>3521</v>
      </c>
      <c r="L928" s="3" t="s">
        <v>4257</v>
      </c>
      <c r="M928">
        <v>60.12</v>
      </c>
      <c r="N928">
        <v>95</v>
      </c>
      <c r="O928">
        <f>Supply_Chain[[#This Row],[Unit_Price]]*Supply_Chain[[#This Row],[Quantity]]</f>
        <v>5711.4</v>
      </c>
      <c r="P928" t="s">
        <v>158</v>
      </c>
      <c r="Q928" t="s">
        <v>68</v>
      </c>
      <c r="R928" t="s">
        <v>124</v>
      </c>
      <c r="S928" t="s">
        <v>70</v>
      </c>
      <c r="T928" t="s">
        <v>100</v>
      </c>
      <c r="U928" t="s">
        <v>146</v>
      </c>
      <c r="V928">
        <v>206</v>
      </c>
      <c r="W928">
        <v>303</v>
      </c>
      <c r="X928">
        <v>7</v>
      </c>
      <c r="Y928">
        <v>682.32</v>
      </c>
      <c r="Z928">
        <v>28.48</v>
      </c>
      <c r="AA928" s="9">
        <v>710.80000000000007</v>
      </c>
      <c r="AB928" t="s">
        <v>52</v>
      </c>
      <c r="AC928">
        <v>0</v>
      </c>
      <c r="AD928">
        <v>96.42</v>
      </c>
      <c r="AE928">
        <v>260</v>
      </c>
      <c r="AF928">
        <v>257</v>
      </c>
      <c r="AG928" s="11">
        <f>Supply_Chain[[#This Row],[Total_Cost]]/Supply_Chain[[#This Row],[Stock_On_Hand]]</f>
        <v>3.4504854368932043</v>
      </c>
    </row>
    <row r="929" spans="1:33" x14ac:dyDescent="0.25">
      <c r="A929" t="s">
        <v>2580</v>
      </c>
      <c r="B929" t="s">
        <v>1989</v>
      </c>
      <c r="C929" s="1">
        <v>43896</v>
      </c>
      <c r="D929" s="1">
        <v>45502</v>
      </c>
      <c r="E929" t="s">
        <v>43</v>
      </c>
      <c r="F929" t="s">
        <v>44</v>
      </c>
      <c r="G929" t="s">
        <v>76</v>
      </c>
      <c r="H929" t="s">
        <v>33</v>
      </c>
      <c r="I929" s="3" t="s">
        <v>3470</v>
      </c>
      <c r="J929" s="3" t="s">
        <v>3519</v>
      </c>
      <c r="K929" s="3" t="s">
        <v>3530</v>
      </c>
      <c r="L929" s="3" t="s">
        <v>4258</v>
      </c>
      <c r="M929">
        <v>484.73</v>
      </c>
      <c r="N929">
        <v>16</v>
      </c>
      <c r="O929">
        <f>Supply_Chain[[#This Row],[Unit_Price]]*Supply_Chain[[#This Row],[Quantity]]</f>
        <v>7755.68</v>
      </c>
      <c r="P929" t="s">
        <v>2581</v>
      </c>
      <c r="Q929" t="s">
        <v>86</v>
      </c>
      <c r="R929" t="s">
        <v>176</v>
      </c>
      <c r="S929" t="s">
        <v>119</v>
      </c>
      <c r="T929" t="s">
        <v>71</v>
      </c>
      <c r="U929" t="s">
        <v>51</v>
      </c>
      <c r="V929">
        <v>3380</v>
      </c>
      <c r="W929">
        <v>463</v>
      </c>
      <c r="X929">
        <v>15</v>
      </c>
      <c r="Y929">
        <v>253.22</v>
      </c>
      <c r="Z929">
        <v>421.57</v>
      </c>
      <c r="AA929" s="9">
        <v>674.79</v>
      </c>
      <c r="AB929" t="s">
        <v>52</v>
      </c>
      <c r="AC929">
        <v>0</v>
      </c>
      <c r="AD929">
        <v>71.16</v>
      </c>
      <c r="AE929">
        <v>152</v>
      </c>
      <c r="AF929">
        <v>189</v>
      </c>
      <c r="AG929" s="11">
        <f>Supply_Chain[[#This Row],[Total_Cost]]/Supply_Chain[[#This Row],[Stock_On_Hand]]</f>
        <v>0.19964201183431951</v>
      </c>
    </row>
    <row r="930" spans="1:33" x14ac:dyDescent="0.25">
      <c r="A930" t="s">
        <v>2582</v>
      </c>
      <c r="B930" t="s">
        <v>2583</v>
      </c>
      <c r="C930" s="1">
        <v>45242</v>
      </c>
      <c r="D930" s="1">
        <v>43972</v>
      </c>
      <c r="E930" t="s">
        <v>30</v>
      </c>
      <c r="F930" t="s">
        <v>75</v>
      </c>
      <c r="G930" t="s">
        <v>83</v>
      </c>
      <c r="H930" t="s">
        <v>128</v>
      </c>
      <c r="I930" s="3" t="s">
        <v>3249</v>
      </c>
      <c r="J930" s="3" t="s">
        <v>84</v>
      </c>
      <c r="K930" s="3" t="s">
        <v>3531</v>
      </c>
      <c r="L930" s="3" t="s">
        <v>4039</v>
      </c>
      <c r="M930">
        <v>265.82</v>
      </c>
      <c r="N930">
        <v>69</v>
      </c>
      <c r="O930">
        <f>Supply_Chain[[#This Row],[Unit_Price]]*Supply_Chain[[#This Row],[Quantity]]</f>
        <v>18341.579999999998</v>
      </c>
      <c r="P930" t="s">
        <v>387</v>
      </c>
      <c r="Q930" t="s">
        <v>68</v>
      </c>
      <c r="R930" t="s">
        <v>195</v>
      </c>
      <c r="S930" t="s">
        <v>50</v>
      </c>
      <c r="T930" t="s">
        <v>100</v>
      </c>
      <c r="U930" t="s">
        <v>155</v>
      </c>
      <c r="V930">
        <v>3316</v>
      </c>
      <c r="W930">
        <v>375</v>
      </c>
      <c r="X930">
        <v>19</v>
      </c>
      <c r="Y930">
        <v>1833.75</v>
      </c>
      <c r="Z930">
        <v>321.97000000000003</v>
      </c>
      <c r="AA930" s="9">
        <v>2155.7199999999998</v>
      </c>
      <c r="AB930" t="s">
        <v>52</v>
      </c>
      <c r="AC930">
        <v>0</v>
      </c>
      <c r="AD930">
        <v>87.47</v>
      </c>
      <c r="AE930">
        <v>431</v>
      </c>
      <c r="AF930">
        <v>413</v>
      </c>
      <c r="AG930" s="11">
        <f>Supply_Chain[[#This Row],[Total_Cost]]/Supply_Chain[[#This Row],[Stock_On_Hand]]</f>
        <v>0.65009650180940881</v>
      </c>
    </row>
    <row r="931" spans="1:33" x14ac:dyDescent="0.25">
      <c r="A931" t="s">
        <v>2584</v>
      </c>
      <c r="B931" t="s">
        <v>2585</v>
      </c>
      <c r="C931" s="1">
        <v>44276</v>
      </c>
      <c r="D931" s="1">
        <v>45601</v>
      </c>
      <c r="E931" t="s">
        <v>55</v>
      </c>
      <c r="F931" t="s">
        <v>115</v>
      </c>
      <c r="G931" t="s">
        <v>45</v>
      </c>
      <c r="H931" t="s">
        <v>33</v>
      </c>
      <c r="I931" s="3" t="s">
        <v>3140</v>
      </c>
      <c r="J931" s="3" t="s">
        <v>84</v>
      </c>
      <c r="K931" s="3" t="s">
        <v>3529</v>
      </c>
      <c r="L931" s="3" t="s">
        <v>3935</v>
      </c>
      <c r="M931">
        <v>219.79</v>
      </c>
      <c r="N931">
        <v>88</v>
      </c>
      <c r="O931">
        <f>Supply_Chain[[#This Row],[Unit_Price]]*Supply_Chain[[#This Row],[Quantity]]</f>
        <v>19341.52</v>
      </c>
      <c r="P931" t="s">
        <v>2586</v>
      </c>
      <c r="Q931" t="s">
        <v>68</v>
      </c>
      <c r="R931" t="s">
        <v>236</v>
      </c>
      <c r="S931" t="s">
        <v>50</v>
      </c>
      <c r="T931" t="s">
        <v>79</v>
      </c>
      <c r="U931" t="s">
        <v>51</v>
      </c>
      <c r="V931">
        <v>2266</v>
      </c>
      <c r="W931">
        <v>424</v>
      </c>
      <c r="X931">
        <v>23</v>
      </c>
      <c r="Y931">
        <v>252.79</v>
      </c>
      <c r="Z931">
        <v>141.58000000000001</v>
      </c>
      <c r="AA931" s="9">
        <v>394.37</v>
      </c>
      <c r="AB931" t="s">
        <v>52</v>
      </c>
      <c r="AC931">
        <v>0</v>
      </c>
      <c r="AD931">
        <v>77.709999999999994</v>
      </c>
      <c r="AE931">
        <v>119</v>
      </c>
      <c r="AF931">
        <v>69</v>
      </c>
      <c r="AG931" s="11">
        <f>Supply_Chain[[#This Row],[Total_Cost]]/Supply_Chain[[#This Row],[Stock_On_Hand]]</f>
        <v>0.17403795233892322</v>
      </c>
    </row>
    <row r="932" spans="1:33" x14ac:dyDescent="0.25">
      <c r="A932" t="s">
        <v>2587</v>
      </c>
      <c r="B932" t="s">
        <v>2588</v>
      </c>
      <c r="C932" s="1">
        <v>44258</v>
      </c>
      <c r="D932" s="1">
        <v>44806</v>
      </c>
      <c r="E932" t="s">
        <v>55</v>
      </c>
      <c r="F932" t="s">
        <v>115</v>
      </c>
      <c r="G932" t="s">
        <v>247</v>
      </c>
      <c r="H932" t="s">
        <v>116</v>
      </c>
      <c r="I932" s="3" t="s">
        <v>3471</v>
      </c>
      <c r="J932" s="3" t="s">
        <v>3518</v>
      </c>
      <c r="K932" s="3" t="s">
        <v>3525</v>
      </c>
      <c r="L932" s="3" t="s">
        <v>4259</v>
      </c>
      <c r="M932">
        <v>311.38</v>
      </c>
      <c r="N932">
        <v>22</v>
      </c>
      <c r="O932">
        <f>Supply_Chain[[#This Row],[Unit_Price]]*Supply_Chain[[#This Row],[Quantity]]</f>
        <v>6850.36</v>
      </c>
      <c r="P932" t="s">
        <v>1579</v>
      </c>
      <c r="Q932" t="s">
        <v>48</v>
      </c>
      <c r="R932" t="s">
        <v>269</v>
      </c>
      <c r="S932" t="s">
        <v>50</v>
      </c>
      <c r="T932" t="s">
        <v>100</v>
      </c>
      <c r="U932" t="s">
        <v>356</v>
      </c>
      <c r="V932">
        <v>107</v>
      </c>
      <c r="W932">
        <v>167</v>
      </c>
      <c r="X932">
        <v>19</v>
      </c>
      <c r="Y932">
        <v>540.04999999999995</v>
      </c>
      <c r="Z932">
        <v>177.57</v>
      </c>
      <c r="AA932" s="9">
        <v>717.61999999999989</v>
      </c>
      <c r="AB932" t="s">
        <v>52</v>
      </c>
      <c r="AC932">
        <v>0</v>
      </c>
      <c r="AD932">
        <v>89.69</v>
      </c>
      <c r="AE932">
        <v>405</v>
      </c>
      <c r="AF932">
        <v>409</v>
      </c>
      <c r="AG932" s="11">
        <f>Supply_Chain[[#This Row],[Total_Cost]]/Supply_Chain[[#This Row],[Stock_On_Hand]]</f>
        <v>6.7067289719626162</v>
      </c>
    </row>
    <row r="933" spans="1:33" x14ac:dyDescent="0.25">
      <c r="A933" t="s">
        <v>2589</v>
      </c>
      <c r="B933" t="s">
        <v>2590</v>
      </c>
      <c r="C933" s="1">
        <v>44922</v>
      </c>
      <c r="D933" s="1">
        <v>45279</v>
      </c>
      <c r="E933" t="s">
        <v>43</v>
      </c>
      <c r="F933" t="s">
        <v>115</v>
      </c>
      <c r="G933" t="s">
        <v>76</v>
      </c>
      <c r="H933" t="s">
        <v>57</v>
      </c>
      <c r="I933" s="3" t="s">
        <v>3472</v>
      </c>
      <c r="J933" s="3" t="s">
        <v>3518</v>
      </c>
      <c r="K933" s="3" t="s">
        <v>3522</v>
      </c>
      <c r="L933" s="3" t="s">
        <v>4260</v>
      </c>
      <c r="M933">
        <v>300.3</v>
      </c>
      <c r="N933">
        <v>10</v>
      </c>
      <c r="O933">
        <f>Supply_Chain[[#This Row],[Unit_Price]]*Supply_Chain[[#This Row],[Quantity]]</f>
        <v>3003</v>
      </c>
      <c r="P933" t="s">
        <v>1638</v>
      </c>
      <c r="Q933" t="s">
        <v>68</v>
      </c>
      <c r="R933" t="s">
        <v>195</v>
      </c>
      <c r="S933" t="s">
        <v>119</v>
      </c>
      <c r="T933" t="s">
        <v>100</v>
      </c>
      <c r="U933" t="s">
        <v>249</v>
      </c>
      <c r="V933">
        <v>4358</v>
      </c>
      <c r="W933">
        <v>396</v>
      </c>
      <c r="X933">
        <v>20</v>
      </c>
      <c r="Y933">
        <v>344.02</v>
      </c>
      <c r="Z933">
        <v>102.85</v>
      </c>
      <c r="AA933" s="9">
        <v>446.87</v>
      </c>
      <c r="AB933" t="s">
        <v>40</v>
      </c>
      <c r="AC933">
        <v>1</v>
      </c>
      <c r="AD933">
        <v>87.33</v>
      </c>
      <c r="AE933">
        <v>76</v>
      </c>
      <c r="AF933">
        <v>90</v>
      </c>
      <c r="AG933" s="11">
        <f>Supply_Chain[[#This Row],[Total_Cost]]/Supply_Chain[[#This Row],[Stock_On_Hand]]</f>
        <v>0.10254015603487839</v>
      </c>
    </row>
    <row r="934" spans="1:33" x14ac:dyDescent="0.25">
      <c r="A934" t="s">
        <v>2591</v>
      </c>
      <c r="B934" t="s">
        <v>2592</v>
      </c>
      <c r="C934" s="1">
        <v>44179</v>
      </c>
      <c r="D934" s="1">
        <v>44816</v>
      </c>
      <c r="E934" t="s">
        <v>55</v>
      </c>
      <c r="F934" t="s">
        <v>64</v>
      </c>
      <c r="G934" t="s">
        <v>65</v>
      </c>
      <c r="H934" t="s">
        <v>92</v>
      </c>
      <c r="I934" s="3" t="s">
        <v>3444</v>
      </c>
      <c r="J934" s="3" t="s">
        <v>3518</v>
      </c>
      <c r="K934" s="3" t="s">
        <v>3522</v>
      </c>
      <c r="L934" s="3" t="s">
        <v>4231</v>
      </c>
      <c r="M934">
        <v>54.81</v>
      </c>
      <c r="N934">
        <v>21</v>
      </c>
      <c r="O934">
        <f>Supply_Chain[[#This Row],[Unit_Price]]*Supply_Chain[[#This Row],[Quantity]]</f>
        <v>1151.01</v>
      </c>
      <c r="P934" t="s">
        <v>1679</v>
      </c>
      <c r="Q934" t="s">
        <v>48</v>
      </c>
      <c r="R934" t="s">
        <v>59</v>
      </c>
      <c r="S934" t="s">
        <v>70</v>
      </c>
      <c r="T934" t="s">
        <v>100</v>
      </c>
      <c r="U934" t="s">
        <v>615</v>
      </c>
      <c r="V934">
        <v>3913</v>
      </c>
      <c r="W934">
        <v>350</v>
      </c>
      <c r="X934">
        <v>9</v>
      </c>
      <c r="Y934">
        <v>218.57</v>
      </c>
      <c r="Z934">
        <v>155.66999999999999</v>
      </c>
      <c r="AA934" s="9">
        <v>374.24</v>
      </c>
      <c r="AB934" t="s">
        <v>52</v>
      </c>
      <c r="AC934">
        <v>0</v>
      </c>
      <c r="AD934">
        <v>99.8</v>
      </c>
      <c r="AE934">
        <v>467</v>
      </c>
      <c r="AF934">
        <v>477</v>
      </c>
      <c r="AG934" s="11">
        <f>Supply_Chain[[#This Row],[Total_Cost]]/Supply_Chain[[#This Row],[Stock_On_Hand]]</f>
        <v>9.5640173779708668E-2</v>
      </c>
    </row>
    <row r="935" spans="1:33" x14ac:dyDescent="0.25">
      <c r="A935" t="s">
        <v>2593</v>
      </c>
      <c r="B935" t="s">
        <v>2594</v>
      </c>
      <c r="C935" s="1">
        <v>45609</v>
      </c>
      <c r="D935" s="1">
        <v>43879</v>
      </c>
      <c r="E935" t="s">
        <v>55</v>
      </c>
      <c r="F935" t="s">
        <v>75</v>
      </c>
      <c r="G935" t="s">
        <v>76</v>
      </c>
      <c r="H935" t="s">
        <v>166</v>
      </c>
      <c r="I935" s="3" t="s">
        <v>2820</v>
      </c>
      <c r="J935" s="3" t="s">
        <v>3518</v>
      </c>
      <c r="K935" s="3" t="s">
        <v>3524</v>
      </c>
      <c r="L935" s="3" t="s">
        <v>3619</v>
      </c>
      <c r="M935">
        <v>195.8</v>
      </c>
      <c r="N935">
        <v>57</v>
      </c>
      <c r="O935">
        <f>Supply_Chain[[#This Row],[Unit_Price]]*Supply_Chain[[#This Row],[Quantity]]</f>
        <v>11160.6</v>
      </c>
      <c r="P935" t="s">
        <v>2595</v>
      </c>
      <c r="Q935" t="s">
        <v>86</v>
      </c>
      <c r="R935" t="s">
        <v>214</v>
      </c>
      <c r="S935" t="s">
        <v>37</v>
      </c>
      <c r="T935" t="s">
        <v>71</v>
      </c>
      <c r="U935" t="s">
        <v>370</v>
      </c>
      <c r="V935">
        <v>315</v>
      </c>
      <c r="W935">
        <v>293</v>
      </c>
      <c r="X935">
        <v>18</v>
      </c>
      <c r="Y935">
        <v>1651.03</v>
      </c>
      <c r="Z935">
        <v>437.19</v>
      </c>
      <c r="AA935" s="9">
        <v>2088.2199999999998</v>
      </c>
      <c r="AB935" t="s">
        <v>52</v>
      </c>
      <c r="AC935">
        <v>0</v>
      </c>
      <c r="AD935">
        <v>81.599999999999994</v>
      </c>
      <c r="AE935">
        <v>90</v>
      </c>
      <c r="AF935">
        <v>92</v>
      </c>
      <c r="AG935" s="11">
        <f>Supply_Chain[[#This Row],[Total_Cost]]/Supply_Chain[[#This Row],[Stock_On_Hand]]</f>
        <v>6.6292698412698403</v>
      </c>
    </row>
    <row r="936" spans="1:33" x14ac:dyDescent="0.25">
      <c r="A936" t="s">
        <v>2596</v>
      </c>
      <c r="B936" t="s">
        <v>532</v>
      </c>
      <c r="C936" s="1">
        <v>44624</v>
      </c>
      <c r="D936" s="1">
        <v>44134</v>
      </c>
      <c r="E936" t="s">
        <v>55</v>
      </c>
      <c r="F936" t="s">
        <v>64</v>
      </c>
      <c r="G936" t="s">
        <v>65</v>
      </c>
      <c r="H936" t="s">
        <v>166</v>
      </c>
      <c r="I936" s="3" t="s">
        <v>3473</v>
      </c>
      <c r="J936" s="3" t="s">
        <v>3518</v>
      </c>
      <c r="K936" s="3" t="s">
        <v>3535</v>
      </c>
      <c r="L936" s="3" t="s">
        <v>4261</v>
      </c>
      <c r="M936">
        <v>377.04</v>
      </c>
      <c r="N936">
        <v>30</v>
      </c>
      <c r="O936">
        <f>Supply_Chain[[#This Row],[Unit_Price]]*Supply_Chain[[#This Row],[Quantity]]</f>
        <v>11311.2</v>
      </c>
      <c r="P936" t="s">
        <v>2597</v>
      </c>
      <c r="Q936" t="s">
        <v>48</v>
      </c>
      <c r="R936" t="s">
        <v>306</v>
      </c>
      <c r="S936" t="s">
        <v>50</v>
      </c>
      <c r="T936" t="s">
        <v>100</v>
      </c>
      <c r="U936" t="s">
        <v>131</v>
      </c>
      <c r="V936">
        <v>2596</v>
      </c>
      <c r="W936">
        <v>377</v>
      </c>
      <c r="X936">
        <v>2</v>
      </c>
      <c r="Y936">
        <v>381.06</v>
      </c>
      <c r="Z936">
        <v>406.53</v>
      </c>
      <c r="AA936" s="9">
        <v>787.58999999999992</v>
      </c>
      <c r="AB936" t="s">
        <v>52</v>
      </c>
      <c r="AC936">
        <v>0</v>
      </c>
      <c r="AD936">
        <v>95.56</v>
      </c>
      <c r="AE936">
        <v>404</v>
      </c>
      <c r="AF936">
        <v>389</v>
      </c>
      <c r="AG936" s="11">
        <f>Supply_Chain[[#This Row],[Total_Cost]]/Supply_Chain[[#This Row],[Stock_On_Hand]]</f>
        <v>0.3033859784283513</v>
      </c>
    </row>
    <row r="937" spans="1:33" x14ac:dyDescent="0.25">
      <c r="A937" t="s">
        <v>2598</v>
      </c>
      <c r="B937" t="s">
        <v>2599</v>
      </c>
      <c r="C937" s="1">
        <v>45475</v>
      </c>
      <c r="D937" s="1">
        <v>44074</v>
      </c>
      <c r="E937" t="s">
        <v>55</v>
      </c>
      <c r="F937" t="s">
        <v>44</v>
      </c>
      <c r="G937" t="s">
        <v>32</v>
      </c>
      <c r="H937" t="s">
        <v>57</v>
      </c>
      <c r="I937" s="4" t="s">
        <v>3165</v>
      </c>
      <c r="J937" s="4" t="s">
        <v>3518</v>
      </c>
      <c r="K937" s="4" t="s">
        <v>3522</v>
      </c>
      <c r="L937" s="4" t="s">
        <v>3959</v>
      </c>
      <c r="M937">
        <v>150.91999999999999</v>
      </c>
      <c r="N937">
        <v>55</v>
      </c>
      <c r="O937">
        <f>Supply_Chain[[#This Row],[Unit_Price]]*Supply_Chain[[#This Row],[Quantity]]</f>
        <v>8300.5999999999985</v>
      </c>
      <c r="P937" t="s">
        <v>2600</v>
      </c>
      <c r="Q937" t="s">
        <v>86</v>
      </c>
      <c r="R937" t="s">
        <v>162</v>
      </c>
      <c r="S937" t="s">
        <v>50</v>
      </c>
      <c r="T937" t="s">
        <v>60</v>
      </c>
      <c r="U937" t="s">
        <v>88</v>
      </c>
      <c r="V937">
        <v>4607</v>
      </c>
      <c r="W937">
        <v>302</v>
      </c>
      <c r="X937">
        <v>11</v>
      </c>
      <c r="Y937">
        <v>1843.07</v>
      </c>
      <c r="Z937">
        <v>413.21</v>
      </c>
      <c r="AA937" s="9">
        <v>2256.2800000000002</v>
      </c>
      <c r="AB937" t="s">
        <v>52</v>
      </c>
      <c r="AC937">
        <v>0</v>
      </c>
      <c r="AD937">
        <v>90.73</v>
      </c>
      <c r="AE937">
        <v>150</v>
      </c>
      <c r="AF937">
        <v>148</v>
      </c>
      <c r="AG937" s="11">
        <f>Supply_Chain[[#This Row],[Total_Cost]]/Supply_Chain[[#This Row],[Stock_On_Hand]]</f>
        <v>0.4897503798567398</v>
      </c>
    </row>
    <row r="938" spans="1:33" x14ac:dyDescent="0.25">
      <c r="A938" t="s">
        <v>2601</v>
      </c>
      <c r="B938" t="s">
        <v>2602</v>
      </c>
      <c r="C938" s="1">
        <v>44216</v>
      </c>
      <c r="D938" s="1">
        <v>44373</v>
      </c>
      <c r="E938" t="s">
        <v>43</v>
      </c>
      <c r="F938" t="s">
        <v>44</v>
      </c>
      <c r="G938" t="s">
        <v>91</v>
      </c>
      <c r="H938" t="s">
        <v>166</v>
      </c>
      <c r="I938" s="4" t="s">
        <v>3329</v>
      </c>
      <c r="J938" s="4" t="s">
        <v>3518</v>
      </c>
      <c r="K938" s="4" t="s">
        <v>3521</v>
      </c>
      <c r="L938" s="4" t="s">
        <v>4116</v>
      </c>
      <c r="M938">
        <v>82.84</v>
      </c>
      <c r="N938">
        <v>64</v>
      </c>
      <c r="O938">
        <f>Supply_Chain[[#This Row],[Unit_Price]]*Supply_Chain[[#This Row],[Quantity]]</f>
        <v>5301.76</v>
      </c>
      <c r="P938" t="s">
        <v>2603</v>
      </c>
      <c r="Q938" t="s">
        <v>86</v>
      </c>
      <c r="R938" t="s">
        <v>176</v>
      </c>
      <c r="S938" t="s">
        <v>50</v>
      </c>
      <c r="T938" t="s">
        <v>71</v>
      </c>
      <c r="U938" t="s">
        <v>203</v>
      </c>
      <c r="V938">
        <v>486</v>
      </c>
      <c r="W938">
        <v>366</v>
      </c>
      <c r="X938">
        <v>11</v>
      </c>
      <c r="Y938">
        <v>307.41000000000003</v>
      </c>
      <c r="Z938">
        <v>220.38</v>
      </c>
      <c r="AA938" s="9">
        <v>527.79</v>
      </c>
      <c r="AB938" t="s">
        <v>52</v>
      </c>
      <c r="AC938">
        <v>0</v>
      </c>
      <c r="AD938">
        <v>83.45</v>
      </c>
      <c r="AE938">
        <v>57</v>
      </c>
      <c r="AF938">
        <v>82</v>
      </c>
      <c r="AG938" s="11">
        <f>Supply_Chain[[#This Row],[Total_Cost]]/Supply_Chain[[#This Row],[Stock_On_Hand]]</f>
        <v>1.0859876543209876</v>
      </c>
    </row>
    <row r="939" spans="1:33" x14ac:dyDescent="0.25">
      <c r="A939" t="s">
        <v>2604</v>
      </c>
      <c r="B939" t="s">
        <v>1327</v>
      </c>
      <c r="C939" s="1">
        <v>44880</v>
      </c>
      <c r="D939" s="1">
        <v>44894</v>
      </c>
      <c r="E939" t="s">
        <v>43</v>
      </c>
      <c r="F939" t="s">
        <v>115</v>
      </c>
      <c r="G939" t="s">
        <v>32</v>
      </c>
      <c r="H939" t="s">
        <v>33</v>
      </c>
      <c r="I939" s="3" t="s">
        <v>3334</v>
      </c>
      <c r="J939" s="3" t="s">
        <v>84</v>
      </c>
      <c r="K939" s="3" t="s">
        <v>3526</v>
      </c>
      <c r="L939" s="3" t="s">
        <v>4121</v>
      </c>
      <c r="M939">
        <v>494.92</v>
      </c>
      <c r="N939">
        <v>76</v>
      </c>
      <c r="O939">
        <f>Supply_Chain[[#This Row],[Unit_Price]]*Supply_Chain[[#This Row],[Quantity]]</f>
        <v>37613.919999999998</v>
      </c>
      <c r="P939" t="s">
        <v>687</v>
      </c>
      <c r="Q939" t="s">
        <v>68</v>
      </c>
      <c r="R939" t="s">
        <v>344</v>
      </c>
      <c r="S939" t="s">
        <v>70</v>
      </c>
      <c r="T939" t="s">
        <v>71</v>
      </c>
      <c r="U939" t="s">
        <v>95</v>
      </c>
      <c r="V939">
        <v>3190</v>
      </c>
      <c r="W939">
        <v>340</v>
      </c>
      <c r="X939">
        <v>5</v>
      </c>
      <c r="Y939">
        <v>1138.3599999999999</v>
      </c>
      <c r="Z939">
        <v>195.46</v>
      </c>
      <c r="AA939" s="9">
        <v>1333.82</v>
      </c>
      <c r="AB939" t="s">
        <v>52</v>
      </c>
      <c r="AC939">
        <v>0</v>
      </c>
      <c r="AD939">
        <v>71.08</v>
      </c>
      <c r="AE939">
        <v>289</v>
      </c>
      <c r="AF939">
        <v>267</v>
      </c>
      <c r="AG939" s="11">
        <f>Supply_Chain[[#This Row],[Total_Cost]]/Supply_Chain[[#This Row],[Stock_On_Hand]]</f>
        <v>0.41812539184952974</v>
      </c>
    </row>
    <row r="940" spans="1:33" x14ac:dyDescent="0.25">
      <c r="A940" t="s">
        <v>2605</v>
      </c>
      <c r="B940" t="s">
        <v>2606</v>
      </c>
      <c r="C940" s="1">
        <v>44317</v>
      </c>
      <c r="D940" s="1">
        <v>44030</v>
      </c>
      <c r="E940" t="s">
        <v>55</v>
      </c>
      <c r="F940" t="s">
        <v>44</v>
      </c>
      <c r="G940" t="s">
        <v>65</v>
      </c>
      <c r="H940" t="s">
        <v>92</v>
      </c>
      <c r="I940" s="3" t="s">
        <v>2889</v>
      </c>
      <c r="J940" s="3" t="s">
        <v>84</v>
      </c>
      <c r="K940" s="3" t="s">
        <v>3526</v>
      </c>
      <c r="L940" s="3" t="s">
        <v>3688</v>
      </c>
      <c r="M940">
        <v>97.65</v>
      </c>
      <c r="N940">
        <v>64</v>
      </c>
      <c r="O940">
        <f>Supply_Chain[[#This Row],[Unit_Price]]*Supply_Chain[[#This Row],[Quantity]]</f>
        <v>6249.6</v>
      </c>
      <c r="P940" t="s">
        <v>2607</v>
      </c>
      <c r="Q940" t="s">
        <v>35</v>
      </c>
      <c r="R940" t="s">
        <v>105</v>
      </c>
      <c r="S940" t="s">
        <v>50</v>
      </c>
      <c r="T940" t="s">
        <v>100</v>
      </c>
      <c r="U940" t="s">
        <v>163</v>
      </c>
      <c r="V940">
        <v>4315</v>
      </c>
      <c r="W940">
        <v>62</v>
      </c>
      <c r="X940">
        <v>23</v>
      </c>
      <c r="Y940">
        <v>553.94000000000005</v>
      </c>
      <c r="Z940">
        <v>296.39999999999998</v>
      </c>
      <c r="AA940" s="9">
        <v>850.34</v>
      </c>
      <c r="AB940" t="s">
        <v>52</v>
      </c>
      <c r="AC940">
        <v>0</v>
      </c>
      <c r="AD940">
        <v>71.760000000000005</v>
      </c>
      <c r="AE940">
        <v>413</v>
      </c>
      <c r="AF940">
        <v>434</v>
      </c>
      <c r="AG940" s="11">
        <f>Supply_Chain[[#This Row],[Total_Cost]]/Supply_Chain[[#This Row],[Stock_On_Hand]]</f>
        <v>0.19706604866743918</v>
      </c>
    </row>
    <row r="941" spans="1:33" x14ac:dyDescent="0.25">
      <c r="A941" t="s">
        <v>2608</v>
      </c>
      <c r="B941" t="s">
        <v>2609</v>
      </c>
      <c r="C941" s="1">
        <v>45235</v>
      </c>
      <c r="D941" s="1">
        <v>45548</v>
      </c>
      <c r="E941" t="s">
        <v>43</v>
      </c>
      <c r="F941" t="s">
        <v>31</v>
      </c>
      <c r="G941" t="s">
        <v>83</v>
      </c>
      <c r="H941" t="s">
        <v>33</v>
      </c>
      <c r="I941" s="3" t="s">
        <v>3474</v>
      </c>
      <c r="J941" s="3" t="s">
        <v>3518</v>
      </c>
      <c r="K941" s="3" t="s">
        <v>3522</v>
      </c>
      <c r="L941" s="3" t="s">
        <v>4262</v>
      </c>
      <c r="M941">
        <v>383.46</v>
      </c>
      <c r="N941">
        <v>8</v>
      </c>
      <c r="O941">
        <f>Supply_Chain[[#This Row],[Unit_Price]]*Supply_Chain[[#This Row],[Quantity]]</f>
        <v>3067.68</v>
      </c>
      <c r="P941" t="s">
        <v>1254</v>
      </c>
      <c r="Q941" t="s">
        <v>35</v>
      </c>
      <c r="R941" t="s">
        <v>306</v>
      </c>
      <c r="S941" t="s">
        <v>70</v>
      </c>
      <c r="T941" t="s">
        <v>38</v>
      </c>
      <c r="U941" t="s">
        <v>855</v>
      </c>
      <c r="V941">
        <v>4941</v>
      </c>
      <c r="W941">
        <v>210</v>
      </c>
      <c r="X941">
        <v>22</v>
      </c>
      <c r="Y941">
        <v>73.430000000000007</v>
      </c>
      <c r="Z941">
        <v>12.91</v>
      </c>
      <c r="AA941" s="9">
        <v>86.34</v>
      </c>
      <c r="AB941" t="s">
        <v>40</v>
      </c>
      <c r="AC941">
        <v>4</v>
      </c>
      <c r="AD941">
        <v>72.430000000000007</v>
      </c>
      <c r="AE941">
        <v>214</v>
      </c>
      <c r="AF941">
        <v>262</v>
      </c>
      <c r="AG941" s="11">
        <f>Supply_Chain[[#This Row],[Total_Cost]]/Supply_Chain[[#This Row],[Stock_On_Hand]]</f>
        <v>1.7474195506982391E-2</v>
      </c>
    </row>
    <row r="942" spans="1:33" x14ac:dyDescent="0.25">
      <c r="A942" t="s">
        <v>2610</v>
      </c>
      <c r="B942" t="s">
        <v>2611</v>
      </c>
      <c r="C942" s="1">
        <v>44427</v>
      </c>
      <c r="D942" s="1">
        <v>45377</v>
      </c>
      <c r="E942" t="s">
        <v>43</v>
      </c>
      <c r="F942" t="s">
        <v>64</v>
      </c>
      <c r="G942" t="s">
        <v>56</v>
      </c>
      <c r="H942" t="s">
        <v>66</v>
      </c>
      <c r="I942" s="3" t="s">
        <v>3475</v>
      </c>
      <c r="J942" s="3" t="s">
        <v>3518</v>
      </c>
      <c r="K942" s="3" t="s">
        <v>3521</v>
      </c>
      <c r="L942" s="3" t="s">
        <v>4263</v>
      </c>
      <c r="M942">
        <v>262.95</v>
      </c>
      <c r="N942">
        <v>16</v>
      </c>
      <c r="O942">
        <f>Supply_Chain[[#This Row],[Unit_Price]]*Supply_Chain[[#This Row],[Quantity]]</f>
        <v>4207.2</v>
      </c>
      <c r="P942" t="s">
        <v>2612</v>
      </c>
      <c r="Q942" t="s">
        <v>110</v>
      </c>
      <c r="R942" t="s">
        <v>323</v>
      </c>
      <c r="S942" t="s">
        <v>119</v>
      </c>
      <c r="T942" t="s">
        <v>100</v>
      </c>
      <c r="U942" t="s">
        <v>150</v>
      </c>
      <c r="V942">
        <v>2013</v>
      </c>
      <c r="W942">
        <v>385</v>
      </c>
      <c r="X942">
        <v>8</v>
      </c>
      <c r="Y942">
        <v>1435.07</v>
      </c>
      <c r="Z942">
        <v>227.76</v>
      </c>
      <c r="AA942" s="9">
        <v>1662.83</v>
      </c>
      <c r="AB942" t="s">
        <v>52</v>
      </c>
      <c r="AC942">
        <v>0</v>
      </c>
      <c r="AD942">
        <v>73.150000000000006</v>
      </c>
      <c r="AE942">
        <v>155</v>
      </c>
      <c r="AF942">
        <v>138</v>
      </c>
      <c r="AG942" s="11">
        <f>Supply_Chain[[#This Row],[Total_Cost]]/Supply_Chain[[#This Row],[Stock_On_Hand]]</f>
        <v>0.82604570293094881</v>
      </c>
    </row>
    <row r="943" spans="1:33" x14ac:dyDescent="0.25">
      <c r="A943" t="s">
        <v>2613</v>
      </c>
      <c r="B943" t="s">
        <v>2614</v>
      </c>
      <c r="C943" s="1">
        <v>44794</v>
      </c>
      <c r="D943" s="1">
        <v>45436</v>
      </c>
      <c r="E943" t="s">
        <v>55</v>
      </c>
      <c r="F943" t="s">
        <v>115</v>
      </c>
      <c r="G943" t="s">
        <v>56</v>
      </c>
      <c r="H943" t="s">
        <v>166</v>
      </c>
      <c r="I943" s="3" t="s">
        <v>3476</v>
      </c>
      <c r="J943" s="3" t="s">
        <v>3518</v>
      </c>
      <c r="K943" s="3" t="s">
        <v>3525</v>
      </c>
      <c r="L943" s="3" t="s">
        <v>4264</v>
      </c>
      <c r="M943">
        <v>250.58</v>
      </c>
      <c r="N943">
        <v>47</v>
      </c>
      <c r="O943">
        <f>Supply_Chain[[#This Row],[Unit_Price]]*Supply_Chain[[#This Row],[Quantity]]</f>
        <v>11777.26</v>
      </c>
      <c r="P943" t="s">
        <v>2615</v>
      </c>
      <c r="Q943" t="s">
        <v>35</v>
      </c>
      <c r="R943" t="s">
        <v>327</v>
      </c>
      <c r="S943" t="s">
        <v>50</v>
      </c>
      <c r="T943" t="s">
        <v>100</v>
      </c>
      <c r="U943" t="s">
        <v>855</v>
      </c>
      <c r="V943">
        <v>900</v>
      </c>
      <c r="W943">
        <v>362</v>
      </c>
      <c r="X943">
        <v>22</v>
      </c>
      <c r="Y943">
        <v>156.79</v>
      </c>
      <c r="Z943">
        <v>497.64</v>
      </c>
      <c r="AA943" s="9">
        <v>654.42999999999995</v>
      </c>
      <c r="AB943" t="s">
        <v>52</v>
      </c>
      <c r="AC943">
        <v>0</v>
      </c>
      <c r="AD943">
        <v>77.400000000000006</v>
      </c>
      <c r="AE943">
        <v>462</v>
      </c>
      <c r="AF943">
        <v>413</v>
      </c>
      <c r="AG943" s="11">
        <f>Supply_Chain[[#This Row],[Total_Cost]]/Supply_Chain[[#This Row],[Stock_On_Hand]]</f>
        <v>0.72714444444444437</v>
      </c>
    </row>
    <row r="944" spans="1:33" x14ac:dyDescent="0.25">
      <c r="A944" t="s">
        <v>2616</v>
      </c>
      <c r="B944" t="s">
        <v>2617</v>
      </c>
      <c r="C944" s="1">
        <v>44152</v>
      </c>
      <c r="D944" s="1">
        <v>44598</v>
      </c>
      <c r="E944" t="s">
        <v>55</v>
      </c>
      <c r="F944" t="s">
        <v>31</v>
      </c>
      <c r="G944" t="s">
        <v>91</v>
      </c>
      <c r="H944" t="s">
        <v>66</v>
      </c>
      <c r="I944" s="3" t="s">
        <v>3477</v>
      </c>
      <c r="J944" s="3" t="s">
        <v>3518</v>
      </c>
      <c r="K944" s="3" t="s">
        <v>3521</v>
      </c>
      <c r="L944" s="3" t="s">
        <v>4265</v>
      </c>
      <c r="M944">
        <v>208.41</v>
      </c>
      <c r="N944">
        <v>27</v>
      </c>
      <c r="O944">
        <f>Supply_Chain[[#This Row],[Unit_Price]]*Supply_Chain[[#This Row],[Quantity]]</f>
        <v>5627.07</v>
      </c>
      <c r="P944" t="s">
        <v>2618</v>
      </c>
      <c r="Q944" t="s">
        <v>110</v>
      </c>
      <c r="R944" t="s">
        <v>306</v>
      </c>
      <c r="S944" t="s">
        <v>119</v>
      </c>
      <c r="T944" t="s">
        <v>38</v>
      </c>
      <c r="U944" t="s">
        <v>370</v>
      </c>
      <c r="V944">
        <v>4209</v>
      </c>
      <c r="W944">
        <v>150</v>
      </c>
      <c r="X944">
        <v>13</v>
      </c>
      <c r="Y944">
        <v>51.27</v>
      </c>
      <c r="Z944">
        <v>386.15</v>
      </c>
      <c r="AA944" s="9">
        <v>437.42</v>
      </c>
      <c r="AB944" t="s">
        <v>52</v>
      </c>
      <c r="AC944">
        <v>0</v>
      </c>
      <c r="AD944">
        <v>72.61</v>
      </c>
      <c r="AE944">
        <v>103</v>
      </c>
      <c r="AF944">
        <v>80</v>
      </c>
      <c r="AG944" s="11">
        <f>Supply_Chain[[#This Row],[Total_Cost]]/Supply_Chain[[#This Row],[Stock_On_Hand]]</f>
        <v>0.10392492278450939</v>
      </c>
    </row>
    <row r="945" spans="1:33" x14ac:dyDescent="0.25">
      <c r="A945" t="s">
        <v>2619</v>
      </c>
      <c r="B945" t="s">
        <v>2620</v>
      </c>
      <c r="C945" s="1">
        <v>43989</v>
      </c>
      <c r="D945" s="1">
        <v>45477</v>
      </c>
      <c r="E945" t="s">
        <v>55</v>
      </c>
      <c r="F945" t="s">
        <v>31</v>
      </c>
      <c r="G945" t="s">
        <v>65</v>
      </c>
      <c r="H945" t="s">
        <v>92</v>
      </c>
      <c r="I945" s="3" t="s">
        <v>3478</v>
      </c>
      <c r="J945" s="3" t="s">
        <v>3518</v>
      </c>
      <c r="K945" s="3" t="s">
        <v>3535</v>
      </c>
      <c r="L945" s="3" t="s">
        <v>4266</v>
      </c>
      <c r="M945">
        <v>443.9</v>
      </c>
      <c r="N945">
        <v>15</v>
      </c>
      <c r="O945">
        <f>Supply_Chain[[#This Row],[Unit_Price]]*Supply_Chain[[#This Row],[Quantity]]</f>
        <v>6658.5</v>
      </c>
      <c r="P945" t="s">
        <v>915</v>
      </c>
      <c r="Q945" t="s">
        <v>110</v>
      </c>
      <c r="R945" t="s">
        <v>248</v>
      </c>
      <c r="S945" t="s">
        <v>70</v>
      </c>
      <c r="T945" t="s">
        <v>79</v>
      </c>
      <c r="U945" t="s">
        <v>389</v>
      </c>
      <c r="V945">
        <v>2453</v>
      </c>
      <c r="W945">
        <v>307</v>
      </c>
      <c r="X945">
        <v>14</v>
      </c>
      <c r="Y945">
        <v>115.92</v>
      </c>
      <c r="Z945">
        <v>229.01</v>
      </c>
      <c r="AA945" s="9">
        <v>344.93</v>
      </c>
      <c r="AB945" t="s">
        <v>52</v>
      </c>
      <c r="AC945">
        <v>0</v>
      </c>
      <c r="AD945">
        <v>96.52</v>
      </c>
      <c r="AE945">
        <v>350</v>
      </c>
      <c r="AF945">
        <v>395</v>
      </c>
      <c r="AG945" s="11">
        <f>Supply_Chain[[#This Row],[Total_Cost]]/Supply_Chain[[#This Row],[Stock_On_Hand]]</f>
        <v>0.14061557276803913</v>
      </c>
    </row>
    <row r="946" spans="1:33" x14ac:dyDescent="0.25">
      <c r="A946" t="s">
        <v>2621</v>
      </c>
      <c r="B946" t="s">
        <v>2622</v>
      </c>
      <c r="C946" s="1">
        <v>45641</v>
      </c>
      <c r="D946" s="1">
        <v>45626</v>
      </c>
      <c r="E946" t="s">
        <v>55</v>
      </c>
      <c r="F946" t="s">
        <v>115</v>
      </c>
      <c r="G946" t="s">
        <v>247</v>
      </c>
      <c r="H946" t="s">
        <v>116</v>
      </c>
      <c r="I946" s="3" t="s">
        <v>3479</v>
      </c>
      <c r="J946" s="3" t="s">
        <v>84</v>
      </c>
      <c r="K946" s="3" t="s">
        <v>3529</v>
      </c>
      <c r="L946" s="3" t="s">
        <v>4267</v>
      </c>
      <c r="M946">
        <v>331.87</v>
      </c>
      <c r="N946">
        <v>99</v>
      </c>
      <c r="O946">
        <f>Supply_Chain[[#This Row],[Unit_Price]]*Supply_Chain[[#This Row],[Quantity]]</f>
        <v>32855.129999999997</v>
      </c>
      <c r="P946" t="s">
        <v>2615</v>
      </c>
      <c r="Q946" t="s">
        <v>86</v>
      </c>
      <c r="R946" t="s">
        <v>214</v>
      </c>
      <c r="S946" t="s">
        <v>50</v>
      </c>
      <c r="T946" t="s">
        <v>100</v>
      </c>
      <c r="U946" t="s">
        <v>203</v>
      </c>
      <c r="V946">
        <v>4721</v>
      </c>
      <c r="W946">
        <v>420</v>
      </c>
      <c r="X946">
        <v>16</v>
      </c>
      <c r="Y946">
        <v>1586.92</v>
      </c>
      <c r="Z946">
        <v>187.47</v>
      </c>
      <c r="AA946" s="9">
        <v>1774.39</v>
      </c>
      <c r="AB946" t="s">
        <v>52</v>
      </c>
      <c r="AC946">
        <v>0</v>
      </c>
      <c r="AD946">
        <v>80.849999999999994</v>
      </c>
      <c r="AE946">
        <v>295</v>
      </c>
      <c r="AF946">
        <v>331</v>
      </c>
      <c r="AG946" s="11">
        <f>Supply_Chain[[#This Row],[Total_Cost]]/Supply_Chain[[#This Row],[Stock_On_Hand]]</f>
        <v>0.37585045541198903</v>
      </c>
    </row>
    <row r="947" spans="1:33" x14ac:dyDescent="0.25">
      <c r="A947" t="s">
        <v>2623</v>
      </c>
      <c r="B947" t="s">
        <v>2624</v>
      </c>
      <c r="C947" s="1">
        <v>45375</v>
      </c>
      <c r="D947" s="1">
        <v>45336</v>
      </c>
      <c r="E947" t="s">
        <v>55</v>
      </c>
      <c r="F947" t="s">
        <v>64</v>
      </c>
      <c r="G947" t="s">
        <v>91</v>
      </c>
      <c r="H947" t="s">
        <v>166</v>
      </c>
      <c r="I947" s="3" t="s">
        <v>2774</v>
      </c>
      <c r="J947" s="3" t="s">
        <v>3518</v>
      </c>
      <c r="K947" s="3" t="s">
        <v>3522</v>
      </c>
      <c r="L947" s="3" t="s">
        <v>3574</v>
      </c>
      <c r="M947">
        <v>497.46</v>
      </c>
      <c r="N947">
        <v>55</v>
      </c>
      <c r="O947">
        <f>Supply_Chain[[#This Row],[Unit_Price]]*Supply_Chain[[#This Row],[Quantity]]</f>
        <v>27360.3</v>
      </c>
      <c r="P947" t="s">
        <v>1226</v>
      </c>
      <c r="Q947" t="s">
        <v>35</v>
      </c>
      <c r="R947" t="s">
        <v>301</v>
      </c>
      <c r="S947" t="s">
        <v>50</v>
      </c>
      <c r="T947" t="s">
        <v>60</v>
      </c>
      <c r="U947" t="s">
        <v>163</v>
      </c>
      <c r="V947">
        <v>2139</v>
      </c>
      <c r="W947">
        <v>401</v>
      </c>
      <c r="X947">
        <v>8</v>
      </c>
      <c r="Y947">
        <v>1017.78</v>
      </c>
      <c r="Z947">
        <v>372.65</v>
      </c>
      <c r="AA947" s="9">
        <v>1390.43</v>
      </c>
      <c r="AB947" t="s">
        <v>52</v>
      </c>
      <c r="AC947">
        <v>0</v>
      </c>
      <c r="AD947">
        <v>72.03</v>
      </c>
      <c r="AE947">
        <v>435</v>
      </c>
      <c r="AF947">
        <v>471</v>
      </c>
      <c r="AG947" s="11">
        <f>Supply_Chain[[#This Row],[Total_Cost]]/Supply_Chain[[#This Row],[Stock_On_Hand]]</f>
        <v>0.65003740065451143</v>
      </c>
    </row>
    <row r="948" spans="1:33" x14ac:dyDescent="0.25">
      <c r="A948" t="s">
        <v>2625</v>
      </c>
      <c r="B948" t="s">
        <v>2626</v>
      </c>
      <c r="C948" s="1">
        <v>45266</v>
      </c>
      <c r="D948" s="1">
        <v>44752</v>
      </c>
      <c r="E948" t="s">
        <v>43</v>
      </c>
      <c r="F948" t="s">
        <v>64</v>
      </c>
      <c r="G948" t="s">
        <v>45</v>
      </c>
      <c r="H948" t="s">
        <v>128</v>
      </c>
      <c r="I948" s="3" t="s">
        <v>3480</v>
      </c>
      <c r="J948" s="3" t="s">
        <v>3518</v>
      </c>
      <c r="K948" s="3" t="s">
        <v>3521</v>
      </c>
      <c r="L948" s="3" t="s">
        <v>4268</v>
      </c>
      <c r="M948">
        <v>43.93</v>
      </c>
      <c r="N948">
        <v>95</v>
      </c>
      <c r="O948">
        <f>Supply_Chain[[#This Row],[Unit_Price]]*Supply_Chain[[#This Row],[Quantity]]</f>
        <v>4173.3500000000004</v>
      </c>
      <c r="P948" t="s">
        <v>933</v>
      </c>
      <c r="Q948" t="s">
        <v>86</v>
      </c>
      <c r="R948" t="s">
        <v>819</v>
      </c>
      <c r="S948" t="s">
        <v>119</v>
      </c>
      <c r="T948" t="s">
        <v>60</v>
      </c>
      <c r="U948" t="s">
        <v>619</v>
      </c>
      <c r="V948">
        <v>3912</v>
      </c>
      <c r="W948">
        <v>360</v>
      </c>
      <c r="X948">
        <v>21</v>
      </c>
      <c r="Y948">
        <v>758.72</v>
      </c>
      <c r="Z948">
        <v>55.05</v>
      </c>
      <c r="AA948" s="9">
        <v>813.77</v>
      </c>
      <c r="AB948" t="s">
        <v>52</v>
      </c>
      <c r="AC948">
        <v>0</v>
      </c>
      <c r="AD948">
        <v>95.2</v>
      </c>
      <c r="AE948">
        <v>457</v>
      </c>
      <c r="AF948">
        <v>424</v>
      </c>
      <c r="AG948" s="11">
        <f>Supply_Chain[[#This Row],[Total_Cost]]/Supply_Chain[[#This Row],[Stock_On_Hand]]</f>
        <v>0.20801891615541923</v>
      </c>
    </row>
    <row r="949" spans="1:33" x14ac:dyDescent="0.25">
      <c r="A949" t="s">
        <v>2627</v>
      </c>
      <c r="B949" t="s">
        <v>2628</v>
      </c>
      <c r="C949" s="1">
        <v>44034</v>
      </c>
      <c r="D949" s="1">
        <v>45258</v>
      </c>
      <c r="E949" t="s">
        <v>55</v>
      </c>
      <c r="F949" t="s">
        <v>75</v>
      </c>
      <c r="G949" t="s">
        <v>76</v>
      </c>
      <c r="H949" t="s">
        <v>33</v>
      </c>
      <c r="I949" s="3" t="s">
        <v>3481</v>
      </c>
      <c r="J949" s="3" t="s">
        <v>3518</v>
      </c>
      <c r="K949" s="3" t="s">
        <v>3521</v>
      </c>
      <c r="L949" s="3" t="s">
        <v>4269</v>
      </c>
      <c r="M949">
        <v>168.55</v>
      </c>
      <c r="N949">
        <v>67</v>
      </c>
      <c r="O949">
        <f>Supply_Chain[[#This Row],[Unit_Price]]*Supply_Chain[[#This Row],[Quantity]]</f>
        <v>11292.85</v>
      </c>
      <c r="P949" t="s">
        <v>1866</v>
      </c>
      <c r="Q949" t="s">
        <v>86</v>
      </c>
      <c r="R949" t="s">
        <v>819</v>
      </c>
      <c r="S949" t="s">
        <v>70</v>
      </c>
      <c r="T949" t="s">
        <v>60</v>
      </c>
      <c r="U949" t="s">
        <v>182</v>
      </c>
      <c r="V949">
        <v>2884</v>
      </c>
      <c r="W949">
        <v>253</v>
      </c>
      <c r="X949">
        <v>6</v>
      </c>
      <c r="Y949">
        <v>465.77</v>
      </c>
      <c r="Z949">
        <v>326.10000000000002</v>
      </c>
      <c r="AA949" s="9">
        <v>791.87</v>
      </c>
      <c r="AB949" t="s">
        <v>52</v>
      </c>
      <c r="AC949">
        <v>0</v>
      </c>
      <c r="AD949">
        <v>92.3</v>
      </c>
      <c r="AE949">
        <v>233</v>
      </c>
      <c r="AF949">
        <v>222</v>
      </c>
      <c r="AG949" s="11">
        <f>Supply_Chain[[#This Row],[Total_Cost]]/Supply_Chain[[#This Row],[Stock_On_Hand]]</f>
        <v>0.27457350901525657</v>
      </c>
    </row>
    <row r="950" spans="1:33" x14ac:dyDescent="0.25">
      <c r="A950" t="s">
        <v>2629</v>
      </c>
      <c r="B950" t="s">
        <v>193</v>
      </c>
      <c r="C950" s="1">
        <v>44837</v>
      </c>
      <c r="D950" s="1">
        <v>44961</v>
      </c>
      <c r="E950" t="s">
        <v>55</v>
      </c>
      <c r="F950" t="s">
        <v>31</v>
      </c>
      <c r="G950" t="s">
        <v>76</v>
      </c>
      <c r="H950" t="s">
        <v>66</v>
      </c>
      <c r="I950" s="3" t="s">
        <v>3482</v>
      </c>
      <c r="J950" s="3" t="s">
        <v>3518</v>
      </c>
      <c r="K950" s="3" t="s">
        <v>3521</v>
      </c>
      <c r="L950" s="3" t="s">
        <v>4270</v>
      </c>
      <c r="M950">
        <v>416.11</v>
      </c>
      <c r="N950">
        <v>32</v>
      </c>
      <c r="O950">
        <f>Supply_Chain[[#This Row],[Unit_Price]]*Supply_Chain[[#This Row],[Quantity]]</f>
        <v>13315.52</v>
      </c>
      <c r="P950" t="s">
        <v>2630</v>
      </c>
      <c r="Q950" t="s">
        <v>68</v>
      </c>
      <c r="R950" t="s">
        <v>145</v>
      </c>
      <c r="S950" t="s">
        <v>70</v>
      </c>
      <c r="T950" t="s">
        <v>79</v>
      </c>
      <c r="U950" t="s">
        <v>51</v>
      </c>
      <c r="V950">
        <v>3565</v>
      </c>
      <c r="W950">
        <v>115</v>
      </c>
      <c r="X950">
        <v>29</v>
      </c>
      <c r="Y950">
        <v>688.84</v>
      </c>
      <c r="Z950">
        <v>450.86</v>
      </c>
      <c r="AA950" s="9">
        <v>1139.7</v>
      </c>
      <c r="AB950" t="s">
        <v>52</v>
      </c>
      <c r="AC950">
        <v>0</v>
      </c>
      <c r="AD950">
        <v>93</v>
      </c>
      <c r="AE950">
        <v>58</v>
      </c>
      <c r="AF950">
        <v>93</v>
      </c>
      <c r="AG950" s="11">
        <f>Supply_Chain[[#This Row],[Total_Cost]]/Supply_Chain[[#This Row],[Stock_On_Hand]]</f>
        <v>0.31969144460028054</v>
      </c>
    </row>
    <row r="951" spans="1:33" x14ac:dyDescent="0.25">
      <c r="A951" t="s">
        <v>2631</v>
      </c>
      <c r="B951" t="s">
        <v>2632</v>
      </c>
      <c r="C951" s="1">
        <v>44653</v>
      </c>
      <c r="D951" s="1">
        <v>44911</v>
      </c>
      <c r="E951" t="s">
        <v>43</v>
      </c>
      <c r="F951" t="s">
        <v>31</v>
      </c>
      <c r="G951" t="s">
        <v>83</v>
      </c>
      <c r="H951" t="s">
        <v>166</v>
      </c>
      <c r="I951" s="3" t="s">
        <v>3483</v>
      </c>
      <c r="J951" s="3" t="s">
        <v>3518</v>
      </c>
      <c r="K951" s="3" t="s">
        <v>3521</v>
      </c>
      <c r="L951" s="3" t="s">
        <v>4271</v>
      </c>
      <c r="M951">
        <v>247.82</v>
      </c>
      <c r="N951">
        <v>51</v>
      </c>
      <c r="O951">
        <f>Supply_Chain[[#This Row],[Unit_Price]]*Supply_Chain[[#This Row],[Quantity]]</f>
        <v>12638.82</v>
      </c>
      <c r="P951" t="s">
        <v>1633</v>
      </c>
      <c r="Q951" t="s">
        <v>68</v>
      </c>
      <c r="R951" t="s">
        <v>124</v>
      </c>
      <c r="S951" t="s">
        <v>119</v>
      </c>
      <c r="T951" t="s">
        <v>60</v>
      </c>
      <c r="U951" t="s">
        <v>191</v>
      </c>
      <c r="V951">
        <v>2814</v>
      </c>
      <c r="W951">
        <v>132</v>
      </c>
      <c r="X951">
        <v>21</v>
      </c>
      <c r="Y951">
        <v>411.77</v>
      </c>
      <c r="Z951">
        <v>237.88</v>
      </c>
      <c r="AA951" s="9">
        <v>649.65</v>
      </c>
      <c r="AB951" t="s">
        <v>52</v>
      </c>
      <c r="AC951">
        <v>0</v>
      </c>
      <c r="AD951">
        <v>97.46</v>
      </c>
      <c r="AE951">
        <v>391</v>
      </c>
      <c r="AF951">
        <v>360</v>
      </c>
      <c r="AG951" s="11">
        <f>Supply_Chain[[#This Row],[Total_Cost]]/Supply_Chain[[#This Row],[Stock_On_Hand]]</f>
        <v>0.23086353944562898</v>
      </c>
    </row>
    <row r="952" spans="1:33" x14ac:dyDescent="0.25">
      <c r="A952" t="s">
        <v>2633</v>
      </c>
      <c r="B952" t="s">
        <v>2634</v>
      </c>
      <c r="C952" s="1">
        <v>45421</v>
      </c>
      <c r="D952" s="1">
        <v>44115</v>
      </c>
      <c r="E952" t="s">
        <v>30</v>
      </c>
      <c r="F952" t="s">
        <v>75</v>
      </c>
      <c r="G952" t="s">
        <v>45</v>
      </c>
      <c r="H952" t="s">
        <v>57</v>
      </c>
      <c r="I952" s="3" t="s">
        <v>3484</v>
      </c>
      <c r="J952" s="3" t="s">
        <v>3518</v>
      </c>
      <c r="K952" s="3" t="s">
        <v>3521</v>
      </c>
      <c r="L952" s="3" t="s">
        <v>4272</v>
      </c>
      <c r="M952">
        <v>411.55</v>
      </c>
      <c r="N952">
        <v>29</v>
      </c>
      <c r="O952">
        <f>Supply_Chain[[#This Row],[Unit_Price]]*Supply_Chain[[#This Row],[Quantity]]</f>
        <v>11934.95</v>
      </c>
      <c r="P952" t="s">
        <v>2635</v>
      </c>
      <c r="Q952" t="s">
        <v>86</v>
      </c>
      <c r="R952" t="s">
        <v>269</v>
      </c>
      <c r="S952" t="s">
        <v>119</v>
      </c>
      <c r="T952" t="s">
        <v>71</v>
      </c>
      <c r="U952" t="s">
        <v>389</v>
      </c>
      <c r="V952">
        <v>3264</v>
      </c>
      <c r="W952">
        <v>378</v>
      </c>
      <c r="X952">
        <v>3</v>
      </c>
      <c r="Y952">
        <v>1306.67</v>
      </c>
      <c r="Z952">
        <v>370.17</v>
      </c>
      <c r="AA952" s="9">
        <v>1676.84</v>
      </c>
      <c r="AB952" t="s">
        <v>52</v>
      </c>
      <c r="AC952">
        <v>0</v>
      </c>
      <c r="AD952">
        <v>92.4</v>
      </c>
      <c r="AE952">
        <v>235</v>
      </c>
      <c r="AF952">
        <v>223</v>
      </c>
      <c r="AG952" s="11">
        <f>Supply_Chain[[#This Row],[Total_Cost]]/Supply_Chain[[#This Row],[Stock_On_Hand]]</f>
        <v>0.51373774509803916</v>
      </c>
    </row>
    <row r="953" spans="1:33" x14ac:dyDescent="0.25">
      <c r="A953" t="s">
        <v>2636</v>
      </c>
      <c r="B953" t="s">
        <v>2637</v>
      </c>
      <c r="C953" s="1">
        <v>44447</v>
      </c>
      <c r="D953" s="1">
        <v>45258</v>
      </c>
      <c r="E953" t="s">
        <v>55</v>
      </c>
      <c r="F953" t="s">
        <v>44</v>
      </c>
      <c r="G953" t="s">
        <v>83</v>
      </c>
      <c r="H953" t="s">
        <v>46</v>
      </c>
      <c r="I953" s="3" t="s">
        <v>3485</v>
      </c>
      <c r="J953" s="3" t="s">
        <v>3518</v>
      </c>
      <c r="K953" s="3" t="s">
        <v>3521</v>
      </c>
      <c r="L953" s="3" t="s">
        <v>4273</v>
      </c>
      <c r="M953">
        <v>192.76</v>
      </c>
      <c r="N953">
        <v>34</v>
      </c>
      <c r="O953">
        <f>Supply_Chain[[#This Row],[Unit_Price]]*Supply_Chain[[#This Row],[Quantity]]</f>
        <v>6553.84</v>
      </c>
      <c r="P953" t="s">
        <v>2603</v>
      </c>
      <c r="Q953" t="s">
        <v>35</v>
      </c>
      <c r="R953" t="s">
        <v>214</v>
      </c>
      <c r="S953" t="s">
        <v>70</v>
      </c>
      <c r="T953" t="s">
        <v>38</v>
      </c>
      <c r="U953" t="s">
        <v>88</v>
      </c>
      <c r="V953">
        <v>1298</v>
      </c>
      <c r="W953">
        <v>155</v>
      </c>
      <c r="X953">
        <v>19</v>
      </c>
      <c r="Y953">
        <v>571.04999999999995</v>
      </c>
      <c r="Z953">
        <v>323.77</v>
      </c>
      <c r="AA953" s="9">
        <v>894.81999999999994</v>
      </c>
      <c r="AB953" t="s">
        <v>52</v>
      </c>
      <c r="AC953">
        <v>0</v>
      </c>
      <c r="AD953">
        <v>77.86</v>
      </c>
      <c r="AE953">
        <v>217</v>
      </c>
      <c r="AF953">
        <v>253</v>
      </c>
      <c r="AG953" s="11">
        <f>Supply_Chain[[#This Row],[Total_Cost]]/Supply_Chain[[#This Row],[Stock_On_Hand]]</f>
        <v>0.68938366718027733</v>
      </c>
    </row>
    <row r="954" spans="1:33" x14ac:dyDescent="0.25">
      <c r="A954" t="s">
        <v>2638</v>
      </c>
      <c r="B954" t="s">
        <v>2639</v>
      </c>
      <c r="C954" s="1">
        <v>44831</v>
      </c>
      <c r="D954" s="1">
        <v>44091</v>
      </c>
      <c r="E954" t="s">
        <v>43</v>
      </c>
      <c r="F954" t="s">
        <v>64</v>
      </c>
      <c r="G954" t="s">
        <v>65</v>
      </c>
      <c r="H954" t="s">
        <v>66</v>
      </c>
      <c r="I954" s="3" t="s">
        <v>3486</v>
      </c>
      <c r="J954" s="3" t="s">
        <v>3518</v>
      </c>
      <c r="K954" s="3" t="s">
        <v>3535</v>
      </c>
      <c r="L954" s="3" t="s">
        <v>4274</v>
      </c>
      <c r="M954">
        <v>364.74</v>
      </c>
      <c r="N954">
        <v>93</v>
      </c>
      <c r="O954">
        <f>Supply_Chain[[#This Row],[Unit_Price]]*Supply_Chain[[#This Row],[Quantity]]</f>
        <v>33920.82</v>
      </c>
      <c r="P954" t="s">
        <v>455</v>
      </c>
      <c r="Q954" t="s">
        <v>110</v>
      </c>
      <c r="R954" t="s">
        <v>264</v>
      </c>
      <c r="S954" t="s">
        <v>119</v>
      </c>
      <c r="T954" t="s">
        <v>38</v>
      </c>
      <c r="U954" t="s">
        <v>265</v>
      </c>
      <c r="V954">
        <v>232</v>
      </c>
      <c r="W954">
        <v>61</v>
      </c>
      <c r="X954">
        <v>21</v>
      </c>
      <c r="Y954">
        <v>396.62</v>
      </c>
      <c r="Z954">
        <v>16.88</v>
      </c>
      <c r="AA954" s="9">
        <v>413.5</v>
      </c>
      <c r="AB954" t="s">
        <v>40</v>
      </c>
      <c r="AC954">
        <v>13</v>
      </c>
      <c r="AD954">
        <v>71.67</v>
      </c>
      <c r="AE954">
        <v>255</v>
      </c>
      <c r="AF954">
        <v>237</v>
      </c>
      <c r="AG954" s="11">
        <f>Supply_Chain[[#This Row],[Total_Cost]]/Supply_Chain[[#This Row],[Stock_On_Hand]]</f>
        <v>1.7823275862068966</v>
      </c>
    </row>
    <row r="955" spans="1:33" x14ac:dyDescent="0.25">
      <c r="A955" t="s">
        <v>2640</v>
      </c>
      <c r="B955" t="s">
        <v>2641</v>
      </c>
      <c r="C955" s="1">
        <v>44603</v>
      </c>
      <c r="D955" s="1">
        <v>45023</v>
      </c>
      <c r="E955" t="s">
        <v>30</v>
      </c>
      <c r="F955" t="s">
        <v>115</v>
      </c>
      <c r="G955" t="s">
        <v>91</v>
      </c>
      <c r="H955" t="s">
        <v>57</v>
      </c>
      <c r="I955" s="3" t="s">
        <v>3487</v>
      </c>
      <c r="J955" s="3" t="s">
        <v>3519</v>
      </c>
      <c r="K955" s="3" t="s">
        <v>3528</v>
      </c>
      <c r="L955" s="3" t="s">
        <v>4275</v>
      </c>
      <c r="M955">
        <v>102.28</v>
      </c>
      <c r="N955">
        <v>70</v>
      </c>
      <c r="O955">
        <f>Supply_Chain[[#This Row],[Unit_Price]]*Supply_Chain[[#This Row],[Quantity]]</f>
        <v>7159.6</v>
      </c>
      <c r="P955" t="s">
        <v>1405</v>
      </c>
      <c r="Q955" t="s">
        <v>86</v>
      </c>
      <c r="R955" t="s">
        <v>118</v>
      </c>
      <c r="S955" t="s">
        <v>70</v>
      </c>
      <c r="T955" t="s">
        <v>60</v>
      </c>
      <c r="U955" t="s">
        <v>51</v>
      </c>
      <c r="V955">
        <v>2331</v>
      </c>
      <c r="W955">
        <v>455</v>
      </c>
      <c r="X955">
        <v>29</v>
      </c>
      <c r="Y955">
        <v>115.24</v>
      </c>
      <c r="Z955">
        <v>348.77</v>
      </c>
      <c r="AA955" s="9">
        <v>464.01</v>
      </c>
      <c r="AB955" t="s">
        <v>52</v>
      </c>
      <c r="AC955">
        <v>0</v>
      </c>
      <c r="AD955">
        <v>77.5</v>
      </c>
      <c r="AE955">
        <v>76</v>
      </c>
      <c r="AF955">
        <v>49</v>
      </c>
      <c r="AG955" s="11">
        <f>Supply_Chain[[#This Row],[Total_Cost]]/Supply_Chain[[#This Row],[Stock_On_Hand]]</f>
        <v>0.19906048906048907</v>
      </c>
    </row>
    <row r="956" spans="1:33" x14ac:dyDescent="0.25">
      <c r="A956" t="s">
        <v>2642</v>
      </c>
      <c r="B956" t="s">
        <v>2643</v>
      </c>
      <c r="C956" s="1">
        <v>45603</v>
      </c>
      <c r="D956" s="1">
        <v>45401</v>
      </c>
      <c r="E956" t="s">
        <v>30</v>
      </c>
      <c r="F956" t="s">
        <v>115</v>
      </c>
      <c r="G956" t="s">
        <v>32</v>
      </c>
      <c r="H956" t="s">
        <v>33</v>
      </c>
      <c r="I956" s="3" t="s">
        <v>3488</v>
      </c>
      <c r="J956" s="3" t="s">
        <v>84</v>
      </c>
      <c r="K956" s="3" t="s">
        <v>3529</v>
      </c>
      <c r="L956" s="3" t="s">
        <v>4276</v>
      </c>
      <c r="M956">
        <v>122.9</v>
      </c>
      <c r="N956">
        <v>49</v>
      </c>
      <c r="O956">
        <f>Supply_Chain[[#This Row],[Unit_Price]]*Supply_Chain[[#This Row],[Quantity]]</f>
        <v>6022.1</v>
      </c>
      <c r="P956" t="s">
        <v>2644</v>
      </c>
      <c r="Q956" t="s">
        <v>68</v>
      </c>
      <c r="R956" t="s">
        <v>327</v>
      </c>
      <c r="S956" t="s">
        <v>50</v>
      </c>
      <c r="T956" t="s">
        <v>71</v>
      </c>
      <c r="U956" t="s">
        <v>112</v>
      </c>
      <c r="V956">
        <v>4826</v>
      </c>
      <c r="W956">
        <v>445</v>
      </c>
      <c r="X956">
        <v>2</v>
      </c>
      <c r="Y956">
        <v>1506.22</v>
      </c>
      <c r="Z956">
        <v>415.71</v>
      </c>
      <c r="AA956" s="9">
        <v>1921.93</v>
      </c>
      <c r="AB956" t="s">
        <v>52</v>
      </c>
      <c r="AC956">
        <v>0</v>
      </c>
      <c r="AD956">
        <v>93.71</v>
      </c>
      <c r="AE956">
        <v>385</v>
      </c>
      <c r="AF956">
        <v>359</v>
      </c>
      <c r="AG956" s="11">
        <f>Supply_Chain[[#This Row],[Total_Cost]]/Supply_Chain[[#This Row],[Stock_On_Hand]]</f>
        <v>0.39824492333195194</v>
      </c>
    </row>
    <row r="957" spans="1:33" x14ac:dyDescent="0.25">
      <c r="A957" t="s">
        <v>2645</v>
      </c>
      <c r="B957" t="s">
        <v>2646</v>
      </c>
      <c r="C957" s="1">
        <v>44141</v>
      </c>
      <c r="D957" s="1">
        <v>45079</v>
      </c>
      <c r="E957" t="s">
        <v>55</v>
      </c>
      <c r="F957" t="s">
        <v>31</v>
      </c>
      <c r="G957" t="s">
        <v>32</v>
      </c>
      <c r="H957" t="s">
        <v>46</v>
      </c>
      <c r="I957" s="3" t="s">
        <v>3274</v>
      </c>
      <c r="J957" s="3" t="s">
        <v>3518</v>
      </c>
      <c r="K957" s="3" t="s">
        <v>3522</v>
      </c>
      <c r="L957" s="3" t="s">
        <v>4063</v>
      </c>
      <c r="M957">
        <v>280.18</v>
      </c>
      <c r="N957">
        <v>73</v>
      </c>
      <c r="O957">
        <f>Supply_Chain[[#This Row],[Unit_Price]]*Supply_Chain[[#This Row],[Quantity]]</f>
        <v>20453.14</v>
      </c>
      <c r="P957" t="s">
        <v>1048</v>
      </c>
      <c r="Q957" t="s">
        <v>68</v>
      </c>
      <c r="R957" t="s">
        <v>377</v>
      </c>
      <c r="S957" t="s">
        <v>50</v>
      </c>
      <c r="T957" t="s">
        <v>71</v>
      </c>
      <c r="U957" t="s">
        <v>446</v>
      </c>
      <c r="V957">
        <v>1084</v>
      </c>
      <c r="W957">
        <v>341</v>
      </c>
      <c r="X957">
        <v>3</v>
      </c>
      <c r="Y957">
        <v>361.63</v>
      </c>
      <c r="Z957">
        <v>96.46</v>
      </c>
      <c r="AA957" s="9">
        <v>458.09</v>
      </c>
      <c r="AB957" t="s">
        <v>52</v>
      </c>
      <c r="AC957">
        <v>0</v>
      </c>
      <c r="AD957">
        <v>73.05</v>
      </c>
      <c r="AE957">
        <v>85</v>
      </c>
      <c r="AF957">
        <v>99</v>
      </c>
      <c r="AG957" s="11">
        <f>Supply_Chain[[#This Row],[Total_Cost]]/Supply_Chain[[#This Row],[Stock_On_Hand]]</f>
        <v>0.42259225092250918</v>
      </c>
    </row>
    <row r="958" spans="1:33" x14ac:dyDescent="0.25">
      <c r="A958" t="s">
        <v>2647</v>
      </c>
      <c r="B958" t="s">
        <v>1218</v>
      </c>
      <c r="C958" s="1">
        <v>44206</v>
      </c>
      <c r="D958" s="1">
        <v>44567</v>
      </c>
      <c r="E958" t="s">
        <v>55</v>
      </c>
      <c r="F958" t="s">
        <v>64</v>
      </c>
      <c r="G958" t="s">
        <v>76</v>
      </c>
      <c r="H958" t="s">
        <v>66</v>
      </c>
      <c r="I958" s="3" t="s">
        <v>3489</v>
      </c>
      <c r="J958" s="3" t="s">
        <v>3518</v>
      </c>
      <c r="K958" s="3" t="s">
        <v>3522</v>
      </c>
      <c r="L958" s="3" t="s">
        <v>4277</v>
      </c>
      <c r="M958">
        <v>298.05</v>
      </c>
      <c r="N958">
        <v>86</v>
      </c>
      <c r="O958">
        <f>Supply_Chain[[#This Row],[Unit_Price]]*Supply_Chain[[#This Row],[Quantity]]</f>
        <v>25632.3</v>
      </c>
      <c r="P958" t="s">
        <v>1249</v>
      </c>
      <c r="Q958" t="s">
        <v>110</v>
      </c>
      <c r="R958" t="s">
        <v>105</v>
      </c>
      <c r="S958" t="s">
        <v>70</v>
      </c>
      <c r="T958" t="s">
        <v>79</v>
      </c>
      <c r="U958" t="s">
        <v>150</v>
      </c>
      <c r="V958">
        <v>1027</v>
      </c>
      <c r="W958">
        <v>335</v>
      </c>
      <c r="X958">
        <v>14</v>
      </c>
      <c r="Y958">
        <v>1569.81</v>
      </c>
      <c r="Z958">
        <v>176.54</v>
      </c>
      <c r="AA958" s="9">
        <v>1746.35</v>
      </c>
      <c r="AB958" t="s">
        <v>52</v>
      </c>
      <c r="AC958">
        <v>0</v>
      </c>
      <c r="AD958">
        <v>85.02</v>
      </c>
      <c r="AE958">
        <v>69</v>
      </c>
      <c r="AF958">
        <v>80</v>
      </c>
      <c r="AG958" s="11">
        <f>Supply_Chain[[#This Row],[Total_Cost]]/Supply_Chain[[#This Row],[Stock_On_Hand]]</f>
        <v>1.7004381694255111</v>
      </c>
    </row>
    <row r="959" spans="1:33" x14ac:dyDescent="0.25">
      <c r="A959" t="s">
        <v>2648</v>
      </c>
      <c r="B959" t="s">
        <v>2649</v>
      </c>
      <c r="C959" s="1">
        <v>45201</v>
      </c>
      <c r="D959" s="1">
        <v>44470</v>
      </c>
      <c r="E959" t="s">
        <v>55</v>
      </c>
      <c r="F959" t="s">
        <v>64</v>
      </c>
      <c r="G959" t="s">
        <v>91</v>
      </c>
      <c r="H959" t="s">
        <v>66</v>
      </c>
      <c r="I959" s="3" t="s">
        <v>3486</v>
      </c>
      <c r="J959" s="3" t="s">
        <v>3518</v>
      </c>
      <c r="K959" s="3" t="s">
        <v>3535</v>
      </c>
      <c r="L959" s="3" t="s">
        <v>4274</v>
      </c>
      <c r="M959">
        <v>269.68</v>
      </c>
      <c r="N959">
        <v>11</v>
      </c>
      <c r="O959">
        <f>Supply_Chain[[#This Row],[Unit_Price]]*Supply_Chain[[#This Row],[Quantity]]</f>
        <v>2966.48</v>
      </c>
      <c r="P959" t="s">
        <v>1600</v>
      </c>
      <c r="Q959" t="s">
        <v>110</v>
      </c>
      <c r="R959" t="s">
        <v>135</v>
      </c>
      <c r="S959" t="s">
        <v>50</v>
      </c>
      <c r="T959" t="s">
        <v>71</v>
      </c>
      <c r="U959" t="s">
        <v>101</v>
      </c>
      <c r="V959">
        <v>1498</v>
      </c>
      <c r="W959">
        <v>499</v>
      </c>
      <c r="X959">
        <v>14</v>
      </c>
      <c r="Y959">
        <v>618.92999999999995</v>
      </c>
      <c r="Z959">
        <v>453.35</v>
      </c>
      <c r="AA959" s="9">
        <v>1072.28</v>
      </c>
      <c r="AB959" t="s">
        <v>52</v>
      </c>
      <c r="AC959">
        <v>0</v>
      </c>
      <c r="AD959">
        <v>83.21</v>
      </c>
      <c r="AE959">
        <v>212</v>
      </c>
      <c r="AF959">
        <v>186</v>
      </c>
      <c r="AG959" s="11">
        <f>Supply_Chain[[#This Row],[Total_Cost]]/Supply_Chain[[#This Row],[Stock_On_Hand]]</f>
        <v>0.71580774365821098</v>
      </c>
    </row>
    <row r="960" spans="1:33" x14ac:dyDescent="0.25">
      <c r="A960" t="s">
        <v>2650</v>
      </c>
      <c r="B960" t="s">
        <v>2148</v>
      </c>
      <c r="C960" s="1">
        <v>44154</v>
      </c>
      <c r="D960" s="1">
        <v>44783</v>
      </c>
      <c r="E960" t="s">
        <v>43</v>
      </c>
      <c r="F960" t="s">
        <v>44</v>
      </c>
      <c r="G960" t="s">
        <v>56</v>
      </c>
      <c r="H960" t="s">
        <v>92</v>
      </c>
      <c r="I960" s="3" t="s">
        <v>3490</v>
      </c>
      <c r="J960" s="3" t="s">
        <v>84</v>
      </c>
      <c r="K960" s="3" t="s">
        <v>3529</v>
      </c>
      <c r="L960" s="3" t="s">
        <v>4278</v>
      </c>
      <c r="M960">
        <v>224.88</v>
      </c>
      <c r="N960">
        <v>59</v>
      </c>
      <c r="O960">
        <f>Supply_Chain[[#This Row],[Unit_Price]]*Supply_Chain[[#This Row],[Quantity]]</f>
        <v>13267.92</v>
      </c>
      <c r="P960" t="s">
        <v>2651</v>
      </c>
      <c r="Q960" t="s">
        <v>48</v>
      </c>
      <c r="R960" t="s">
        <v>176</v>
      </c>
      <c r="S960" t="s">
        <v>50</v>
      </c>
      <c r="T960" t="s">
        <v>71</v>
      </c>
      <c r="U960" t="s">
        <v>191</v>
      </c>
      <c r="V960">
        <v>2977</v>
      </c>
      <c r="W960">
        <v>68</v>
      </c>
      <c r="X960">
        <v>2</v>
      </c>
      <c r="Y960">
        <v>608.41</v>
      </c>
      <c r="Z960">
        <v>253.24</v>
      </c>
      <c r="AA960" s="9">
        <v>861.65</v>
      </c>
      <c r="AB960" t="s">
        <v>52</v>
      </c>
      <c r="AC960">
        <v>0</v>
      </c>
      <c r="AD960">
        <v>79.45</v>
      </c>
      <c r="AE960">
        <v>266</v>
      </c>
      <c r="AF960">
        <v>290</v>
      </c>
      <c r="AG960" s="11">
        <f>Supply_Chain[[#This Row],[Total_Cost]]/Supply_Chain[[#This Row],[Stock_On_Hand]]</f>
        <v>0.28943567349680888</v>
      </c>
    </row>
    <row r="961" spans="1:33" x14ac:dyDescent="0.25">
      <c r="A961" t="s">
        <v>2652</v>
      </c>
      <c r="B961" t="s">
        <v>1122</v>
      </c>
      <c r="C961" s="1">
        <v>44866</v>
      </c>
      <c r="D961" s="1">
        <v>44264</v>
      </c>
      <c r="E961" t="s">
        <v>55</v>
      </c>
      <c r="F961" t="s">
        <v>115</v>
      </c>
      <c r="G961" t="s">
        <v>65</v>
      </c>
      <c r="H961" t="s">
        <v>166</v>
      </c>
      <c r="I961" s="3" t="s">
        <v>3360</v>
      </c>
      <c r="J961" s="3" t="s">
        <v>3518</v>
      </c>
      <c r="K961" s="3" t="s">
        <v>3522</v>
      </c>
      <c r="L961" s="3" t="s">
        <v>4147</v>
      </c>
      <c r="M961">
        <v>408.95</v>
      </c>
      <c r="N961">
        <v>11</v>
      </c>
      <c r="O961">
        <f>Supply_Chain[[#This Row],[Unit_Price]]*Supply_Chain[[#This Row],[Quantity]]</f>
        <v>4498.45</v>
      </c>
      <c r="P961" t="s">
        <v>1076</v>
      </c>
      <c r="Q961" t="s">
        <v>110</v>
      </c>
      <c r="R961" t="s">
        <v>69</v>
      </c>
      <c r="S961" t="s">
        <v>70</v>
      </c>
      <c r="T961" t="s">
        <v>38</v>
      </c>
      <c r="U961" t="s">
        <v>131</v>
      </c>
      <c r="V961">
        <v>429</v>
      </c>
      <c r="W961">
        <v>445</v>
      </c>
      <c r="X961">
        <v>1</v>
      </c>
      <c r="Y961">
        <v>1888.19</v>
      </c>
      <c r="Z961">
        <v>383.28</v>
      </c>
      <c r="AA961" s="9">
        <v>2271.4699999999998</v>
      </c>
      <c r="AB961" t="s">
        <v>52</v>
      </c>
      <c r="AC961">
        <v>0</v>
      </c>
      <c r="AD961">
        <v>74.989999999999995</v>
      </c>
      <c r="AE961">
        <v>122</v>
      </c>
      <c r="AF961">
        <v>113</v>
      </c>
      <c r="AG961" s="11">
        <f>Supply_Chain[[#This Row],[Total_Cost]]/Supply_Chain[[#This Row],[Stock_On_Hand]]</f>
        <v>5.2948018648018644</v>
      </c>
    </row>
    <row r="962" spans="1:33" x14ac:dyDescent="0.25">
      <c r="A962" t="s">
        <v>2653</v>
      </c>
      <c r="B962" t="s">
        <v>2654</v>
      </c>
      <c r="C962" s="1">
        <v>44986</v>
      </c>
      <c r="D962" s="1">
        <v>44481</v>
      </c>
      <c r="E962" t="s">
        <v>43</v>
      </c>
      <c r="F962" t="s">
        <v>64</v>
      </c>
      <c r="G962" t="s">
        <v>56</v>
      </c>
      <c r="H962" t="s">
        <v>33</v>
      </c>
      <c r="I962" s="3" t="s">
        <v>3351</v>
      </c>
      <c r="J962" s="3" t="s">
        <v>3518</v>
      </c>
      <c r="K962" s="3" t="s">
        <v>3522</v>
      </c>
      <c r="L962" s="3" t="s">
        <v>4138</v>
      </c>
      <c r="M962">
        <v>374.12</v>
      </c>
      <c r="N962">
        <v>60</v>
      </c>
      <c r="O962">
        <f>Supply_Chain[[#This Row],[Unit_Price]]*Supply_Chain[[#This Row],[Quantity]]</f>
        <v>22447.200000000001</v>
      </c>
      <c r="P962" t="s">
        <v>2586</v>
      </c>
      <c r="Q962" t="s">
        <v>35</v>
      </c>
      <c r="R962" t="s">
        <v>369</v>
      </c>
      <c r="S962" t="s">
        <v>37</v>
      </c>
      <c r="T962" t="s">
        <v>38</v>
      </c>
      <c r="U962" t="s">
        <v>338</v>
      </c>
      <c r="V962">
        <v>4303</v>
      </c>
      <c r="W962">
        <v>116</v>
      </c>
      <c r="X962">
        <v>3</v>
      </c>
      <c r="Y962">
        <v>500.63</v>
      </c>
      <c r="Z962">
        <v>342.67</v>
      </c>
      <c r="AA962" s="9">
        <v>843.3</v>
      </c>
      <c r="AB962" t="s">
        <v>52</v>
      </c>
      <c r="AC962">
        <v>0</v>
      </c>
      <c r="AD962">
        <v>99.2</v>
      </c>
      <c r="AE962">
        <v>271</v>
      </c>
      <c r="AF962">
        <v>316</v>
      </c>
      <c r="AG962" s="11">
        <f>Supply_Chain[[#This Row],[Total_Cost]]/Supply_Chain[[#This Row],[Stock_On_Hand]]</f>
        <v>0.19597954915175458</v>
      </c>
    </row>
    <row r="963" spans="1:33" x14ac:dyDescent="0.25">
      <c r="A963" t="s">
        <v>2655</v>
      </c>
      <c r="B963" t="s">
        <v>2656</v>
      </c>
      <c r="C963" s="1">
        <v>45105</v>
      </c>
      <c r="D963" s="1">
        <v>45365</v>
      </c>
      <c r="E963" t="s">
        <v>55</v>
      </c>
      <c r="F963" t="s">
        <v>115</v>
      </c>
      <c r="G963" t="s">
        <v>65</v>
      </c>
      <c r="H963" t="s">
        <v>92</v>
      </c>
      <c r="I963" s="3" t="s">
        <v>3491</v>
      </c>
      <c r="J963" s="3" t="s">
        <v>3518</v>
      </c>
      <c r="K963" s="3" t="s">
        <v>3522</v>
      </c>
      <c r="L963" s="3" t="s">
        <v>4279</v>
      </c>
      <c r="M963">
        <v>486.45</v>
      </c>
      <c r="N963">
        <v>45</v>
      </c>
      <c r="O963">
        <f>Supply_Chain[[#This Row],[Unit_Price]]*Supply_Chain[[#This Row],[Quantity]]</f>
        <v>21890.25</v>
      </c>
      <c r="P963" t="s">
        <v>2309</v>
      </c>
      <c r="Q963" t="s">
        <v>48</v>
      </c>
      <c r="R963" t="s">
        <v>388</v>
      </c>
      <c r="S963" t="s">
        <v>70</v>
      </c>
      <c r="T963" t="s">
        <v>100</v>
      </c>
      <c r="U963" t="s">
        <v>429</v>
      </c>
      <c r="V963">
        <v>3028</v>
      </c>
      <c r="W963">
        <v>66</v>
      </c>
      <c r="X963">
        <v>8</v>
      </c>
      <c r="Y963">
        <v>619.6</v>
      </c>
      <c r="Z963">
        <v>378.57</v>
      </c>
      <c r="AA963" s="9">
        <v>998.17000000000007</v>
      </c>
      <c r="AB963" t="s">
        <v>52</v>
      </c>
      <c r="AC963">
        <v>0</v>
      </c>
      <c r="AD963">
        <v>93.07</v>
      </c>
      <c r="AE963">
        <v>274</v>
      </c>
      <c r="AF963">
        <v>313</v>
      </c>
      <c r="AG963" s="11">
        <f>Supply_Chain[[#This Row],[Total_Cost]]/Supply_Chain[[#This Row],[Stock_On_Hand]]</f>
        <v>0.32964663143989437</v>
      </c>
    </row>
    <row r="964" spans="1:33" x14ac:dyDescent="0.25">
      <c r="A964" t="s">
        <v>2657</v>
      </c>
      <c r="B964" t="s">
        <v>2658</v>
      </c>
      <c r="C964" s="1">
        <v>45029</v>
      </c>
      <c r="D964" s="1">
        <v>44575</v>
      </c>
      <c r="E964" t="s">
        <v>55</v>
      </c>
      <c r="F964" t="s">
        <v>44</v>
      </c>
      <c r="G964" t="s">
        <v>45</v>
      </c>
      <c r="H964" t="s">
        <v>166</v>
      </c>
      <c r="I964" s="3" t="s">
        <v>3492</v>
      </c>
      <c r="J964" s="3" t="s">
        <v>3518</v>
      </c>
      <c r="K964" s="3" t="s">
        <v>3522</v>
      </c>
      <c r="L964" s="3" t="s">
        <v>4280</v>
      </c>
      <c r="M964">
        <v>315.58</v>
      </c>
      <c r="N964">
        <v>16</v>
      </c>
      <c r="O964">
        <f>Supply_Chain[[#This Row],[Unit_Price]]*Supply_Chain[[#This Row],[Quantity]]</f>
        <v>5049.28</v>
      </c>
      <c r="P964" t="s">
        <v>2519</v>
      </c>
      <c r="Q964" t="s">
        <v>68</v>
      </c>
      <c r="R964" t="s">
        <v>480</v>
      </c>
      <c r="S964" t="s">
        <v>70</v>
      </c>
      <c r="T964" t="s">
        <v>79</v>
      </c>
      <c r="U964" t="s">
        <v>219</v>
      </c>
      <c r="V964">
        <v>3568</v>
      </c>
      <c r="W964">
        <v>391</v>
      </c>
      <c r="X964">
        <v>29</v>
      </c>
      <c r="Y964">
        <v>1081.3399999999999</v>
      </c>
      <c r="Z964">
        <v>288.02999999999997</v>
      </c>
      <c r="AA964" s="9">
        <v>1369.37</v>
      </c>
      <c r="AB964" t="s">
        <v>52</v>
      </c>
      <c r="AC964">
        <v>0</v>
      </c>
      <c r="AD964">
        <v>98.73</v>
      </c>
      <c r="AE964">
        <v>362</v>
      </c>
      <c r="AF964">
        <v>369</v>
      </c>
      <c r="AG964" s="11">
        <f>Supply_Chain[[#This Row],[Total_Cost]]/Supply_Chain[[#This Row],[Stock_On_Hand]]</f>
        <v>0.38379204035874437</v>
      </c>
    </row>
    <row r="965" spans="1:33" x14ac:dyDescent="0.25">
      <c r="A965" t="s">
        <v>2659</v>
      </c>
      <c r="B965" t="s">
        <v>2660</v>
      </c>
      <c r="C965" s="1">
        <v>45419</v>
      </c>
      <c r="D965" s="1">
        <v>44621</v>
      </c>
      <c r="E965" t="s">
        <v>43</v>
      </c>
      <c r="F965" t="s">
        <v>64</v>
      </c>
      <c r="G965" t="s">
        <v>247</v>
      </c>
      <c r="H965" t="s">
        <v>66</v>
      </c>
      <c r="I965" s="3" t="s">
        <v>3493</v>
      </c>
      <c r="J965" s="3" t="s">
        <v>3518</v>
      </c>
      <c r="K965" s="3" t="s">
        <v>3522</v>
      </c>
      <c r="L965" s="3" t="s">
        <v>4281</v>
      </c>
      <c r="M965">
        <v>424.23</v>
      </c>
      <c r="N965">
        <v>17</v>
      </c>
      <c r="O965">
        <f>Supply_Chain[[#This Row],[Unit_Price]]*Supply_Chain[[#This Row],[Quantity]]</f>
        <v>7211.91</v>
      </c>
      <c r="P965" t="s">
        <v>435</v>
      </c>
      <c r="Q965" t="s">
        <v>68</v>
      </c>
      <c r="R965" t="s">
        <v>111</v>
      </c>
      <c r="S965" t="s">
        <v>119</v>
      </c>
      <c r="T965" t="s">
        <v>71</v>
      </c>
      <c r="U965" t="s">
        <v>429</v>
      </c>
      <c r="V965">
        <v>3716</v>
      </c>
      <c r="W965">
        <v>435</v>
      </c>
      <c r="X965">
        <v>8</v>
      </c>
      <c r="Y965">
        <v>1809.97</v>
      </c>
      <c r="Z965">
        <v>388.51</v>
      </c>
      <c r="AA965" s="9">
        <v>2198.48</v>
      </c>
      <c r="AB965" t="s">
        <v>52</v>
      </c>
      <c r="AC965">
        <v>0</v>
      </c>
      <c r="AD965">
        <v>88.2</v>
      </c>
      <c r="AE965">
        <v>244</v>
      </c>
      <c r="AF965">
        <v>252</v>
      </c>
      <c r="AG965" s="11">
        <f>Supply_Chain[[#This Row],[Total_Cost]]/Supply_Chain[[#This Row],[Stock_On_Hand]]</f>
        <v>0.59162540365984928</v>
      </c>
    </row>
    <row r="966" spans="1:33" x14ac:dyDescent="0.25">
      <c r="A966" t="s">
        <v>2661</v>
      </c>
      <c r="B966" t="s">
        <v>2662</v>
      </c>
      <c r="C966" s="1">
        <v>44057</v>
      </c>
      <c r="D966" s="1">
        <v>44398</v>
      </c>
      <c r="E966" t="s">
        <v>55</v>
      </c>
      <c r="F966" t="s">
        <v>64</v>
      </c>
      <c r="G966" t="s">
        <v>83</v>
      </c>
      <c r="H966" t="s">
        <v>92</v>
      </c>
      <c r="I966" s="3" t="s">
        <v>2780</v>
      </c>
      <c r="J966" s="3" t="s">
        <v>3518</v>
      </c>
      <c r="K966" s="3" t="s">
        <v>3532</v>
      </c>
      <c r="L966" s="3" t="s">
        <v>3580</v>
      </c>
      <c r="M966">
        <v>453.46</v>
      </c>
      <c r="N966">
        <v>95</v>
      </c>
      <c r="O966">
        <f>Supply_Chain[[#This Row],[Unit_Price]]*Supply_Chain[[#This Row],[Quantity]]</f>
        <v>43078.7</v>
      </c>
      <c r="P966" t="s">
        <v>1076</v>
      </c>
      <c r="Q966" t="s">
        <v>35</v>
      </c>
      <c r="R966" t="s">
        <v>369</v>
      </c>
      <c r="S966" t="s">
        <v>50</v>
      </c>
      <c r="T966" t="s">
        <v>79</v>
      </c>
      <c r="U966" t="s">
        <v>370</v>
      </c>
      <c r="V966">
        <v>1391</v>
      </c>
      <c r="W966">
        <v>319</v>
      </c>
      <c r="X966">
        <v>22</v>
      </c>
      <c r="Y966">
        <v>991.92</v>
      </c>
      <c r="Z966">
        <v>489.05</v>
      </c>
      <c r="AA966" s="9">
        <v>1480.97</v>
      </c>
      <c r="AB966" t="s">
        <v>52</v>
      </c>
      <c r="AC966">
        <v>0</v>
      </c>
      <c r="AD966">
        <v>76.77</v>
      </c>
      <c r="AE966">
        <v>237</v>
      </c>
      <c r="AF966">
        <v>260</v>
      </c>
      <c r="AG966" s="11">
        <f>Supply_Chain[[#This Row],[Total_Cost]]/Supply_Chain[[#This Row],[Stock_On_Hand]]</f>
        <v>1.0646800862688712</v>
      </c>
    </row>
    <row r="967" spans="1:33" x14ac:dyDescent="0.25">
      <c r="A967" t="s">
        <v>2663</v>
      </c>
      <c r="B967" t="s">
        <v>2664</v>
      </c>
      <c r="C967" s="1">
        <v>44063</v>
      </c>
      <c r="D967" s="1">
        <v>45215</v>
      </c>
      <c r="E967" t="s">
        <v>55</v>
      </c>
      <c r="F967" t="s">
        <v>75</v>
      </c>
      <c r="G967" t="s">
        <v>91</v>
      </c>
      <c r="H967" t="s">
        <v>166</v>
      </c>
      <c r="I967" s="3" t="s">
        <v>3494</v>
      </c>
      <c r="J967" s="3" t="s">
        <v>3518</v>
      </c>
      <c r="K967" s="3" t="s">
        <v>3532</v>
      </c>
      <c r="L967" s="3" t="s">
        <v>4282</v>
      </c>
      <c r="M967">
        <v>323.27</v>
      </c>
      <c r="N967">
        <v>40</v>
      </c>
      <c r="O967">
        <f>Supply_Chain[[#This Row],[Unit_Price]]*Supply_Chain[[#This Row],[Quantity]]</f>
        <v>12930.8</v>
      </c>
      <c r="P967" t="s">
        <v>1135</v>
      </c>
      <c r="Q967" t="s">
        <v>35</v>
      </c>
      <c r="R967" t="s">
        <v>819</v>
      </c>
      <c r="S967" t="s">
        <v>119</v>
      </c>
      <c r="T967" t="s">
        <v>79</v>
      </c>
      <c r="U967" t="s">
        <v>855</v>
      </c>
      <c r="V967">
        <v>39</v>
      </c>
      <c r="W967">
        <v>96</v>
      </c>
      <c r="X967">
        <v>6</v>
      </c>
      <c r="Y967">
        <v>1411.31</v>
      </c>
      <c r="Z967">
        <v>196.01</v>
      </c>
      <c r="AA967" s="9">
        <v>1607.32</v>
      </c>
      <c r="AB967" t="s">
        <v>52</v>
      </c>
      <c r="AC967">
        <v>0</v>
      </c>
      <c r="AD967">
        <v>94.09</v>
      </c>
      <c r="AE967">
        <v>359</v>
      </c>
      <c r="AF967">
        <v>367</v>
      </c>
      <c r="AG967" s="11">
        <f>Supply_Chain[[#This Row],[Total_Cost]]/Supply_Chain[[#This Row],[Stock_On_Hand]]</f>
        <v>41.213333333333331</v>
      </c>
    </row>
    <row r="968" spans="1:33" x14ac:dyDescent="0.25">
      <c r="A968" t="s">
        <v>2665</v>
      </c>
      <c r="B968" t="s">
        <v>2666</v>
      </c>
      <c r="C968" s="1">
        <v>44911</v>
      </c>
      <c r="D968" s="1">
        <v>44681</v>
      </c>
      <c r="E968" t="s">
        <v>55</v>
      </c>
      <c r="F968" t="s">
        <v>44</v>
      </c>
      <c r="G968" t="s">
        <v>76</v>
      </c>
      <c r="H968" t="s">
        <v>92</v>
      </c>
      <c r="I968" s="3" t="s">
        <v>3403</v>
      </c>
      <c r="J968" s="3" t="s">
        <v>3518</v>
      </c>
      <c r="K968" s="3" t="s">
        <v>3527</v>
      </c>
      <c r="L968" s="3" t="s">
        <v>4189</v>
      </c>
      <c r="M968">
        <v>458.37</v>
      </c>
      <c r="N968">
        <v>92</v>
      </c>
      <c r="O968">
        <f>Supply_Chain[[#This Row],[Unit_Price]]*Supply_Chain[[#This Row],[Quantity]]</f>
        <v>42170.04</v>
      </c>
      <c r="P968" t="s">
        <v>707</v>
      </c>
      <c r="Q968" t="s">
        <v>68</v>
      </c>
      <c r="R968" t="s">
        <v>124</v>
      </c>
      <c r="S968" t="s">
        <v>119</v>
      </c>
      <c r="T968" t="s">
        <v>60</v>
      </c>
      <c r="U968" t="s">
        <v>196</v>
      </c>
      <c r="V968">
        <v>4666</v>
      </c>
      <c r="W968">
        <v>139</v>
      </c>
      <c r="X968">
        <v>18</v>
      </c>
      <c r="Y968">
        <v>614.35</v>
      </c>
      <c r="Z968">
        <v>150.32</v>
      </c>
      <c r="AA968" s="9">
        <v>764.67000000000007</v>
      </c>
      <c r="AB968" t="s">
        <v>52</v>
      </c>
      <c r="AC968">
        <v>0</v>
      </c>
      <c r="AD968">
        <v>93.31</v>
      </c>
      <c r="AE968">
        <v>434</v>
      </c>
      <c r="AF968">
        <v>476</v>
      </c>
      <c r="AG968" s="11">
        <f>Supply_Chain[[#This Row],[Total_Cost]]/Supply_Chain[[#This Row],[Stock_On_Hand]]</f>
        <v>0.16388126875267897</v>
      </c>
    </row>
    <row r="969" spans="1:33" x14ac:dyDescent="0.25">
      <c r="A969" t="s">
        <v>2667</v>
      </c>
      <c r="B969" t="s">
        <v>2668</v>
      </c>
      <c r="C969" s="1">
        <v>44025</v>
      </c>
      <c r="D969" s="1">
        <v>45239</v>
      </c>
      <c r="E969" t="s">
        <v>43</v>
      </c>
      <c r="F969" t="s">
        <v>64</v>
      </c>
      <c r="G969" t="s">
        <v>247</v>
      </c>
      <c r="H969" t="s">
        <v>116</v>
      </c>
      <c r="I969" s="3" t="s">
        <v>3495</v>
      </c>
      <c r="J969" s="3" t="s">
        <v>3518</v>
      </c>
      <c r="K969" s="3" t="s">
        <v>3521</v>
      </c>
      <c r="L969" s="3" t="s">
        <v>4283</v>
      </c>
      <c r="M969">
        <v>26.12</v>
      </c>
      <c r="N969">
        <v>18</v>
      </c>
      <c r="O969">
        <f>Supply_Chain[[#This Row],[Unit_Price]]*Supply_Chain[[#This Row],[Quantity]]</f>
        <v>470.16</v>
      </c>
      <c r="P969" t="s">
        <v>947</v>
      </c>
      <c r="Q969" t="s">
        <v>48</v>
      </c>
      <c r="R969" t="s">
        <v>419</v>
      </c>
      <c r="S969" t="s">
        <v>50</v>
      </c>
      <c r="T969" t="s">
        <v>71</v>
      </c>
      <c r="U969" t="s">
        <v>203</v>
      </c>
      <c r="V969">
        <v>3538</v>
      </c>
      <c r="W969">
        <v>286</v>
      </c>
      <c r="X969">
        <v>26</v>
      </c>
      <c r="Y969">
        <v>1578.39</v>
      </c>
      <c r="Z969">
        <v>224.91</v>
      </c>
      <c r="AA969" s="9">
        <v>1803.3</v>
      </c>
      <c r="AB969" t="s">
        <v>52</v>
      </c>
      <c r="AC969">
        <v>0</v>
      </c>
      <c r="AD969">
        <v>77.09</v>
      </c>
      <c r="AE969">
        <v>143</v>
      </c>
      <c r="AF969">
        <v>184</v>
      </c>
      <c r="AG969" s="11">
        <f>Supply_Chain[[#This Row],[Total_Cost]]/Supply_Chain[[#This Row],[Stock_On_Hand]]</f>
        <v>0.50969474279253812</v>
      </c>
    </row>
    <row r="970" spans="1:33" x14ac:dyDescent="0.25">
      <c r="A970" t="s">
        <v>2669</v>
      </c>
      <c r="B970" t="s">
        <v>2670</v>
      </c>
      <c r="C970" s="1">
        <v>44166</v>
      </c>
      <c r="D970" s="1">
        <v>45432</v>
      </c>
      <c r="E970" t="s">
        <v>43</v>
      </c>
      <c r="F970" t="s">
        <v>75</v>
      </c>
      <c r="G970" t="s">
        <v>91</v>
      </c>
      <c r="H970" t="s">
        <v>57</v>
      </c>
      <c r="I970" s="3" t="s">
        <v>3496</v>
      </c>
      <c r="J970" s="3" t="s">
        <v>3518</v>
      </c>
      <c r="K970" s="3" t="s">
        <v>3521</v>
      </c>
      <c r="L970" s="3" t="s">
        <v>4284</v>
      </c>
      <c r="M970">
        <v>440.62</v>
      </c>
      <c r="N970">
        <v>80</v>
      </c>
      <c r="O970">
        <f>Supply_Chain[[#This Row],[Unit_Price]]*Supply_Chain[[#This Row],[Quantity]]</f>
        <v>35249.599999999999</v>
      </c>
      <c r="P970" t="s">
        <v>2671</v>
      </c>
      <c r="Q970" t="s">
        <v>86</v>
      </c>
      <c r="R970" t="s">
        <v>653</v>
      </c>
      <c r="S970" t="s">
        <v>37</v>
      </c>
      <c r="T970" t="s">
        <v>71</v>
      </c>
      <c r="U970" t="s">
        <v>136</v>
      </c>
      <c r="V970">
        <v>2424</v>
      </c>
      <c r="W970">
        <v>447</v>
      </c>
      <c r="X970">
        <v>13</v>
      </c>
      <c r="Y970">
        <v>557.80999999999995</v>
      </c>
      <c r="Z970">
        <v>270.37</v>
      </c>
      <c r="AA970" s="9">
        <v>828.18</v>
      </c>
      <c r="AB970" t="s">
        <v>52</v>
      </c>
      <c r="AC970">
        <v>0</v>
      </c>
      <c r="AD970">
        <v>95.36</v>
      </c>
      <c r="AE970">
        <v>336</v>
      </c>
      <c r="AF970">
        <v>355</v>
      </c>
      <c r="AG970" s="11">
        <f>Supply_Chain[[#This Row],[Total_Cost]]/Supply_Chain[[#This Row],[Stock_On_Hand]]</f>
        <v>0.34165841584158413</v>
      </c>
    </row>
    <row r="971" spans="1:33" x14ac:dyDescent="0.25">
      <c r="A971" t="s">
        <v>2672</v>
      </c>
      <c r="B971" t="s">
        <v>2673</v>
      </c>
      <c r="C971" s="1">
        <v>45531</v>
      </c>
      <c r="D971" s="1">
        <v>44153</v>
      </c>
      <c r="E971" t="s">
        <v>55</v>
      </c>
      <c r="F971" t="s">
        <v>64</v>
      </c>
      <c r="G971" t="s">
        <v>91</v>
      </c>
      <c r="H971" t="s">
        <v>33</v>
      </c>
      <c r="I971" s="3" t="s">
        <v>3497</v>
      </c>
      <c r="J971" s="3" t="s">
        <v>3518</v>
      </c>
      <c r="K971" s="3" t="s">
        <v>3524</v>
      </c>
      <c r="L971" s="3" t="s">
        <v>4285</v>
      </c>
      <c r="M971">
        <v>327.51</v>
      </c>
      <c r="N971">
        <v>28</v>
      </c>
      <c r="O971">
        <f>Supply_Chain[[#This Row],[Unit_Price]]*Supply_Chain[[#This Row],[Quantity]]</f>
        <v>9170.2799999999988</v>
      </c>
      <c r="P971" t="s">
        <v>2674</v>
      </c>
      <c r="Q971" t="s">
        <v>110</v>
      </c>
      <c r="R971" t="s">
        <v>181</v>
      </c>
      <c r="S971" t="s">
        <v>70</v>
      </c>
      <c r="T971" t="s">
        <v>71</v>
      </c>
      <c r="U971" t="s">
        <v>177</v>
      </c>
      <c r="V971">
        <v>1838</v>
      </c>
      <c r="W971">
        <v>168</v>
      </c>
      <c r="X971">
        <v>23</v>
      </c>
      <c r="Y971">
        <v>1441.82</v>
      </c>
      <c r="Z971">
        <v>497.29</v>
      </c>
      <c r="AA971" s="9">
        <v>1939.11</v>
      </c>
      <c r="AB971" t="s">
        <v>52</v>
      </c>
      <c r="AC971">
        <v>0</v>
      </c>
      <c r="AD971">
        <v>73.22</v>
      </c>
      <c r="AE971">
        <v>157</v>
      </c>
      <c r="AF971">
        <v>121</v>
      </c>
      <c r="AG971" s="11">
        <f>Supply_Chain[[#This Row],[Total_Cost]]/Supply_Chain[[#This Row],[Stock_On_Hand]]</f>
        <v>1.0550108813928183</v>
      </c>
    </row>
    <row r="972" spans="1:33" x14ac:dyDescent="0.25">
      <c r="A972" t="s">
        <v>2675</v>
      </c>
      <c r="B972" t="s">
        <v>1158</v>
      </c>
      <c r="C972" s="1">
        <v>43921</v>
      </c>
      <c r="D972" s="1">
        <v>44675</v>
      </c>
      <c r="E972" t="s">
        <v>55</v>
      </c>
      <c r="F972" t="s">
        <v>44</v>
      </c>
      <c r="G972" t="s">
        <v>247</v>
      </c>
      <c r="H972" t="s">
        <v>166</v>
      </c>
      <c r="I972" s="3" t="s">
        <v>3498</v>
      </c>
      <c r="J972" s="3" t="s">
        <v>3519</v>
      </c>
      <c r="K972" s="3" t="s">
        <v>3530</v>
      </c>
      <c r="L972" s="3" t="s">
        <v>4286</v>
      </c>
      <c r="M972">
        <v>229.11</v>
      </c>
      <c r="N972">
        <v>71</v>
      </c>
      <c r="O972">
        <f>Supply_Chain[[#This Row],[Unit_Price]]*Supply_Chain[[#This Row],[Quantity]]</f>
        <v>16266.810000000001</v>
      </c>
      <c r="P972" t="s">
        <v>1125</v>
      </c>
      <c r="Q972" t="s">
        <v>48</v>
      </c>
      <c r="R972" t="s">
        <v>253</v>
      </c>
      <c r="S972" t="s">
        <v>50</v>
      </c>
      <c r="T972" t="s">
        <v>71</v>
      </c>
      <c r="U972" t="s">
        <v>219</v>
      </c>
      <c r="V972">
        <v>1724</v>
      </c>
      <c r="W972">
        <v>127</v>
      </c>
      <c r="X972">
        <v>12</v>
      </c>
      <c r="Y972">
        <v>475.86</v>
      </c>
      <c r="Z972">
        <v>394.94</v>
      </c>
      <c r="AA972" s="9">
        <v>870.8</v>
      </c>
      <c r="AB972" t="s">
        <v>52</v>
      </c>
      <c r="AC972">
        <v>0</v>
      </c>
      <c r="AD972">
        <v>92.79</v>
      </c>
      <c r="AE972">
        <v>470</v>
      </c>
      <c r="AF972">
        <v>470</v>
      </c>
      <c r="AG972" s="11">
        <f>Supply_Chain[[#This Row],[Total_Cost]]/Supply_Chain[[#This Row],[Stock_On_Hand]]</f>
        <v>0.50510440835266823</v>
      </c>
    </row>
    <row r="973" spans="1:33" x14ac:dyDescent="0.25">
      <c r="A973" t="s">
        <v>2676</v>
      </c>
      <c r="B973" t="s">
        <v>2677</v>
      </c>
      <c r="C973" s="1">
        <v>45232</v>
      </c>
      <c r="D973" s="1">
        <v>45666</v>
      </c>
      <c r="E973" t="s">
        <v>55</v>
      </c>
      <c r="F973" t="s">
        <v>44</v>
      </c>
      <c r="G973" t="s">
        <v>56</v>
      </c>
      <c r="H973" t="s">
        <v>66</v>
      </c>
      <c r="I973" s="3" t="s">
        <v>3331</v>
      </c>
      <c r="J973" s="3" t="s">
        <v>3519</v>
      </c>
      <c r="K973" s="3" t="s">
        <v>3528</v>
      </c>
      <c r="L973" s="3" t="s">
        <v>4118</v>
      </c>
      <c r="M973">
        <v>11.67</v>
      </c>
      <c r="N973">
        <v>28</v>
      </c>
      <c r="O973">
        <f>Supply_Chain[[#This Row],[Unit_Price]]*Supply_Chain[[#This Row],[Quantity]]</f>
        <v>326.76</v>
      </c>
      <c r="P973" t="s">
        <v>907</v>
      </c>
      <c r="Q973" t="s">
        <v>48</v>
      </c>
      <c r="R973" t="s">
        <v>269</v>
      </c>
      <c r="S973" t="s">
        <v>50</v>
      </c>
      <c r="T973" t="s">
        <v>38</v>
      </c>
      <c r="U973" t="s">
        <v>440</v>
      </c>
      <c r="V973">
        <v>2044</v>
      </c>
      <c r="W973">
        <v>263</v>
      </c>
      <c r="X973">
        <v>5</v>
      </c>
      <c r="Y973">
        <v>1458.73</v>
      </c>
      <c r="Z973">
        <v>80.63</v>
      </c>
      <c r="AA973" s="9">
        <v>1539.36</v>
      </c>
      <c r="AB973" t="s">
        <v>52</v>
      </c>
      <c r="AC973">
        <v>0</v>
      </c>
      <c r="AD973">
        <v>98.89</v>
      </c>
      <c r="AE973">
        <v>299</v>
      </c>
      <c r="AF973">
        <v>338</v>
      </c>
      <c r="AG973" s="11">
        <f>Supply_Chain[[#This Row],[Total_Cost]]/Supply_Chain[[#This Row],[Stock_On_Hand]]</f>
        <v>0.75311154598825825</v>
      </c>
    </row>
    <row r="974" spans="1:33" x14ac:dyDescent="0.25">
      <c r="A974" t="s">
        <v>2678</v>
      </c>
      <c r="B974" t="s">
        <v>2679</v>
      </c>
      <c r="C974" s="1">
        <v>45339</v>
      </c>
      <c r="D974" s="1">
        <v>43874</v>
      </c>
      <c r="E974" t="s">
        <v>55</v>
      </c>
      <c r="F974" t="s">
        <v>115</v>
      </c>
      <c r="G974" t="s">
        <v>65</v>
      </c>
      <c r="H974" t="s">
        <v>33</v>
      </c>
      <c r="I974" s="3" t="s">
        <v>3290</v>
      </c>
      <c r="J974" s="3" t="s">
        <v>84</v>
      </c>
      <c r="K974" s="3" t="s">
        <v>3529</v>
      </c>
      <c r="L974" s="3" t="s">
        <v>4079</v>
      </c>
      <c r="M974">
        <v>230.77</v>
      </c>
      <c r="N974">
        <v>45</v>
      </c>
      <c r="O974">
        <f>Supply_Chain[[#This Row],[Unit_Price]]*Supply_Chain[[#This Row],[Quantity]]</f>
        <v>10384.65</v>
      </c>
      <c r="P974" t="s">
        <v>1189</v>
      </c>
      <c r="Q974" t="s">
        <v>86</v>
      </c>
      <c r="R974" t="s">
        <v>145</v>
      </c>
      <c r="S974" t="s">
        <v>37</v>
      </c>
      <c r="T974" t="s">
        <v>71</v>
      </c>
      <c r="U974" t="s">
        <v>125</v>
      </c>
      <c r="V974">
        <v>347</v>
      </c>
      <c r="W974">
        <v>340</v>
      </c>
      <c r="X974">
        <v>20</v>
      </c>
      <c r="Y974">
        <v>1143.96</v>
      </c>
      <c r="Z974">
        <v>214.44</v>
      </c>
      <c r="AA974" s="9">
        <v>1358.4</v>
      </c>
      <c r="AB974" t="s">
        <v>52</v>
      </c>
      <c r="AC974">
        <v>0</v>
      </c>
      <c r="AD974">
        <v>82.32</v>
      </c>
      <c r="AE974">
        <v>351</v>
      </c>
      <c r="AF974">
        <v>352</v>
      </c>
      <c r="AG974" s="11">
        <f>Supply_Chain[[#This Row],[Total_Cost]]/Supply_Chain[[#This Row],[Stock_On_Hand]]</f>
        <v>3.9146974063400579</v>
      </c>
    </row>
    <row r="975" spans="1:33" x14ac:dyDescent="0.25">
      <c r="A975" t="s">
        <v>2680</v>
      </c>
      <c r="B975" t="s">
        <v>2681</v>
      </c>
      <c r="C975" s="1">
        <v>44687</v>
      </c>
      <c r="D975" s="1">
        <v>45026</v>
      </c>
      <c r="E975" t="s">
        <v>43</v>
      </c>
      <c r="F975" t="s">
        <v>75</v>
      </c>
      <c r="G975" t="s">
        <v>65</v>
      </c>
      <c r="H975" t="s">
        <v>66</v>
      </c>
      <c r="I975" s="3" t="s">
        <v>3499</v>
      </c>
      <c r="J975" s="3" t="s">
        <v>3518</v>
      </c>
      <c r="K975" s="3" t="s">
        <v>3525</v>
      </c>
      <c r="L975" s="3" t="s">
        <v>4287</v>
      </c>
      <c r="M975">
        <v>312.83999999999997</v>
      </c>
      <c r="N975">
        <v>40</v>
      </c>
      <c r="O975">
        <f>Supply_Chain[[#This Row],[Unit_Price]]*Supply_Chain[[#This Row],[Quantity]]</f>
        <v>12513.599999999999</v>
      </c>
      <c r="P975" t="s">
        <v>1054</v>
      </c>
      <c r="Q975" t="s">
        <v>110</v>
      </c>
      <c r="R975" t="s">
        <v>480</v>
      </c>
      <c r="S975" t="s">
        <v>37</v>
      </c>
      <c r="T975" t="s">
        <v>60</v>
      </c>
      <c r="U975" t="s">
        <v>101</v>
      </c>
      <c r="V975">
        <v>3307</v>
      </c>
      <c r="W975">
        <v>55</v>
      </c>
      <c r="X975">
        <v>10</v>
      </c>
      <c r="Y975">
        <v>666</v>
      </c>
      <c r="Z975">
        <v>331.79</v>
      </c>
      <c r="AA975" s="9">
        <v>997.79</v>
      </c>
      <c r="AB975" t="s">
        <v>40</v>
      </c>
      <c r="AC975">
        <v>7</v>
      </c>
      <c r="AD975">
        <v>74.849999999999994</v>
      </c>
      <c r="AE975">
        <v>457</v>
      </c>
      <c r="AF975">
        <v>482</v>
      </c>
      <c r="AG975" s="11">
        <f>Supply_Chain[[#This Row],[Total_Cost]]/Supply_Chain[[#This Row],[Stock_On_Hand]]</f>
        <v>0.30172059268218926</v>
      </c>
    </row>
    <row r="976" spans="1:33" x14ac:dyDescent="0.25">
      <c r="A976" t="s">
        <v>2682</v>
      </c>
      <c r="B976" t="s">
        <v>2683</v>
      </c>
      <c r="C976" s="1">
        <v>45110</v>
      </c>
      <c r="D976" s="1">
        <v>44753</v>
      </c>
      <c r="E976" t="s">
        <v>55</v>
      </c>
      <c r="F976" t="s">
        <v>64</v>
      </c>
      <c r="G976" t="s">
        <v>247</v>
      </c>
      <c r="H976" t="s">
        <v>116</v>
      </c>
      <c r="I976" s="3" t="s">
        <v>3500</v>
      </c>
      <c r="J976" s="3" t="s">
        <v>3518</v>
      </c>
      <c r="K976" s="3" t="s">
        <v>3521</v>
      </c>
      <c r="L976" s="3" t="s">
        <v>4288</v>
      </c>
      <c r="M976">
        <v>471.47</v>
      </c>
      <c r="N976">
        <v>86</v>
      </c>
      <c r="O976">
        <f>Supply_Chain[[#This Row],[Unit_Price]]*Supply_Chain[[#This Row],[Quantity]]</f>
        <v>40546.420000000006</v>
      </c>
      <c r="P976" t="s">
        <v>222</v>
      </c>
      <c r="Q976" t="s">
        <v>86</v>
      </c>
      <c r="R976" t="s">
        <v>476</v>
      </c>
      <c r="S976" t="s">
        <v>70</v>
      </c>
      <c r="T976" t="s">
        <v>100</v>
      </c>
      <c r="U976" t="s">
        <v>150</v>
      </c>
      <c r="V976">
        <v>320</v>
      </c>
      <c r="W976">
        <v>270</v>
      </c>
      <c r="X976">
        <v>6</v>
      </c>
      <c r="Y976">
        <v>673.62</v>
      </c>
      <c r="Z976">
        <v>14.76</v>
      </c>
      <c r="AA976" s="9">
        <v>688.38</v>
      </c>
      <c r="AB976" t="s">
        <v>52</v>
      </c>
      <c r="AC976">
        <v>0</v>
      </c>
      <c r="AD976">
        <v>91.75</v>
      </c>
      <c r="AE976">
        <v>387</v>
      </c>
      <c r="AF976">
        <v>340</v>
      </c>
      <c r="AG976" s="11">
        <f>Supply_Chain[[#This Row],[Total_Cost]]/Supply_Chain[[#This Row],[Stock_On_Hand]]</f>
        <v>2.1511874999999998</v>
      </c>
    </row>
    <row r="977" spans="1:33" x14ac:dyDescent="0.25">
      <c r="A977" t="s">
        <v>2684</v>
      </c>
      <c r="B977" t="s">
        <v>2685</v>
      </c>
      <c r="C977" s="1">
        <v>45244</v>
      </c>
      <c r="D977" s="1">
        <v>43981</v>
      </c>
      <c r="E977" t="s">
        <v>43</v>
      </c>
      <c r="F977" t="s">
        <v>75</v>
      </c>
      <c r="G977" t="s">
        <v>56</v>
      </c>
      <c r="H977" t="s">
        <v>33</v>
      </c>
      <c r="I977" s="3" t="s">
        <v>3501</v>
      </c>
      <c r="J977" s="3" t="s">
        <v>3518</v>
      </c>
      <c r="K977" s="3" t="s">
        <v>3521</v>
      </c>
      <c r="L977" s="3" t="s">
        <v>4289</v>
      </c>
      <c r="M977">
        <v>284.10000000000002</v>
      </c>
      <c r="N977">
        <v>24</v>
      </c>
      <c r="O977">
        <f>Supply_Chain[[#This Row],[Unit_Price]]*Supply_Chain[[#This Row],[Quantity]]</f>
        <v>6818.4000000000005</v>
      </c>
      <c r="P977" t="s">
        <v>276</v>
      </c>
      <c r="Q977" t="s">
        <v>35</v>
      </c>
      <c r="R977" t="s">
        <v>145</v>
      </c>
      <c r="S977" t="s">
        <v>119</v>
      </c>
      <c r="T977" t="s">
        <v>60</v>
      </c>
      <c r="U977" t="s">
        <v>177</v>
      </c>
      <c r="V977">
        <v>4478</v>
      </c>
      <c r="W977">
        <v>103</v>
      </c>
      <c r="X977">
        <v>20</v>
      </c>
      <c r="Y977">
        <v>1798.88</v>
      </c>
      <c r="Z977">
        <v>56.79</v>
      </c>
      <c r="AA977" s="9">
        <v>1855.67</v>
      </c>
      <c r="AB977" t="s">
        <v>52</v>
      </c>
      <c r="AC977">
        <v>0</v>
      </c>
      <c r="AD977">
        <v>73.41</v>
      </c>
      <c r="AE977">
        <v>421</v>
      </c>
      <c r="AF977">
        <v>386</v>
      </c>
      <c r="AG977" s="11">
        <f>Supply_Chain[[#This Row],[Total_Cost]]/Supply_Chain[[#This Row],[Stock_On_Hand]]</f>
        <v>0.41439705225547119</v>
      </c>
    </row>
    <row r="978" spans="1:33" x14ac:dyDescent="0.25">
      <c r="A978" t="s">
        <v>2686</v>
      </c>
      <c r="B978" t="s">
        <v>2687</v>
      </c>
      <c r="C978" s="1">
        <v>44091</v>
      </c>
      <c r="D978" s="1">
        <v>44347</v>
      </c>
      <c r="E978" t="s">
        <v>55</v>
      </c>
      <c r="F978" t="s">
        <v>115</v>
      </c>
      <c r="G978" t="s">
        <v>83</v>
      </c>
      <c r="H978" t="s">
        <v>166</v>
      </c>
      <c r="I978" s="3" t="s">
        <v>2974</v>
      </c>
      <c r="J978" s="3" t="s">
        <v>3519</v>
      </c>
      <c r="K978" s="3" t="s">
        <v>3530</v>
      </c>
      <c r="L978" s="3" t="s">
        <v>3772</v>
      </c>
      <c r="M978">
        <v>6.71</v>
      </c>
      <c r="N978">
        <v>97</v>
      </c>
      <c r="O978">
        <f>Supply_Chain[[#This Row],[Unit_Price]]*Supply_Chain[[#This Row],[Quantity]]</f>
        <v>650.87</v>
      </c>
      <c r="P978" t="s">
        <v>1879</v>
      </c>
      <c r="Q978" t="s">
        <v>48</v>
      </c>
      <c r="R978" t="s">
        <v>231</v>
      </c>
      <c r="S978" t="s">
        <v>70</v>
      </c>
      <c r="T978" t="s">
        <v>60</v>
      </c>
      <c r="U978" t="s">
        <v>378</v>
      </c>
      <c r="V978">
        <v>1903</v>
      </c>
      <c r="W978">
        <v>415</v>
      </c>
      <c r="X978">
        <v>15</v>
      </c>
      <c r="Y978">
        <v>350.1</v>
      </c>
      <c r="Z978">
        <v>53.31</v>
      </c>
      <c r="AA978" s="9">
        <v>403.41</v>
      </c>
      <c r="AB978" t="s">
        <v>52</v>
      </c>
      <c r="AC978">
        <v>0</v>
      </c>
      <c r="AD978">
        <v>83.77</v>
      </c>
      <c r="AE978">
        <v>223</v>
      </c>
      <c r="AF978">
        <v>182</v>
      </c>
      <c r="AG978" s="11">
        <f>Supply_Chain[[#This Row],[Total_Cost]]/Supply_Chain[[#This Row],[Stock_On_Hand]]</f>
        <v>0.21198633736205991</v>
      </c>
    </row>
    <row r="979" spans="1:33" x14ac:dyDescent="0.25">
      <c r="A979" t="s">
        <v>2688</v>
      </c>
      <c r="B979" t="s">
        <v>2689</v>
      </c>
      <c r="C979" s="1">
        <v>45470</v>
      </c>
      <c r="D979" s="1">
        <v>45209</v>
      </c>
      <c r="E979" t="s">
        <v>55</v>
      </c>
      <c r="F979" t="s">
        <v>75</v>
      </c>
      <c r="G979" t="s">
        <v>247</v>
      </c>
      <c r="H979" t="s">
        <v>166</v>
      </c>
      <c r="I979" s="3" t="s">
        <v>3149</v>
      </c>
      <c r="J979" s="3" t="s">
        <v>3519</v>
      </c>
      <c r="K979" s="3" t="s">
        <v>3530</v>
      </c>
      <c r="L979" s="3" t="s">
        <v>3943</v>
      </c>
      <c r="M979">
        <v>186.95</v>
      </c>
      <c r="N979">
        <v>70</v>
      </c>
      <c r="O979">
        <f>Supply_Chain[[#This Row],[Unit_Price]]*Supply_Chain[[#This Row],[Quantity]]</f>
        <v>13086.5</v>
      </c>
      <c r="P979" t="s">
        <v>2690</v>
      </c>
      <c r="Q979" t="s">
        <v>48</v>
      </c>
      <c r="R979" t="s">
        <v>301</v>
      </c>
      <c r="S979" t="s">
        <v>70</v>
      </c>
      <c r="T979" t="s">
        <v>79</v>
      </c>
      <c r="U979" t="s">
        <v>615</v>
      </c>
      <c r="V979">
        <v>3244</v>
      </c>
      <c r="W979">
        <v>308</v>
      </c>
      <c r="X979">
        <v>18</v>
      </c>
      <c r="Y979">
        <v>1536.57</v>
      </c>
      <c r="Z979">
        <v>369.75</v>
      </c>
      <c r="AA979" s="9">
        <v>1906.32</v>
      </c>
      <c r="AB979" t="s">
        <v>52</v>
      </c>
      <c r="AC979">
        <v>0</v>
      </c>
      <c r="AD979">
        <v>70.959999999999994</v>
      </c>
      <c r="AE979">
        <v>119</v>
      </c>
      <c r="AF979">
        <v>74</v>
      </c>
      <c r="AG979" s="11">
        <f>Supply_Chain[[#This Row],[Total_Cost]]/Supply_Chain[[#This Row],[Stock_On_Hand]]</f>
        <v>0.58764488286066585</v>
      </c>
    </row>
    <row r="980" spans="1:33" x14ac:dyDescent="0.25">
      <c r="A980" t="s">
        <v>2691</v>
      </c>
      <c r="B980" t="s">
        <v>2692</v>
      </c>
      <c r="C980" s="1">
        <v>45206</v>
      </c>
      <c r="D980" s="1">
        <v>44785</v>
      </c>
      <c r="E980" t="s">
        <v>43</v>
      </c>
      <c r="F980" t="s">
        <v>75</v>
      </c>
      <c r="G980" t="s">
        <v>247</v>
      </c>
      <c r="H980" t="s">
        <v>92</v>
      </c>
      <c r="I980" s="3" t="s">
        <v>3502</v>
      </c>
      <c r="J980" s="3" t="s">
        <v>84</v>
      </c>
      <c r="K980" s="3" t="s">
        <v>3529</v>
      </c>
      <c r="L980" s="3" t="s">
        <v>4290</v>
      </c>
      <c r="M980">
        <v>283.79000000000002</v>
      </c>
      <c r="N980">
        <v>26</v>
      </c>
      <c r="O980">
        <f>Supply_Chain[[#This Row],[Unit_Price]]*Supply_Chain[[#This Row],[Quantity]]</f>
        <v>7378.5400000000009</v>
      </c>
      <c r="P980" t="s">
        <v>2063</v>
      </c>
      <c r="Q980" t="s">
        <v>48</v>
      </c>
      <c r="R980" t="s">
        <v>145</v>
      </c>
      <c r="S980" t="s">
        <v>37</v>
      </c>
      <c r="T980" t="s">
        <v>79</v>
      </c>
      <c r="U980" t="s">
        <v>150</v>
      </c>
      <c r="V980">
        <v>38</v>
      </c>
      <c r="W980">
        <v>312</v>
      </c>
      <c r="X980">
        <v>16</v>
      </c>
      <c r="Y980">
        <v>691.22</v>
      </c>
      <c r="Z980">
        <v>126.48</v>
      </c>
      <c r="AA980" s="9">
        <v>817.7</v>
      </c>
      <c r="AB980" t="s">
        <v>52</v>
      </c>
      <c r="AC980">
        <v>0</v>
      </c>
      <c r="AD980">
        <v>92.3</v>
      </c>
      <c r="AE980">
        <v>278</v>
      </c>
      <c r="AF980">
        <v>313</v>
      </c>
      <c r="AG980" s="11">
        <f>Supply_Chain[[#This Row],[Total_Cost]]/Supply_Chain[[#This Row],[Stock_On_Hand]]</f>
        <v>21.518421052631581</v>
      </c>
    </row>
    <row r="981" spans="1:33" x14ac:dyDescent="0.25">
      <c r="A981" t="s">
        <v>2693</v>
      </c>
      <c r="B981" t="s">
        <v>2694</v>
      </c>
      <c r="C981" s="1">
        <v>43899</v>
      </c>
      <c r="D981" s="1">
        <v>45184</v>
      </c>
      <c r="E981" t="s">
        <v>55</v>
      </c>
      <c r="F981" t="s">
        <v>31</v>
      </c>
      <c r="G981" t="s">
        <v>45</v>
      </c>
      <c r="H981" t="s">
        <v>46</v>
      </c>
      <c r="I981" s="3" t="s">
        <v>3503</v>
      </c>
      <c r="J981" s="3" t="s">
        <v>84</v>
      </c>
      <c r="K981" s="3" t="s">
        <v>3534</v>
      </c>
      <c r="L981" s="3" t="s">
        <v>4291</v>
      </c>
      <c r="M981">
        <v>43.46</v>
      </c>
      <c r="N981">
        <v>34</v>
      </c>
      <c r="O981">
        <f>Supply_Chain[[#This Row],[Unit_Price]]*Supply_Chain[[#This Row],[Quantity]]</f>
        <v>1477.64</v>
      </c>
      <c r="P981" t="s">
        <v>2695</v>
      </c>
      <c r="Q981" t="s">
        <v>110</v>
      </c>
      <c r="R981" t="s">
        <v>59</v>
      </c>
      <c r="S981" t="s">
        <v>37</v>
      </c>
      <c r="T981" t="s">
        <v>60</v>
      </c>
      <c r="U981" t="s">
        <v>669</v>
      </c>
      <c r="V981">
        <v>2810</v>
      </c>
      <c r="W981">
        <v>129</v>
      </c>
      <c r="X981">
        <v>12</v>
      </c>
      <c r="Y981">
        <v>1123.33</v>
      </c>
      <c r="Z981">
        <v>466.03</v>
      </c>
      <c r="AA981" s="9">
        <v>1589.36</v>
      </c>
      <c r="AB981" t="s">
        <v>52</v>
      </c>
      <c r="AC981">
        <v>0</v>
      </c>
      <c r="AD981">
        <v>92.98</v>
      </c>
      <c r="AE981">
        <v>137</v>
      </c>
      <c r="AF981">
        <v>142</v>
      </c>
      <c r="AG981" s="11">
        <f>Supply_Chain[[#This Row],[Total_Cost]]/Supply_Chain[[#This Row],[Stock_On_Hand]]</f>
        <v>0.56560854092526691</v>
      </c>
    </row>
    <row r="982" spans="1:33" x14ac:dyDescent="0.25">
      <c r="A982" t="s">
        <v>2696</v>
      </c>
      <c r="B982" t="s">
        <v>2697</v>
      </c>
      <c r="C982" s="1">
        <v>44647</v>
      </c>
      <c r="D982" s="1">
        <v>43887</v>
      </c>
      <c r="E982" t="s">
        <v>55</v>
      </c>
      <c r="F982" t="s">
        <v>115</v>
      </c>
      <c r="G982" t="s">
        <v>76</v>
      </c>
      <c r="H982" t="s">
        <v>46</v>
      </c>
      <c r="I982" s="3" t="s">
        <v>3272</v>
      </c>
      <c r="J982" s="3" t="s">
        <v>3518</v>
      </c>
      <c r="K982" s="3" t="s">
        <v>3525</v>
      </c>
      <c r="L982" s="3" t="s">
        <v>4061</v>
      </c>
      <c r="M982">
        <v>460.2</v>
      </c>
      <c r="N982">
        <v>91</v>
      </c>
      <c r="O982">
        <f>Supply_Chain[[#This Row],[Unit_Price]]*Supply_Chain[[#This Row],[Quantity]]</f>
        <v>41878.199999999997</v>
      </c>
      <c r="P982" t="s">
        <v>797</v>
      </c>
      <c r="Q982" t="s">
        <v>35</v>
      </c>
      <c r="R982" t="s">
        <v>99</v>
      </c>
      <c r="S982" t="s">
        <v>50</v>
      </c>
      <c r="T982" t="s">
        <v>38</v>
      </c>
      <c r="U982" t="s">
        <v>257</v>
      </c>
      <c r="V982">
        <v>1698</v>
      </c>
      <c r="W982">
        <v>263</v>
      </c>
      <c r="X982">
        <v>18</v>
      </c>
      <c r="Y982">
        <v>974.3</v>
      </c>
      <c r="Z982">
        <v>264.85000000000002</v>
      </c>
      <c r="AA982" s="9">
        <v>1239.1500000000001</v>
      </c>
      <c r="AB982" t="s">
        <v>52</v>
      </c>
      <c r="AC982">
        <v>0</v>
      </c>
      <c r="AD982">
        <v>81.31</v>
      </c>
      <c r="AE982">
        <v>429</v>
      </c>
      <c r="AF982">
        <v>472</v>
      </c>
      <c r="AG982" s="11">
        <f>Supply_Chain[[#This Row],[Total_Cost]]/Supply_Chain[[#This Row],[Stock_On_Hand]]</f>
        <v>0.72977031802120151</v>
      </c>
    </row>
    <row r="983" spans="1:33" x14ac:dyDescent="0.25">
      <c r="A983" t="s">
        <v>2698</v>
      </c>
      <c r="B983" t="s">
        <v>2699</v>
      </c>
      <c r="C983" s="1">
        <v>44555</v>
      </c>
      <c r="D983" s="1">
        <v>45158</v>
      </c>
      <c r="E983" t="s">
        <v>55</v>
      </c>
      <c r="F983" t="s">
        <v>75</v>
      </c>
      <c r="G983" t="s">
        <v>45</v>
      </c>
      <c r="H983" t="s">
        <v>46</v>
      </c>
      <c r="I983" s="3" t="s">
        <v>3504</v>
      </c>
      <c r="J983" s="3" t="s">
        <v>3518</v>
      </c>
      <c r="K983" s="3" t="s">
        <v>3522</v>
      </c>
      <c r="L983" s="3" t="s">
        <v>4292</v>
      </c>
      <c r="M983">
        <v>462.28</v>
      </c>
      <c r="N983">
        <v>4</v>
      </c>
      <c r="O983">
        <f>Supply_Chain[[#This Row],[Unit_Price]]*Supply_Chain[[#This Row],[Quantity]]</f>
        <v>1849.12</v>
      </c>
      <c r="P983" t="s">
        <v>2039</v>
      </c>
      <c r="Q983" t="s">
        <v>110</v>
      </c>
      <c r="R983" t="s">
        <v>269</v>
      </c>
      <c r="S983" t="s">
        <v>37</v>
      </c>
      <c r="T983" t="s">
        <v>71</v>
      </c>
      <c r="U983" t="s">
        <v>155</v>
      </c>
      <c r="V983">
        <v>729</v>
      </c>
      <c r="W983">
        <v>428</v>
      </c>
      <c r="X983">
        <v>11</v>
      </c>
      <c r="Y983">
        <v>1965.03</v>
      </c>
      <c r="Z983">
        <v>45.74</v>
      </c>
      <c r="AA983" s="9">
        <v>2010.77</v>
      </c>
      <c r="AB983" t="s">
        <v>52</v>
      </c>
      <c r="AC983">
        <v>0</v>
      </c>
      <c r="AD983">
        <v>84.66</v>
      </c>
      <c r="AE983">
        <v>319</v>
      </c>
      <c r="AF983">
        <v>314</v>
      </c>
      <c r="AG983" s="11">
        <f>Supply_Chain[[#This Row],[Total_Cost]]/Supply_Chain[[#This Row],[Stock_On_Hand]]</f>
        <v>2.7582578875171468</v>
      </c>
    </row>
    <row r="984" spans="1:33" x14ac:dyDescent="0.25">
      <c r="A984" t="s">
        <v>2700</v>
      </c>
      <c r="B984" t="s">
        <v>2701</v>
      </c>
      <c r="C984" s="1">
        <v>45239</v>
      </c>
      <c r="D984" s="1">
        <v>44098</v>
      </c>
      <c r="E984" t="s">
        <v>30</v>
      </c>
      <c r="F984" t="s">
        <v>75</v>
      </c>
      <c r="G984" t="s">
        <v>32</v>
      </c>
      <c r="H984" t="s">
        <v>57</v>
      </c>
      <c r="I984" s="3" t="s">
        <v>3004</v>
      </c>
      <c r="J984" s="3" t="s">
        <v>3518</v>
      </c>
      <c r="K984" s="3" t="s">
        <v>3521</v>
      </c>
      <c r="L984" s="3" t="s">
        <v>3802</v>
      </c>
      <c r="M984">
        <v>491.16</v>
      </c>
      <c r="N984">
        <v>67</v>
      </c>
      <c r="O984">
        <f>Supply_Chain[[#This Row],[Unit_Price]]*Supply_Chain[[#This Row],[Quantity]]</f>
        <v>32907.72</v>
      </c>
      <c r="P984" t="s">
        <v>486</v>
      </c>
      <c r="Q984" t="s">
        <v>48</v>
      </c>
      <c r="R984" t="s">
        <v>154</v>
      </c>
      <c r="S984" t="s">
        <v>70</v>
      </c>
      <c r="T984" t="s">
        <v>38</v>
      </c>
      <c r="U984" t="s">
        <v>310</v>
      </c>
      <c r="V984">
        <v>1105</v>
      </c>
      <c r="W984">
        <v>106</v>
      </c>
      <c r="X984">
        <v>4</v>
      </c>
      <c r="Y984">
        <v>903.24</v>
      </c>
      <c r="Z984">
        <v>412.66</v>
      </c>
      <c r="AA984" s="9">
        <v>1315.9</v>
      </c>
      <c r="AB984" t="s">
        <v>52</v>
      </c>
      <c r="AC984">
        <v>0</v>
      </c>
      <c r="AD984">
        <v>85.12</v>
      </c>
      <c r="AE984">
        <v>96</v>
      </c>
      <c r="AF984">
        <v>141</v>
      </c>
      <c r="AG984" s="11">
        <f>Supply_Chain[[#This Row],[Total_Cost]]/Supply_Chain[[#This Row],[Stock_On_Hand]]</f>
        <v>1.1908597285067875</v>
      </c>
    </row>
    <row r="985" spans="1:33" x14ac:dyDescent="0.25">
      <c r="A985" t="s">
        <v>2702</v>
      </c>
      <c r="B985" t="s">
        <v>2703</v>
      </c>
      <c r="C985" s="1">
        <v>45254</v>
      </c>
      <c r="D985" s="1">
        <v>45027</v>
      </c>
      <c r="E985" t="s">
        <v>55</v>
      </c>
      <c r="F985" t="s">
        <v>31</v>
      </c>
      <c r="G985" t="s">
        <v>45</v>
      </c>
      <c r="H985" t="s">
        <v>166</v>
      </c>
      <c r="I985" s="3" t="s">
        <v>3505</v>
      </c>
      <c r="J985" s="3" t="s">
        <v>3519</v>
      </c>
      <c r="K985" s="3" t="s">
        <v>3528</v>
      </c>
      <c r="L985" s="3" t="s">
        <v>4293</v>
      </c>
      <c r="M985">
        <v>319.63</v>
      </c>
      <c r="N985">
        <v>13</v>
      </c>
      <c r="O985">
        <f>Supply_Chain[[#This Row],[Unit_Price]]*Supply_Chain[[#This Row],[Quantity]]</f>
        <v>4155.1899999999996</v>
      </c>
      <c r="P985" t="s">
        <v>2704</v>
      </c>
      <c r="Q985" t="s">
        <v>48</v>
      </c>
      <c r="R985" t="s">
        <v>301</v>
      </c>
      <c r="S985" t="s">
        <v>50</v>
      </c>
      <c r="T985" t="s">
        <v>60</v>
      </c>
      <c r="U985" t="s">
        <v>112</v>
      </c>
      <c r="V985">
        <v>4994</v>
      </c>
      <c r="W985">
        <v>128</v>
      </c>
      <c r="X985">
        <v>13</v>
      </c>
      <c r="Y985">
        <v>289.17</v>
      </c>
      <c r="Z985">
        <v>276.14</v>
      </c>
      <c r="AA985" s="9">
        <v>565.30999999999995</v>
      </c>
      <c r="AB985" t="s">
        <v>52</v>
      </c>
      <c r="AC985">
        <v>0</v>
      </c>
      <c r="AD985">
        <v>92.89</v>
      </c>
      <c r="AE985">
        <v>168</v>
      </c>
      <c r="AF985">
        <v>126</v>
      </c>
      <c r="AG985" s="11">
        <f>Supply_Chain[[#This Row],[Total_Cost]]/Supply_Chain[[#This Row],[Stock_On_Hand]]</f>
        <v>0.11319783740488586</v>
      </c>
    </row>
    <row r="986" spans="1:33" x14ac:dyDescent="0.25">
      <c r="A986" t="s">
        <v>2705</v>
      </c>
      <c r="B986" t="s">
        <v>2706</v>
      </c>
      <c r="C986" s="1">
        <v>44394</v>
      </c>
      <c r="D986" s="1">
        <v>45641</v>
      </c>
      <c r="E986" t="s">
        <v>55</v>
      </c>
      <c r="F986" t="s">
        <v>75</v>
      </c>
      <c r="G986" t="s">
        <v>32</v>
      </c>
      <c r="H986" t="s">
        <v>66</v>
      </c>
      <c r="I986" s="3" t="s">
        <v>3506</v>
      </c>
      <c r="J986" s="3" t="s">
        <v>3519</v>
      </c>
      <c r="K986" s="3" t="s">
        <v>3528</v>
      </c>
      <c r="L986" s="3" t="s">
        <v>4294</v>
      </c>
      <c r="M986">
        <v>427.29</v>
      </c>
      <c r="N986">
        <v>2</v>
      </c>
      <c r="O986">
        <f>Supply_Chain[[#This Row],[Unit_Price]]*Supply_Chain[[#This Row],[Quantity]]</f>
        <v>854.58</v>
      </c>
      <c r="P986" t="s">
        <v>2506</v>
      </c>
      <c r="Q986" t="s">
        <v>86</v>
      </c>
      <c r="R986" t="s">
        <v>94</v>
      </c>
      <c r="S986" t="s">
        <v>37</v>
      </c>
      <c r="T986" t="s">
        <v>71</v>
      </c>
      <c r="U986" t="s">
        <v>611</v>
      </c>
      <c r="V986">
        <v>2470</v>
      </c>
      <c r="W986">
        <v>345</v>
      </c>
      <c r="X986">
        <v>1</v>
      </c>
      <c r="Y986">
        <v>794.16</v>
      </c>
      <c r="Z986">
        <v>320.08999999999997</v>
      </c>
      <c r="AA986" s="9">
        <v>1114.25</v>
      </c>
      <c r="AB986" t="s">
        <v>52</v>
      </c>
      <c r="AC986">
        <v>0</v>
      </c>
      <c r="AD986">
        <v>72.27</v>
      </c>
      <c r="AE986">
        <v>275</v>
      </c>
      <c r="AF986">
        <v>317</v>
      </c>
      <c r="AG986" s="11">
        <f>Supply_Chain[[#This Row],[Total_Cost]]/Supply_Chain[[#This Row],[Stock_On_Hand]]</f>
        <v>0.45111336032388666</v>
      </c>
    </row>
    <row r="987" spans="1:33" x14ac:dyDescent="0.25">
      <c r="A987" t="s">
        <v>2707</v>
      </c>
      <c r="B987" t="s">
        <v>2708</v>
      </c>
      <c r="C987" s="1">
        <v>45620</v>
      </c>
      <c r="D987" s="1">
        <v>44170</v>
      </c>
      <c r="E987" t="s">
        <v>55</v>
      </c>
      <c r="F987" t="s">
        <v>115</v>
      </c>
      <c r="G987" t="s">
        <v>65</v>
      </c>
      <c r="H987" t="s">
        <v>92</v>
      </c>
      <c r="I987" s="3" t="s">
        <v>3507</v>
      </c>
      <c r="J987" s="3" t="s">
        <v>84</v>
      </c>
      <c r="K987" s="3" t="s">
        <v>3534</v>
      </c>
      <c r="L987" s="3" t="s">
        <v>4295</v>
      </c>
      <c r="M987">
        <v>52.18</v>
      </c>
      <c r="N987">
        <v>54</v>
      </c>
      <c r="O987">
        <f>Supply_Chain[[#This Row],[Unit_Price]]*Supply_Chain[[#This Row],[Quantity]]</f>
        <v>2817.72</v>
      </c>
      <c r="P987" t="s">
        <v>2088</v>
      </c>
      <c r="Q987" t="s">
        <v>68</v>
      </c>
      <c r="R987" t="s">
        <v>111</v>
      </c>
      <c r="S987" t="s">
        <v>50</v>
      </c>
      <c r="T987" t="s">
        <v>60</v>
      </c>
      <c r="U987" t="s">
        <v>436</v>
      </c>
      <c r="V987">
        <v>3674</v>
      </c>
      <c r="W987">
        <v>299</v>
      </c>
      <c r="X987">
        <v>22</v>
      </c>
      <c r="Y987">
        <v>912.5</v>
      </c>
      <c r="Z987">
        <v>428.29</v>
      </c>
      <c r="AA987" s="9">
        <v>1340.79</v>
      </c>
      <c r="AB987" t="s">
        <v>52</v>
      </c>
      <c r="AC987">
        <v>0</v>
      </c>
      <c r="AD987">
        <v>84.55</v>
      </c>
      <c r="AE987">
        <v>218</v>
      </c>
      <c r="AF987">
        <v>249</v>
      </c>
      <c r="AG987" s="11">
        <f>Supply_Chain[[#This Row],[Total_Cost]]/Supply_Chain[[#This Row],[Stock_On_Hand]]</f>
        <v>0.36494011976047902</v>
      </c>
    </row>
    <row r="988" spans="1:33" x14ac:dyDescent="0.25">
      <c r="A988" t="s">
        <v>2709</v>
      </c>
      <c r="B988" t="s">
        <v>2710</v>
      </c>
      <c r="C988" s="1">
        <v>45202</v>
      </c>
      <c r="D988" s="1">
        <v>43997</v>
      </c>
      <c r="E988" t="s">
        <v>55</v>
      </c>
      <c r="F988" t="s">
        <v>75</v>
      </c>
      <c r="G988" t="s">
        <v>45</v>
      </c>
      <c r="H988" t="s">
        <v>33</v>
      </c>
      <c r="I988" s="3" t="s">
        <v>2996</v>
      </c>
      <c r="J988" s="3" t="s">
        <v>3518</v>
      </c>
      <c r="K988" s="3" t="s">
        <v>3522</v>
      </c>
      <c r="L988" s="3" t="s">
        <v>3794</v>
      </c>
      <c r="M988">
        <v>12.89</v>
      </c>
      <c r="N988">
        <v>8</v>
      </c>
      <c r="O988">
        <f>Supply_Chain[[#This Row],[Unit_Price]]*Supply_Chain[[#This Row],[Quantity]]</f>
        <v>103.12</v>
      </c>
      <c r="P988" t="s">
        <v>1059</v>
      </c>
      <c r="Q988" t="s">
        <v>86</v>
      </c>
      <c r="R988" t="s">
        <v>269</v>
      </c>
      <c r="S988" t="s">
        <v>50</v>
      </c>
      <c r="T988" t="s">
        <v>79</v>
      </c>
      <c r="U988" t="s">
        <v>545</v>
      </c>
      <c r="V988">
        <v>4420</v>
      </c>
      <c r="W988">
        <v>337</v>
      </c>
      <c r="X988">
        <v>7</v>
      </c>
      <c r="Y988">
        <v>1442.34</v>
      </c>
      <c r="Z988">
        <v>68.849999999999994</v>
      </c>
      <c r="AA988" s="9">
        <v>1511.19</v>
      </c>
      <c r="AB988" t="s">
        <v>40</v>
      </c>
      <c r="AC988">
        <v>9</v>
      </c>
      <c r="AD988">
        <v>78.930000000000007</v>
      </c>
      <c r="AE988">
        <v>487</v>
      </c>
      <c r="AF988">
        <v>495</v>
      </c>
      <c r="AG988" s="11">
        <f>Supply_Chain[[#This Row],[Total_Cost]]/Supply_Chain[[#This Row],[Stock_On_Hand]]</f>
        <v>0.34189819004524891</v>
      </c>
    </row>
    <row r="989" spans="1:33" x14ac:dyDescent="0.25">
      <c r="A989" t="s">
        <v>2711</v>
      </c>
      <c r="B989" t="s">
        <v>2712</v>
      </c>
      <c r="C989" s="1">
        <v>44142</v>
      </c>
      <c r="D989" s="1">
        <v>45256</v>
      </c>
      <c r="E989" t="s">
        <v>55</v>
      </c>
      <c r="F989" t="s">
        <v>75</v>
      </c>
      <c r="G989" t="s">
        <v>76</v>
      </c>
      <c r="H989" t="s">
        <v>116</v>
      </c>
      <c r="I989" s="3" t="s">
        <v>3508</v>
      </c>
      <c r="J989" s="3" t="s">
        <v>3518</v>
      </c>
      <c r="K989" s="3" t="s">
        <v>3532</v>
      </c>
      <c r="L989" s="3" t="s">
        <v>4296</v>
      </c>
      <c r="M989">
        <v>267.32</v>
      </c>
      <c r="N989">
        <v>13</v>
      </c>
      <c r="O989">
        <f>Supply_Chain[[#This Row],[Unit_Price]]*Supply_Chain[[#This Row],[Quantity]]</f>
        <v>3475.16</v>
      </c>
      <c r="P989" t="s">
        <v>403</v>
      </c>
      <c r="Q989" t="s">
        <v>68</v>
      </c>
      <c r="R989" t="s">
        <v>111</v>
      </c>
      <c r="S989" t="s">
        <v>119</v>
      </c>
      <c r="T989" t="s">
        <v>100</v>
      </c>
      <c r="U989" t="s">
        <v>429</v>
      </c>
      <c r="V989">
        <v>2993</v>
      </c>
      <c r="W989">
        <v>314</v>
      </c>
      <c r="X989">
        <v>1</v>
      </c>
      <c r="Y989">
        <v>471.39</v>
      </c>
      <c r="Z989">
        <v>225.36</v>
      </c>
      <c r="AA989" s="9">
        <v>696.75</v>
      </c>
      <c r="AB989" t="s">
        <v>52</v>
      </c>
      <c r="AC989">
        <v>0</v>
      </c>
      <c r="AD989">
        <v>90.79</v>
      </c>
      <c r="AE989">
        <v>422</v>
      </c>
      <c r="AF989">
        <v>403</v>
      </c>
      <c r="AG989" s="11">
        <f>Supply_Chain[[#This Row],[Total_Cost]]/Supply_Chain[[#This Row],[Stock_On_Hand]]</f>
        <v>0.23279318409622451</v>
      </c>
    </row>
    <row r="990" spans="1:33" x14ac:dyDescent="0.25">
      <c r="A990" t="s">
        <v>2713</v>
      </c>
      <c r="B990" t="s">
        <v>2714</v>
      </c>
      <c r="C990" s="1">
        <v>45025</v>
      </c>
      <c r="D990" s="1">
        <v>44032</v>
      </c>
      <c r="E990" t="s">
        <v>55</v>
      </c>
      <c r="F990" t="s">
        <v>75</v>
      </c>
      <c r="G990" t="s">
        <v>45</v>
      </c>
      <c r="H990" t="s">
        <v>66</v>
      </c>
      <c r="I990" s="3" t="s">
        <v>3509</v>
      </c>
      <c r="J990" s="3" t="s">
        <v>3518</v>
      </c>
      <c r="K990" s="3" t="s">
        <v>3521</v>
      </c>
      <c r="L990" s="3" t="s">
        <v>4297</v>
      </c>
      <c r="M990">
        <v>484.11</v>
      </c>
      <c r="N990">
        <v>70</v>
      </c>
      <c r="O990">
        <f>Supply_Chain[[#This Row],[Unit_Price]]*Supply_Chain[[#This Row],[Quantity]]</f>
        <v>33887.700000000004</v>
      </c>
      <c r="P990" t="s">
        <v>606</v>
      </c>
      <c r="Q990" t="s">
        <v>110</v>
      </c>
      <c r="R990" t="s">
        <v>135</v>
      </c>
      <c r="S990" t="s">
        <v>70</v>
      </c>
      <c r="T990" t="s">
        <v>60</v>
      </c>
      <c r="U990" t="s">
        <v>191</v>
      </c>
      <c r="V990">
        <v>3675</v>
      </c>
      <c r="W990">
        <v>157</v>
      </c>
      <c r="X990">
        <v>5</v>
      </c>
      <c r="Y990">
        <v>1939.97</v>
      </c>
      <c r="Z990">
        <v>325.76</v>
      </c>
      <c r="AA990" s="9">
        <v>2265.73</v>
      </c>
      <c r="AB990" t="s">
        <v>52</v>
      </c>
      <c r="AC990">
        <v>0</v>
      </c>
      <c r="AD990">
        <v>81.680000000000007</v>
      </c>
      <c r="AE990">
        <v>275</v>
      </c>
      <c r="AF990">
        <v>293</v>
      </c>
      <c r="AG990" s="11">
        <f>Supply_Chain[[#This Row],[Total_Cost]]/Supply_Chain[[#This Row],[Stock_On_Hand]]</f>
        <v>0.61652517006802721</v>
      </c>
    </row>
    <row r="991" spans="1:33" x14ac:dyDescent="0.25">
      <c r="A991" t="s">
        <v>2715</v>
      </c>
      <c r="B991" t="s">
        <v>2716</v>
      </c>
      <c r="C991" s="1">
        <v>44163</v>
      </c>
      <c r="D991" s="1">
        <v>45189</v>
      </c>
      <c r="E991" t="s">
        <v>43</v>
      </c>
      <c r="F991" t="s">
        <v>115</v>
      </c>
      <c r="G991" t="s">
        <v>247</v>
      </c>
      <c r="H991" t="s">
        <v>92</v>
      </c>
      <c r="I991" s="3" t="s">
        <v>3510</v>
      </c>
      <c r="J991" s="3" t="s">
        <v>3518</v>
      </c>
      <c r="K991" s="3" t="s">
        <v>3521</v>
      </c>
      <c r="L991" s="3" t="s">
        <v>4298</v>
      </c>
      <c r="M991">
        <v>112.98</v>
      </c>
      <c r="N991">
        <v>40</v>
      </c>
      <c r="O991">
        <f>Supply_Chain[[#This Row],[Unit_Price]]*Supply_Chain[[#This Row],[Quantity]]</f>
        <v>4519.2</v>
      </c>
      <c r="P991" t="s">
        <v>2080</v>
      </c>
      <c r="Q991" t="s">
        <v>68</v>
      </c>
      <c r="R991" t="s">
        <v>195</v>
      </c>
      <c r="S991" t="s">
        <v>119</v>
      </c>
      <c r="T991" t="s">
        <v>38</v>
      </c>
      <c r="U991" t="s">
        <v>191</v>
      </c>
      <c r="V991">
        <v>2510</v>
      </c>
      <c r="W991">
        <v>230</v>
      </c>
      <c r="X991">
        <v>26</v>
      </c>
      <c r="Y991">
        <v>1159.1300000000001</v>
      </c>
      <c r="Z991">
        <v>424.29</v>
      </c>
      <c r="AA991" s="9">
        <v>1583.42</v>
      </c>
      <c r="AB991" t="s">
        <v>52</v>
      </c>
      <c r="AC991">
        <v>0</v>
      </c>
      <c r="AD991">
        <v>87.78</v>
      </c>
      <c r="AE991">
        <v>142</v>
      </c>
      <c r="AF991">
        <v>154</v>
      </c>
      <c r="AG991" s="11">
        <f>Supply_Chain[[#This Row],[Total_Cost]]/Supply_Chain[[#This Row],[Stock_On_Hand]]</f>
        <v>0.63084462151394427</v>
      </c>
    </row>
    <row r="992" spans="1:33" x14ac:dyDescent="0.25">
      <c r="A992" t="s">
        <v>2717</v>
      </c>
      <c r="B992" t="s">
        <v>2718</v>
      </c>
      <c r="C992" s="1">
        <v>44011</v>
      </c>
      <c r="D992" s="1">
        <v>45286</v>
      </c>
      <c r="E992" t="s">
        <v>55</v>
      </c>
      <c r="F992" t="s">
        <v>31</v>
      </c>
      <c r="G992" t="s">
        <v>56</v>
      </c>
      <c r="H992" t="s">
        <v>33</v>
      </c>
      <c r="I992" s="3" t="s">
        <v>3511</v>
      </c>
      <c r="J992" s="3" t="s">
        <v>3518</v>
      </c>
      <c r="K992" s="3" t="s">
        <v>3522</v>
      </c>
      <c r="L992" s="3" t="s">
        <v>4299</v>
      </c>
      <c r="M992">
        <v>99.07</v>
      </c>
      <c r="N992">
        <v>46</v>
      </c>
      <c r="O992">
        <f>Supply_Chain[[#This Row],[Unit_Price]]*Supply_Chain[[#This Row],[Quantity]]</f>
        <v>4557.2199999999993</v>
      </c>
      <c r="P992" t="s">
        <v>2719</v>
      </c>
      <c r="Q992" t="s">
        <v>68</v>
      </c>
      <c r="R992" t="s">
        <v>135</v>
      </c>
      <c r="S992" t="s">
        <v>37</v>
      </c>
      <c r="T992" t="s">
        <v>71</v>
      </c>
      <c r="U992" t="s">
        <v>227</v>
      </c>
      <c r="V992">
        <v>652</v>
      </c>
      <c r="W992">
        <v>444</v>
      </c>
      <c r="X992">
        <v>9</v>
      </c>
      <c r="Y992">
        <v>1166.02</v>
      </c>
      <c r="Z992">
        <v>277.63</v>
      </c>
      <c r="AA992" s="9">
        <v>1443.65</v>
      </c>
      <c r="AB992" t="s">
        <v>52</v>
      </c>
      <c r="AC992">
        <v>0</v>
      </c>
      <c r="AD992">
        <v>79.72</v>
      </c>
      <c r="AE992">
        <v>55</v>
      </c>
      <c r="AF992">
        <v>31</v>
      </c>
      <c r="AG992" s="11">
        <f>Supply_Chain[[#This Row],[Total_Cost]]/Supply_Chain[[#This Row],[Stock_On_Hand]]</f>
        <v>2.2141871165644171</v>
      </c>
    </row>
    <row r="993" spans="1:33" x14ac:dyDescent="0.25">
      <c r="A993" t="s">
        <v>2720</v>
      </c>
      <c r="B993" t="s">
        <v>2721</v>
      </c>
      <c r="C993" s="1">
        <v>45423</v>
      </c>
      <c r="D993" s="1">
        <v>45178</v>
      </c>
      <c r="E993" t="s">
        <v>30</v>
      </c>
      <c r="F993" t="s">
        <v>115</v>
      </c>
      <c r="G993" t="s">
        <v>56</v>
      </c>
      <c r="H993" t="s">
        <v>66</v>
      </c>
      <c r="I993" s="3" t="s">
        <v>3314</v>
      </c>
      <c r="J993" s="3" t="s">
        <v>3518</v>
      </c>
      <c r="K993" s="3" t="s">
        <v>3524</v>
      </c>
      <c r="L993" s="3" t="s">
        <v>4102</v>
      </c>
      <c r="M993">
        <v>406.56</v>
      </c>
      <c r="N993">
        <v>13</v>
      </c>
      <c r="O993">
        <f>Supply_Chain[[#This Row],[Unit_Price]]*Supply_Chain[[#This Row],[Quantity]]</f>
        <v>5285.28</v>
      </c>
      <c r="P993" t="s">
        <v>2056</v>
      </c>
      <c r="Q993" t="s">
        <v>86</v>
      </c>
      <c r="R993" t="s">
        <v>105</v>
      </c>
      <c r="S993" t="s">
        <v>70</v>
      </c>
      <c r="T993" t="s">
        <v>60</v>
      </c>
      <c r="U993" t="s">
        <v>545</v>
      </c>
      <c r="V993">
        <v>1227</v>
      </c>
      <c r="W993">
        <v>295</v>
      </c>
      <c r="X993">
        <v>22</v>
      </c>
      <c r="Y993">
        <v>839.71</v>
      </c>
      <c r="Z993">
        <v>217.04</v>
      </c>
      <c r="AA993" s="9">
        <v>1056.75</v>
      </c>
      <c r="AB993" t="s">
        <v>52</v>
      </c>
      <c r="AC993">
        <v>0</v>
      </c>
      <c r="AD993">
        <v>90.04</v>
      </c>
      <c r="AE993">
        <v>224</v>
      </c>
      <c r="AF993">
        <v>230</v>
      </c>
      <c r="AG993" s="11">
        <f>Supply_Chain[[#This Row],[Total_Cost]]/Supply_Chain[[#This Row],[Stock_On_Hand]]</f>
        <v>0.86124694376528121</v>
      </c>
    </row>
    <row r="994" spans="1:33" x14ac:dyDescent="0.25">
      <c r="A994" t="s">
        <v>2722</v>
      </c>
      <c r="B994" t="s">
        <v>2723</v>
      </c>
      <c r="C994" s="1">
        <v>44763</v>
      </c>
      <c r="D994" s="1">
        <v>45606</v>
      </c>
      <c r="E994" t="s">
        <v>55</v>
      </c>
      <c r="F994" t="s">
        <v>75</v>
      </c>
      <c r="G994" t="s">
        <v>91</v>
      </c>
      <c r="H994" t="s">
        <v>92</v>
      </c>
      <c r="I994" s="3" t="s">
        <v>3512</v>
      </c>
      <c r="J994" s="3" t="s">
        <v>3519</v>
      </c>
      <c r="K994" s="3" t="s">
        <v>3530</v>
      </c>
      <c r="L994" s="3" t="s">
        <v>4300</v>
      </c>
      <c r="M994">
        <v>310.92</v>
      </c>
      <c r="N994">
        <v>63</v>
      </c>
      <c r="O994">
        <f>Supply_Chain[[#This Row],[Unit_Price]]*Supply_Chain[[#This Row],[Quantity]]</f>
        <v>19587.960000000003</v>
      </c>
      <c r="P994" t="s">
        <v>2039</v>
      </c>
      <c r="Q994" t="s">
        <v>110</v>
      </c>
      <c r="R994" t="s">
        <v>377</v>
      </c>
      <c r="S994" t="s">
        <v>50</v>
      </c>
      <c r="T994" t="s">
        <v>60</v>
      </c>
      <c r="U994" t="s">
        <v>72</v>
      </c>
      <c r="V994">
        <v>530</v>
      </c>
      <c r="W994">
        <v>170</v>
      </c>
      <c r="X994">
        <v>26</v>
      </c>
      <c r="Y994">
        <v>78.260000000000005</v>
      </c>
      <c r="Z994">
        <v>281.64</v>
      </c>
      <c r="AA994" s="9">
        <v>359.9</v>
      </c>
      <c r="AB994" t="s">
        <v>52</v>
      </c>
      <c r="AC994">
        <v>0</v>
      </c>
      <c r="AD994">
        <v>87.02</v>
      </c>
      <c r="AE994">
        <v>110</v>
      </c>
      <c r="AF994">
        <v>108</v>
      </c>
      <c r="AG994" s="11">
        <f>Supply_Chain[[#This Row],[Total_Cost]]/Supply_Chain[[#This Row],[Stock_On_Hand]]</f>
        <v>0.6790566037735849</v>
      </c>
    </row>
    <row r="995" spans="1:33" x14ac:dyDescent="0.25">
      <c r="A995" t="s">
        <v>2724</v>
      </c>
      <c r="B995" t="s">
        <v>2059</v>
      </c>
      <c r="C995" s="1">
        <v>44897</v>
      </c>
      <c r="D995" s="1">
        <v>45388</v>
      </c>
      <c r="E995" t="s">
        <v>55</v>
      </c>
      <c r="F995" t="s">
        <v>75</v>
      </c>
      <c r="G995" t="s">
        <v>91</v>
      </c>
      <c r="H995" t="s">
        <v>128</v>
      </c>
      <c r="I995" s="3" t="s">
        <v>3513</v>
      </c>
      <c r="J995" s="3" t="s">
        <v>3518</v>
      </c>
      <c r="K995" s="3" t="s">
        <v>3525</v>
      </c>
      <c r="L995" s="3" t="s">
        <v>4301</v>
      </c>
      <c r="M995">
        <v>387.21</v>
      </c>
      <c r="N995">
        <v>5</v>
      </c>
      <c r="O995">
        <f>Supply_Chain[[#This Row],[Unit_Price]]*Supply_Chain[[#This Row],[Quantity]]</f>
        <v>1936.05</v>
      </c>
      <c r="P995" t="s">
        <v>1148</v>
      </c>
      <c r="Q995" t="s">
        <v>68</v>
      </c>
      <c r="R995" t="s">
        <v>327</v>
      </c>
      <c r="S995" t="s">
        <v>50</v>
      </c>
      <c r="T995" t="s">
        <v>71</v>
      </c>
      <c r="U995" t="s">
        <v>146</v>
      </c>
      <c r="V995">
        <v>2536</v>
      </c>
      <c r="W995">
        <v>343</v>
      </c>
      <c r="X995">
        <v>27</v>
      </c>
      <c r="Y995">
        <v>158.55000000000001</v>
      </c>
      <c r="Z995">
        <v>237.69</v>
      </c>
      <c r="AA995" s="9">
        <v>396.24</v>
      </c>
      <c r="AB995" t="s">
        <v>52</v>
      </c>
      <c r="AC995">
        <v>0</v>
      </c>
      <c r="AD995">
        <v>94.98</v>
      </c>
      <c r="AE995">
        <v>406</v>
      </c>
      <c r="AF995">
        <v>369</v>
      </c>
      <c r="AG995" s="11">
        <f>Supply_Chain[[#This Row],[Total_Cost]]/Supply_Chain[[#This Row],[Stock_On_Hand]]</f>
        <v>0.15624605678233439</v>
      </c>
    </row>
    <row r="996" spans="1:33" x14ac:dyDescent="0.25">
      <c r="A996" t="s">
        <v>2725</v>
      </c>
      <c r="B996" t="s">
        <v>658</v>
      </c>
      <c r="C996" s="1">
        <v>44148</v>
      </c>
      <c r="D996" s="1">
        <v>45652</v>
      </c>
      <c r="E996" t="s">
        <v>30</v>
      </c>
      <c r="F996" t="s">
        <v>75</v>
      </c>
      <c r="G996" t="s">
        <v>56</v>
      </c>
      <c r="H996" t="s">
        <v>128</v>
      </c>
      <c r="I996" s="3" t="s">
        <v>3514</v>
      </c>
      <c r="J996" s="3" t="s">
        <v>3518</v>
      </c>
      <c r="K996" s="3" t="s">
        <v>3522</v>
      </c>
      <c r="L996" s="3" t="s">
        <v>4302</v>
      </c>
      <c r="M996">
        <v>358.21</v>
      </c>
      <c r="N996">
        <v>13</v>
      </c>
      <c r="O996">
        <f>Supply_Chain[[#This Row],[Unit_Price]]*Supply_Chain[[#This Row],[Quantity]]</f>
        <v>4656.7299999999996</v>
      </c>
      <c r="P996" t="s">
        <v>2171</v>
      </c>
      <c r="Q996" t="s">
        <v>68</v>
      </c>
      <c r="R996" t="s">
        <v>419</v>
      </c>
      <c r="S996" t="s">
        <v>119</v>
      </c>
      <c r="T996" t="s">
        <v>71</v>
      </c>
      <c r="U996" t="s">
        <v>168</v>
      </c>
      <c r="V996">
        <v>2889</v>
      </c>
      <c r="W996">
        <v>55</v>
      </c>
      <c r="X996">
        <v>2</v>
      </c>
      <c r="Y996">
        <v>259.3</v>
      </c>
      <c r="Z996">
        <v>48.31</v>
      </c>
      <c r="AA996" s="9">
        <v>307.61</v>
      </c>
      <c r="AB996" t="s">
        <v>52</v>
      </c>
      <c r="AC996">
        <v>0</v>
      </c>
      <c r="AD996">
        <v>78.52</v>
      </c>
      <c r="AE996">
        <v>183</v>
      </c>
      <c r="AF996">
        <v>173</v>
      </c>
      <c r="AG996" s="11">
        <f>Supply_Chain[[#This Row],[Total_Cost]]/Supply_Chain[[#This Row],[Stock_On_Hand]]</f>
        <v>0.10647628937348563</v>
      </c>
    </row>
    <row r="997" spans="1:33" x14ac:dyDescent="0.25">
      <c r="A997" t="s">
        <v>2726</v>
      </c>
      <c r="B997" t="s">
        <v>2727</v>
      </c>
      <c r="C997" s="1">
        <v>45053</v>
      </c>
      <c r="D997" s="1">
        <v>45540</v>
      </c>
      <c r="E997" t="s">
        <v>55</v>
      </c>
      <c r="F997" t="s">
        <v>115</v>
      </c>
      <c r="G997" t="s">
        <v>32</v>
      </c>
      <c r="H997" t="s">
        <v>33</v>
      </c>
      <c r="I997" s="3" t="s">
        <v>3515</v>
      </c>
      <c r="J997" s="3" t="s">
        <v>3518</v>
      </c>
      <c r="K997" s="3" t="s">
        <v>3522</v>
      </c>
      <c r="L997" s="3" t="s">
        <v>4303</v>
      </c>
      <c r="M997">
        <v>276.98</v>
      </c>
      <c r="N997">
        <v>29</v>
      </c>
      <c r="O997">
        <f>Supply_Chain[[#This Row],[Unit_Price]]*Supply_Chain[[#This Row],[Quantity]]</f>
        <v>8032.42</v>
      </c>
      <c r="P997" t="s">
        <v>918</v>
      </c>
      <c r="Q997" t="s">
        <v>48</v>
      </c>
      <c r="R997" t="s">
        <v>195</v>
      </c>
      <c r="S997" t="s">
        <v>119</v>
      </c>
      <c r="T997" t="s">
        <v>79</v>
      </c>
      <c r="U997" t="s">
        <v>809</v>
      </c>
      <c r="V997">
        <v>1776</v>
      </c>
      <c r="W997">
        <v>169</v>
      </c>
      <c r="X997">
        <v>28</v>
      </c>
      <c r="Y997">
        <v>1419.96</v>
      </c>
      <c r="Z997">
        <v>158.05000000000001</v>
      </c>
      <c r="AA997" s="9">
        <v>1578.01</v>
      </c>
      <c r="AB997" t="s">
        <v>52</v>
      </c>
      <c r="AC997">
        <v>0</v>
      </c>
      <c r="AD997">
        <v>97.52</v>
      </c>
      <c r="AE997">
        <v>437</v>
      </c>
      <c r="AF997">
        <v>387</v>
      </c>
      <c r="AG997" s="11">
        <f>Supply_Chain[[#This Row],[Total_Cost]]/Supply_Chain[[#This Row],[Stock_On_Hand]]</f>
        <v>0.88851914414414412</v>
      </c>
    </row>
    <row r="998" spans="1:33" x14ac:dyDescent="0.25">
      <c r="A998" t="s">
        <v>2728</v>
      </c>
      <c r="B998" t="s">
        <v>2729</v>
      </c>
      <c r="C998" s="1">
        <v>45328</v>
      </c>
      <c r="D998" s="1">
        <v>44946</v>
      </c>
      <c r="E998" t="s">
        <v>43</v>
      </c>
      <c r="F998" t="s">
        <v>75</v>
      </c>
      <c r="G998" t="s">
        <v>65</v>
      </c>
      <c r="H998" t="s">
        <v>57</v>
      </c>
      <c r="I998" s="3" t="s">
        <v>3516</v>
      </c>
      <c r="J998" s="3" t="s">
        <v>3518</v>
      </c>
      <c r="K998" s="3" t="s">
        <v>3521</v>
      </c>
      <c r="L998" s="3" t="s">
        <v>4304</v>
      </c>
      <c r="M998">
        <v>264.86</v>
      </c>
      <c r="N998">
        <v>41</v>
      </c>
      <c r="O998">
        <f>Supply_Chain[[#This Row],[Unit_Price]]*Supply_Chain[[#This Row],[Quantity]]</f>
        <v>10859.26</v>
      </c>
      <c r="P998" t="s">
        <v>1910</v>
      </c>
      <c r="Q998" t="s">
        <v>35</v>
      </c>
      <c r="R998" t="s">
        <v>240</v>
      </c>
      <c r="S998" t="s">
        <v>37</v>
      </c>
      <c r="T998" t="s">
        <v>60</v>
      </c>
      <c r="U998" t="s">
        <v>120</v>
      </c>
      <c r="V998">
        <v>1791</v>
      </c>
      <c r="W998">
        <v>293</v>
      </c>
      <c r="X998">
        <v>26</v>
      </c>
      <c r="Y998">
        <v>1007.51</v>
      </c>
      <c r="Z998">
        <v>312.86</v>
      </c>
      <c r="AA998" s="9">
        <v>1320.37</v>
      </c>
      <c r="AB998" t="s">
        <v>52</v>
      </c>
      <c r="AC998">
        <v>0</v>
      </c>
      <c r="AD998">
        <v>70.510000000000005</v>
      </c>
      <c r="AE998">
        <v>467</v>
      </c>
      <c r="AF998">
        <v>426</v>
      </c>
      <c r="AG998" s="11">
        <f>Supply_Chain[[#This Row],[Total_Cost]]/Supply_Chain[[#This Row],[Stock_On_Hand]]</f>
        <v>0.73722501395868223</v>
      </c>
    </row>
    <row r="999" spans="1:33" x14ac:dyDescent="0.25">
      <c r="A999" t="s">
        <v>2730</v>
      </c>
      <c r="B999" t="s">
        <v>2731</v>
      </c>
      <c r="C999" s="1">
        <v>44198</v>
      </c>
      <c r="D999" s="1">
        <v>45033</v>
      </c>
      <c r="E999" t="s">
        <v>43</v>
      </c>
      <c r="F999" t="s">
        <v>115</v>
      </c>
      <c r="G999" t="s">
        <v>32</v>
      </c>
      <c r="H999" t="s">
        <v>66</v>
      </c>
      <c r="I999" s="3" t="s">
        <v>3400</v>
      </c>
      <c r="J999" s="3" t="s">
        <v>3519</v>
      </c>
      <c r="K999" s="3" t="s">
        <v>3530</v>
      </c>
      <c r="L999" s="3" t="s">
        <v>4187</v>
      </c>
      <c r="M999">
        <v>225.91</v>
      </c>
      <c r="N999">
        <v>26</v>
      </c>
      <c r="O999">
        <f>Supply_Chain[[#This Row],[Unit_Price]]*Supply_Chain[[#This Row],[Quantity]]</f>
        <v>5873.66</v>
      </c>
      <c r="P999" t="s">
        <v>1211</v>
      </c>
      <c r="Q999" t="s">
        <v>110</v>
      </c>
      <c r="R999" t="s">
        <v>130</v>
      </c>
      <c r="S999" t="s">
        <v>119</v>
      </c>
      <c r="T999" t="s">
        <v>38</v>
      </c>
      <c r="U999" t="s">
        <v>219</v>
      </c>
      <c r="V999">
        <v>2198</v>
      </c>
      <c r="W999">
        <v>361</v>
      </c>
      <c r="X999">
        <v>5</v>
      </c>
      <c r="Y999">
        <v>1168.73</v>
      </c>
      <c r="Z999">
        <v>21.93</v>
      </c>
      <c r="AA999" s="9">
        <v>1190.6600000000001</v>
      </c>
      <c r="AB999" t="s">
        <v>52</v>
      </c>
      <c r="AC999">
        <v>0</v>
      </c>
      <c r="AD999">
        <v>71.510000000000005</v>
      </c>
      <c r="AE999">
        <v>483</v>
      </c>
      <c r="AF999">
        <v>460</v>
      </c>
      <c r="AG999" s="11">
        <f>Supply_Chain[[#This Row],[Total_Cost]]/Supply_Chain[[#This Row],[Stock_On_Hand]]</f>
        <v>0.54170154686078253</v>
      </c>
    </row>
    <row r="1000" spans="1:33" x14ac:dyDescent="0.25">
      <c r="A1000" t="s">
        <v>2732</v>
      </c>
      <c r="B1000" t="s">
        <v>2733</v>
      </c>
      <c r="C1000" s="1">
        <v>45561</v>
      </c>
      <c r="D1000" s="1">
        <v>45435</v>
      </c>
      <c r="E1000" t="s">
        <v>55</v>
      </c>
      <c r="F1000" t="s">
        <v>44</v>
      </c>
      <c r="G1000" t="s">
        <v>32</v>
      </c>
      <c r="H1000" t="s">
        <v>116</v>
      </c>
      <c r="I1000" s="3" t="s">
        <v>3517</v>
      </c>
      <c r="J1000" s="3" t="s">
        <v>84</v>
      </c>
      <c r="K1000" s="3" t="s">
        <v>3529</v>
      </c>
      <c r="L1000" s="3" t="s">
        <v>4305</v>
      </c>
      <c r="M1000">
        <v>476.71</v>
      </c>
      <c r="N1000">
        <v>12</v>
      </c>
      <c r="O1000">
        <f>Supply_Chain[[#This Row],[Unit_Price]]*Supply_Chain[[#This Row],[Quantity]]</f>
        <v>5720.5199999999995</v>
      </c>
      <c r="P1000" t="s">
        <v>2734</v>
      </c>
      <c r="Q1000" t="s">
        <v>48</v>
      </c>
      <c r="R1000" t="s">
        <v>124</v>
      </c>
      <c r="S1000" t="s">
        <v>70</v>
      </c>
      <c r="T1000" t="s">
        <v>79</v>
      </c>
      <c r="U1000" t="s">
        <v>291</v>
      </c>
      <c r="V1000">
        <v>2566</v>
      </c>
      <c r="W1000">
        <v>108</v>
      </c>
      <c r="X1000">
        <v>1</v>
      </c>
      <c r="Y1000">
        <v>754.56</v>
      </c>
      <c r="Z1000">
        <v>485.8</v>
      </c>
      <c r="AA1000" s="9">
        <v>1240.3599999999999</v>
      </c>
      <c r="AB1000" t="s">
        <v>52</v>
      </c>
      <c r="AC1000">
        <v>0</v>
      </c>
      <c r="AD1000">
        <v>96.7</v>
      </c>
      <c r="AE1000">
        <v>176</v>
      </c>
      <c r="AF1000">
        <v>220</v>
      </c>
      <c r="AG1000" s="11">
        <f>Supply_Chain[[#This Row],[Total_Cost]]/Supply_Chain[[#This Row],[Stock_On_Hand]]</f>
        <v>0.48338269680436474</v>
      </c>
    </row>
    <row r="1001" spans="1:33" x14ac:dyDescent="0.25">
      <c r="A1001" t="s">
        <v>2735</v>
      </c>
      <c r="B1001" t="s">
        <v>2736</v>
      </c>
      <c r="C1001" s="1">
        <v>45252</v>
      </c>
      <c r="D1001" s="1">
        <v>44488</v>
      </c>
      <c r="E1001" t="s">
        <v>55</v>
      </c>
      <c r="F1001" t="s">
        <v>44</v>
      </c>
      <c r="G1001" t="s">
        <v>56</v>
      </c>
      <c r="H1001" t="s">
        <v>33</v>
      </c>
      <c r="I1001" s="3" t="s">
        <v>2851</v>
      </c>
      <c r="J1001" s="3" t="s">
        <v>3518</v>
      </c>
      <c r="K1001" s="3" t="s">
        <v>3533</v>
      </c>
      <c r="L1001" s="3" t="s">
        <v>3650</v>
      </c>
      <c r="M1001">
        <v>462.35</v>
      </c>
      <c r="N1001">
        <v>4</v>
      </c>
      <c r="O1001">
        <f>Supply_Chain[[#This Row],[Unit_Price]]*Supply_Chain[[#This Row],[Quantity]]</f>
        <v>1849.4</v>
      </c>
      <c r="P1001" t="s">
        <v>2737</v>
      </c>
      <c r="Q1001" t="s">
        <v>35</v>
      </c>
      <c r="R1001" t="s">
        <v>214</v>
      </c>
      <c r="S1001" t="s">
        <v>119</v>
      </c>
      <c r="T1001" t="s">
        <v>60</v>
      </c>
      <c r="U1001" t="s">
        <v>187</v>
      </c>
      <c r="V1001">
        <v>4955</v>
      </c>
      <c r="W1001">
        <v>246</v>
      </c>
      <c r="X1001">
        <v>23</v>
      </c>
      <c r="Y1001">
        <v>1167.01</v>
      </c>
      <c r="Z1001">
        <v>117.86</v>
      </c>
      <c r="AA1001" s="9">
        <v>1284.8699999999999</v>
      </c>
      <c r="AB1001" t="s">
        <v>52</v>
      </c>
      <c r="AC1001">
        <v>0</v>
      </c>
      <c r="AD1001">
        <v>71.28</v>
      </c>
      <c r="AE1001">
        <v>122</v>
      </c>
      <c r="AF1001">
        <v>91</v>
      </c>
      <c r="AG1001" s="11">
        <f>Supply_Chain[[#This Row],[Total_Cost]]/Supply_Chain[[#This Row],[Stock_On_Hand]]</f>
        <v>0.25930776992936427</v>
      </c>
    </row>
    <row r="1002" spans="1:33" x14ac:dyDescent="0.25">
      <c r="I1002" s="3"/>
      <c r="J1002" s="3"/>
      <c r="K1002" s="3"/>
      <c r="L1002" s="3"/>
    </row>
    <row r="1003" spans="1:33" x14ac:dyDescent="0.25">
      <c r="I1003" s="3"/>
      <c r="J1003" s="3"/>
      <c r="K1003" s="3"/>
      <c r="L1003" s="3"/>
    </row>
    <row r="1004" spans="1:33" x14ac:dyDescent="0.25">
      <c r="I1004" s="3"/>
      <c r="J1004" s="3"/>
      <c r="K1004" s="3"/>
      <c r="L1004" s="3"/>
    </row>
    <row r="1005" spans="1:33" x14ac:dyDescent="0.25">
      <c r="I1005" s="3"/>
      <c r="J1005" s="3"/>
      <c r="K1005" s="3"/>
      <c r="L1005" s="3"/>
    </row>
    <row r="1006" spans="1:33" x14ac:dyDescent="0.25">
      <c r="I1006" s="3"/>
      <c r="J1006" s="3"/>
      <c r="K1006" s="3"/>
      <c r="L1006" s="3"/>
    </row>
    <row r="1007" spans="1:33" x14ac:dyDescent="0.25">
      <c r="I1007" s="3"/>
      <c r="J1007" s="3"/>
      <c r="K1007" s="3"/>
      <c r="L1007" s="3"/>
    </row>
    <row r="1008" spans="1:33" x14ac:dyDescent="0.25">
      <c r="I1008" s="3"/>
      <c r="J1008" s="3"/>
      <c r="K1008" s="3"/>
      <c r="L1008" s="3"/>
    </row>
    <row r="1009" spans="9:12" x14ac:dyDescent="0.25">
      <c r="I1009" s="3"/>
      <c r="J1009" s="3"/>
      <c r="K1009" s="3"/>
      <c r="L1009" s="3"/>
    </row>
    <row r="1010" spans="9:12" x14ac:dyDescent="0.25">
      <c r="I1010" s="3"/>
      <c r="J1010" s="3"/>
      <c r="K1010" s="3"/>
      <c r="L1010" s="3"/>
    </row>
    <row r="1011" spans="9:12" x14ac:dyDescent="0.25">
      <c r="I1011" s="3"/>
      <c r="J1011" s="3"/>
      <c r="K1011" s="3"/>
      <c r="L1011" s="3"/>
    </row>
    <row r="1012" spans="9:12" x14ac:dyDescent="0.25">
      <c r="I1012" s="3"/>
      <c r="J1012" s="3"/>
      <c r="K1012" s="3"/>
      <c r="L1012" s="3"/>
    </row>
    <row r="1013" spans="9:12" x14ac:dyDescent="0.25">
      <c r="I1013" s="3"/>
      <c r="J1013" s="3"/>
      <c r="K1013" s="3"/>
      <c r="L1013" s="3"/>
    </row>
    <row r="1014" spans="9:12" x14ac:dyDescent="0.25">
      <c r="I1014" s="3"/>
      <c r="J1014" s="3"/>
      <c r="K1014" s="3"/>
      <c r="L1014" s="3"/>
    </row>
    <row r="1015" spans="9:12" x14ac:dyDescent="0.25">
      <c r="I1015" s="3"/>
      <c r="J1015" s="3"/>
      <c r="K1015" s="3"/>
      <c r="L1015" s="3"/>
    </row>
    <row r="1016" spans="9:12" x14ac:dyDescent="0.25">
      <c r="I1016" s="3"/>
      <c r="J1016" s="3"/>
      <c r="K1016" s="3"/>
      <c r="L1016" s="3"/>
    </row>
    <row r="1017" spans="9:12" x14ac:dyDescent="0.25">
      <c r="I1017" s="3"/>
      <c r="J1017" s="3"/>
      <c r="K1017" s="3"/>
      <c r="L1017" s="3"/>
    </row>
    <row r="1018" spans="9:12" x14ac:dyDescent="0.25">
      <c r="I1018" s="3"/>
      <c r="J1018" s="3"/>
      <c r="K1018" s="3"/>
      <c r="L1018" s="3"/>
    </row>
    <row r="1019" spans="9:12" x14ac:dyDescent="0.25">
      <c r="I1019" s="3"/>
      <c r="J1019" s="3"/>
      <c r="K1019" s="3"/>
      <c r="L1019" s="3"/>
    </row>
    <row r="1020" spans="9:12" x14ac:dyDescent="0.25">
      <c r="I1020" s="3"/>
      <c r="J1020" s="3"/>
      <c r="K1020" s="3"/>
      <c r="L1020" s="3"/>
    </row>
    <row r="1021" spans="9:12" x14ac:dyDescent="0.25">
      <c r="I1021" s="3"/>
      <c r="J1021" s="3"/>
      <c r="K1021" s="3"/>
      <c r="L1021" s="3"/>
    </row>
    <row r="1022" spans="9:12" x14ac:dyDescent="0.25">
      <c r="I1022" s="3"/>
      <c r="J1022" s="3"/>
      <c r="K1022" s="3"/>
      <c r="L1022" s="3"/>
    </row>
    <row r="1023" spans="9:12" x14ac:dyDescent="0.25">
      <c r="I1023" s="3"/>
      <c r="J1023" s="3"/>
      <c r="K1023" s="3"/>
      <c r="L1023" s="3"/>
    </row>
    <row r="1024" spans="9:12" x14ac:dyDescent="0.25">
      <c r="I1024" s="3"/>
      <c r="J1024" s="3"/>
      <c r="K1024" s="3"/>
      <c r="L1024" s="3"/>
    </row>
    <row r="1025" spans="9:12" x14ac:dyDescent="0.25">
      <c r="I1025" s="3"/>
      <c r="J1025" s="3"/>
      <c r="K1025" s="3"/>
      <c r="L1025" s="3"/>
    </row>
    <row r="1026" spans="9:12" x14ac:dyDescent="0.25">
      <c r="I1026" s="3"/>
      <c r="J1026" s="3"/>
      <c r="K1026" s="3"/>
      <c r="L1026" s="3"/>
    </row>
    <row r="1027" spans="9:12" x14ac:dyDescent="0.25">
      <c r="I1027" s="3"/>
      <c r="J1027" s="3"/>
      <c r="K1027" s="3"/>
      <c r="L1027" s="3"/>
    </row>
    <row r="1028" spans="9:12" x14ac:dyDescent="0.25">
      <c r="I1028" s="3"/>
      <c r="J1028" s="3"/>
      <c r="K1028" s="3"/>
      <c r="L1028" s="3"/>
    </row>
    <row r="1029" spans="9:12" x14ac:dyDescent="0.25">
      <c r="I1029" s="3"/>
      <c r="J1029" s="3"/>
      <c r="K1029" s="3"/>
      <c r="L1029" s="3"/>
    </row>
    <row r="1030" spans="9:12" x14ac:dyDescent="0.25">
      <c r="I1030" s="3"/>
      <c r="J1030" s="3"/>
      <c r="K1030" s="3"/>
      <c r="L1030" s="3"/>
    </row>
    <row r="1031" spans="9:12" x14ac:dyDescent="0.25">
      <c r="I1031" s="3"/>
      <c r="J1031" s="3"/>
      <c r="K1031" s="3"/>
      <c r="L1031" s="3"/>
    </row>
    <row r="1032" spans="9:12" x14ac:dyDescent="0.25">
      <c r="I1032" s="3"/>
      <c r="J1032" s="3"/>
      <c r="K1032" s="3"/>
      <c r="L1032" s="3"/>
    </row>
    <row r="1033" spans="9:12" x14ac:dyDescent="0.25">
      <c r="I1033" s="3"/>
      <c r="J1033" s="3"/>
      <c r="K1033" s="3"/>
      <c r="L1033" s="3"/>
    </row>
    <row r="1034" spans="9:12" x14ac:dyDescent="0.25">
      <c r="I1034" s="3"/>
      <c r="J1034" s="3"/>
      <c r="K1034" s="3"/>
      <c r="L1034" s="3"/>
    </row>
    <row r="1035" spans="9:12" x14ac:dyDescent="0.25">
      <c r="I1035" s="3"/>
      <c r="J1035" s="3"/>
      <c r="K1035" s="3"/>
      <c r="L1035" s="3"/>
    </row>
    <row r="1036" spans="9:12" x14ac:dyDescent="0.25">
      <c r="I1036" s="3"/>
      <c r="J1036" s="3"/>
      <c r="K1036" s="3"/>
      <c r="L1036" s="3"/>
    </row>
    <row r="1037" spans="9:12" x14ac:dyDescent="0.25">
      <c r="I1037" s="3"/>
      <c r="J1037" s="3"/>
      <c r="K1037" s="3"/>
      <c r="L1037" s="3"/>
    </row>
    <row r="1038" spans="9:12" x14ac:dyDescent="0.25">
      <c r="I1038" s="3"/>
      <c r="J1038" s="3"/>
      <c r="K1038" s="3"/>
      <c r="L1038" s="3"/>
    </row>
    <row r="1039" spans="9:12" x14ac:dyDescent="0.25">
      <c r="I1039" s="3"/>
      <c r="J1039" s="3"/>
      <c r="K1039" s="3"/>
      <c r="L1039" s="3"/>
    </row>
    <row r="1040" spans="9:12" x14ac:dyDescent="0.25">
      <c r="I1040" s="3"/>
      <c r="J1040" s="3"/>
      <c r="K1040" s="3"/>
      <c r="L1040" s="3"/>
    </row>
    <row r="1041" spans="9:12" x14ac:dyDescent="0.25">
      <c r="I1041" s="3"/>
      <c r="J1041" s="3"/>
      <c r="K1041" s="3"/>
      <c r="L1041" s="3"/>
    </row>
    <row r="1042" spans="9:12" x14ac:dyDescent="0.25">
      <c r="I1042" s="3"/>
      <c r="J1042" s="3"/>
      <c r="K1042" s="3"/>
      <c r="L1042" s="3"/>
    </row>
    <row r="1043" spans="9:12" x14ac:dyDescent="0.25">
      <c r="I1043" s="3"/>
      <c r="J1043" s="3"/>
      <c r="K1043" s="3"/>
      <c r="L1043" s="3"/>
    </row>
    <row r="1044" spans="9:12" x14ac:dyDescent="0.25">
      <c r="I1044" s="3"/>
      <c r="J1044" s="3"/>
      <c r="K1044" s="3"/>
      <c r="L1044" s="3"/>
    </row>
    <row r="1045" spans="9:12" x14ac:dyDescent="0.25">
      <c r="I1045" s="3"/>
      <c r="J1045" s="3"/>
      <c r="K1045" s="3"/>
      <c r="L1045" s="3"/>
    </row>
    <row r="1046" spans="9:12" x14ac:dyDescent="0.25">
      <c r="I1046" s="3"/>
      <c r="J1046" s="3"/>
      <c r="K1046" s="3"/>
      <c r="L1046" s="3"/>
    </row>
    <row r="1047" spans="9:12" x14ac:dyDescent="0.25">
      <c r="I1047" s="3"/>
      <c r="J1047" s="3"/>
      <c r="K1047" s="3"/>
      <c r="L1047" s="3"/>
    </row>
    <row r="1048" spans="9:12" x14ac:dyDescent="0.25">
      <c r="I1048" s="3"/>
      <c r="J1048" s="3"/>
      <c r="K1048" s="3"/>
      <c r="L1048" s="3"/>
    </row>
    <row r="1049" spans="9:12" x14ac:dyDescent="0.25">
      <c r="I1049" s="3"/>
      <c r="J1049" s="3"/>
      <c r="K1049" s="3"/>
      <c r="L1049" s="3"/>
    </row>
    <row r="1050" spans="9:12" x14ac:dyDescent="0.25">
      <c r="I1050" s="3"/>
      <c r="J1050" s="3"/>
      <c r="K1050" s="3"/>
      <c r="L1050" s="3"/>
    </row>
    <row r="1051" spans="9:12" x14ac:dyDescent="0.25">
      <c r="I1051" s="3"/>
      <c r="J1051" s="3"/>
      <c r="K1051" s="3"/>
      <c r="L1051" s="3"/>
    </row>
    <row r="1052" spans="9:12" x14ac:dyDescent="0.25">
      <c r="I1052" s="3"/>
      <c r="J1052" s="3"/>
      <c r="K1052" s="3"/>
      <c r="L1052" s="3"/>
    </row>
    <row r="1053" spans="9:12" x14ac:dyDescent="0.25">
      <c r="I1053" s="3"/>
      <c r="J1053" s="3"/>
      <c r="K1053" s="3"/>
      <c r="L1053" s="3"/>
    </row>
    <row r="1054" spans="9:12" x14ac:dyDescent="0.25">
      <c r="I1054" s="3"/>
      <c r="J1054" s="3"/>
      <c r="K1054" s="3"/>
      <c r="L1054" s="3"/>
    </row>
    <row r="1055" spans="9:12" x14ac:dyDescent="0.25">
      <c r="I1055" s="3"/>
      <c r="J1055" s="3"/>
      <c r="K1055" s="3"/>
      <c r="L1055" s="3"/>
    </row>
    <row r="1056" spans="9:12" x14ac:dyDescent="0.25">
      <c r="I1056" s="3"/>
      <c r="J1056" s="3"/>
      <c r="K1056" s="3"/>
      <c r="L1056" s="3"/>
    </row>
    <row r="1057" spans="9:12" x14ac:dyDescent="0.25">
      <c r="I1057" s="3"/>
      <c r="J1057" s="3"/>
      <c r="K1057" s="3"/>
      <c r="L1057" s="3"/>
    </row>
    <row r="1058" spans="9:12" x14ac:dyDescent="0.25">
      <c r="I1058" s="3"/>
      <c r="J1058" s="3"/>
      <c r="K1058" s="3"/>
      <c r="L1058" s="3"/>
    </row>
    <row r="1059" spans="9:12" x14ac:dyDescent="0.25">
      <c r="I1059" s="3"/>
      <c r="J1059" s="3"/>
      <c r="K1059" s="3"/>
      <c r="L1059" s="3"/>
    </row>
    <row r="1060" spans="9:12" x14ac:dyDescent="0.25">
      <c r="I1060" s="3"/>
      <c r="J1060" s="3"/>
      <c r="K1060" s="3"/>
      <c r="L1060" s="3"/>
    </row>
    <row r="1061" spans="9:12" x14ac:dyDescent="0.25">
      <c r="I1061" s="3"/>
      <c r="J1061" s="3"/>
      <c r="K1061" s="3"/>
      <c r="L1061" s="3"/>
    </row>
    <row r="1062" spans="9:12" x14ac:dyDescent="0.25">
      <c r="I1062" s="3"/>
      <c r="J1062" s="3"/>
      <c r="K1062" s="3"/>
      <c r="L1062" s="3"/>
    </row>
    <row r="1063" spans="9:12" x14ac:dyDescent="0.25">
      <c r="I1063" s="3"/>
      <c r="J1063" s="3"/>
      <c r="K1063" s="3"/>
      <c r="L1063" s="3"/>
    </row>
    <row r="1064" spans="9:12" x14ac:dyDescent="0.25">
      <c r="I1064" s="3"/>
      <c r="J1064" s="3"/>
      <c r="K1064" s="3"/>
      <c r="L1064" s="3"/>
    </row>
    <row r="1065" spans="9:12" x14ac:dyDescent="0.25">
      <c r="I1065" s="3"/>
      <c r="J1065" s="3"/>
      <c r="K1065" s="3"/>
      <c r="L1065" s="3"/>
    </row>
    <row r="1066" spans="9:12" x14ac:dyDescent="0.25">
      <c r="I1066" s="3"/>
      <c r="J1066" s="3"/>
      <c r="K1066" s="3"/>
      <c r="L1066" s="3"/>
    </row>
    <row r="1067" spans="9:12" x14ac:dyDescent="0.25">
      <c r="I1067" s="3"/>
      <c r="J1067" s="3"/>
      <c r="K1067" s="3"/>
      <c r="L1067" s="3"/>
    </row>
    <row r="1068" spans="9:12" x14ac:dyDescent="0.25">
      <c r="I1068" s="3"/>
      <c r="J1068" s="3"/>
      <c r="K1068" s="3"/>
      <c r="L1068" s="3"/>
    </row>
    <row r="1069" spans="9:12" x14ac:dyDescent="0.25">
      <c r="I1069" s="3"/>
      <c r="J1069" s="3"/>
      <c r="K1069" s="3"/>
      <c r="L1069" s="3"/>
    </row>
    <row r="1070" spans="9:12" x14ac:dyDescent="0.25">
      <c r="I1070" s="3"/>
      <c r="J1070" s="3"/>
      <c r="K1070" s="3"/>
      <c r="L1070" s="3"/>
    </row>
    <row r="1071" spans="9:12" x14ac:dyDescent="0.25">
      <c r="I1071" s="3"/>
      <c r="J1071" s="3"/>
      <c r="K1071" s="3"/>
      <c r="L1071" s="3"/>
    </row>
    <row r="1072" spans="9:12" x14ac:dyDescent="0.25">
      <c r="I1072" s="3"/>
      <c r="J1072" s="3"/>
      <c r="K1072" s="3"/>
      <c r="L1072" s="3"/>
    </row>
    <row r="1073" spans="9:12" x14ac:dyDescent="0.25">
      <c r="I1073" s="3"/>
      <c r="J1073" s="3"/>
      <c r="K1073" s="3"/>
      <c r="L1073" s="3"/>
    </row>
    <row r="1074" spans="9:12" x14ac:dyDescent="0.25">
      <c r="I1074" s="3"/>
      <c r="J1074" s="3"/>
      <c r="K1074" s="3"/>
      <c r="L1074" s="3"/>
    </row>
    <row r="1075" spans="9:12" x14ac:dyDescent="0.25">
      <c r="I1075" s="3"/>
      <c r="J1075" s="3"/>
      <c r="K1075" s="3"/>
      <c r="L1075" s="3"/>
    </row>
    <row r="1076" spans="9:12" x14ac:dyDescent="0.25">
      <c r="I1076" s="3"/>
      <c r="J1076" s="3"/>
      <c r="K1076" s="3"/>
      <c r="L1076" s="3"/>
    </row>
    <row r="1077" spans="9:12" x14ac:dyDescent="0.25">
      <c r="I1077" s="3"/>
      <c r="J1077" s="3"/>
      <c r="K1077" s="3"/>
      <c r="L1077" s="3"/>
    </row>
    <row r="1078" spans="9:12" x14ac:dyDescent="0.25">
      <c r="I1078" s="3"/>
      <c r="J1078" s="3"/>
      <c r="K1078" s="3"/>
      <c r="L1078" s="3"/>
    </row>
    <row r="1079" spans="9:12" x14ac:dyDescent="0.25">
      <c r="I1079" s="3"/>
      <c r="J1079" s="3"/>
      <c r="K1079" s="3"/>
      <c r="L1079" s="3"/>
    </row>
    <row r="1080" spans="9:12" x14ac:dyDescent="0.25">
      <c r="I1080" s="3"/>
      <c r="J1080" s="3"/>
      <c r="K1080" s="3"/>
      <c r="L1080" s="3"/>
    </row>
    <row r="1081" spans="9:12" x14ac:dyDescent="0.25">
      <c r="I1081" s="3"/>
      <c r="J1081" s="3"/>
      <c r="K1081" s="3"/>
      <c r="L1081" s="3"/>
    </row>
    <row r="1082" spans="9:12" x14ac:dyDescent="0.25">
      <c r="I1082" s="3"/>
      <c r="J1082" s="3"/>
      <c r="K1082" s="3"/>
      <c r="L1082" s="3"/>
    </row>
    <row r="1083" spans="9:12" x14ac:dyDescent="0.25">
      <c r="I1083" s="3"/>
      <c r="J1083" s="3"/>
      <c r="K1083" s="3"/>
      <c r="L1083" s="3"/>
    </row>
    <row r="1084" spans="9:12" x14ac:dyDescent="0.25">
      <c r="I1084" s="3"/>
      <c r="J1084" s="3"/>
      <c r="K1084" s="3"/>
      <c r="L1084" s="3"/>
    </row>
    <row r="1085" spans="9:12" x14ac:dyDescent="0.25">
      <c r="I1085" s="4"/>
      <c r="J1085" s="4"/>
      <c r="K1085" s="4"/>
      <c r="L1085" s="4"/>
    </row>
    <row r="1086" spans="9:12" x14ac:dyDescent="0.25">
      <c r="I1086" s="3"/>
      <c r="J1086" s="3"/>
      <c r="K1086" s="3"/>
      <c r="L1086" s="3"/>
    </row>
    <row r="1087" spans="9:12" x14ac:dyDescent="0.25">
      <c r="I1087" s="3"/>
      <c r="J1087" s="3"/>
      <c r="K1087" s="3"/>
      <c r="L1087" s="3"/>
    </row>
    <row r="1088" spans="9:12" x14ac:dyDescent="0.25">
      <c r="I1088" s="3"/>
      <c r="J1088" s="3"/>
      <c r="K1088" s="3"/>
      <c r="L1088" s="3"/>
    </row>
    <row r="1089" spans="9:12" x14ac:dyDescent="0.25">
      <c r="I1089" s="3"/>
      <c r="J1089" s="3"/>
      <c r="K1089" s="3"/>
      <c r="L1089" s="3"/>
    </row>
    <row r="1090" spans="9:12" x14ac:dyDescent="0.25">
      <c r="I1090" s="3"/>
      <c r="J1090" s="3"/>
      <c r="K1090" s="3"/>
      <c r="L1090" s="3"/>
    </row>
    <row r="1091" spans="9:12" x14ac:dyDescent="0.25">
      <c r="I1091" s="3"/>
      <c r="J1091" s="3"/>
      <c r="K1091" s="3"/>
      <c r="L1091" s="3"/>
    </row>
    <row r="1092" spans="9:12" x14ac:dyDescent="0.25">
      <c r="I1092" s="3"/>
      <c r="J1092" s="3"/>
      <c r="K1092" s="3"/>
      <c r="L1092" s="3"/>
    </row>
    <row r="1093" spans="9:12" x14ac:dyDescent="0.25">
      <c r="I1093" s="3"/>
      <c r="J1093" s="3"/>
      <c r="K1093" s="3"/>
      <c r="L1093" s="3"/>
    </row>
    <row r="1094" spans="9:12" x14ac:dyDescent="0.25">
      <c r="I1094" s="3"/>
      <c r="J1094" s="3"/>
      <c r="K1094" s="3"/>
      <c r="L1094" s="3"/>
    </row>
    <row r="1095" spans="9:12" x14ac:dyDescent="0.25">
      <c r="I1095" s="3"/>
      <c r="J1095" s="3"/>
      <c r="K1095" s="3"/>
      <c r="L1095" s="3"/>
    </row>
    <row r="1096" spans="9:12" x14ac:dyDescent="0.25">
      <c r="I1096" s="3"/>
      <c r="J1096" s="3"/>
      <c r="K1096" s="3"/>
      <c r="L1096" s="3"/>
    </row>
    <row r="1097" spans="9:12" x14ac:dyDescent="0.25">
      <c r="I1097" s="3"/>
      <c r="J1097" s="3"/>
      <c r="K1097" s="3"/>
      <c r="L1097" s="3"/>
    </row>
    <row r="1098" spans="9:12" x14ac:dyDescent="0.25">
      <c r="I1098" s="3"/>
      <c r="J1098" s="3"/>
      <c r="K1098" s="3"/>
      <c r="L1098" s="3"/>
    </row>
    <row r="1099" spans="9:12" x14ac:dyDescent="0.25">
      <c r="I1099" s="3"/>
      <c r="J1099" s="3"/>
      <c r="K1099" s="3"/>
      <c r="L1099" s="3"/>
    </row>
    <row r="1100" spans="9:12" x14ac:dyDescent="0.25">
      <c r="I1100" s="3"/>
      <c r="J1100" s="3"/>
      <c r="K1100" s="3"/>
      <c r="L1100" s="3"/>
    </row>
    <row r="1101" spans="9:12" x14ac:dyDescent="0.25">
      <c r="I1101" s="3"/>
      <c r="J1101" s="3"/>
      <c r="K1101" s="3"/>
      <c r="L1101" s="3"/>
    </row>
    <row r="1102" spans="9:12" x14ac:dyDescent="0.25">
      <c r="I1102" s="3"/>
      <c r="J1102" s="3"/>
      <c r="K1102" s="3"/>
      <c r="L1102" s="3"/>
    </row>
    <row r="1103" spans="9:12" x14ac:dyDescent="0.25">
      <c r="I1103" s="3"/>
      <c r="J1103" s="3"/>
      <c r="K1103" s="3"/>
      <c r="L1103" s="3"/>
    </row>
    <row r="1104" spans="9:12" x14ac:dyDescent="0.25">
      <c r="I1104" s="3"/>
      <c r="J1104" s="3"/>
      <c r="K1104" s="3"/>
      <c r="L1104" s="3"/>
    </row>
    <row r="1105" spans="9:12" x14ac:dyDescent="0.25">
      <c r="I1105" s="3"/>
      <c r="J1105" s="3"/>
      <c r="K1105" s="3"/>
      <c r="L1105" s="3"/>
    </row>
    <row r="1106" spans="9:12" x14ac:dyDescent="0.25">
      <c r="I1106" s="3"/>
      <c r="J1106" s="3"/>
      <c r="K1106" s="3"/>
      <c r="L1106" s="3"/>
    </row>
    <row r="1107" spans="9:12" x14ac:dyDescent="0.25">
      <c r="I1107" s="3"/>
      <c r="J1107" s="3"/>
      <c r="K1107" s="3"/>
      <c r="L1107" s="3"/>
    </row>
    <row r="1108" spans="9:12" x14ac:dyDescent="0.25">
      <c r="I1108" s="3"/>
      <c r="J1108" s="3"/>
      <c r="K1108" s="3"/>
      <c r="L1108" s="3"/>
    </row>
    <row r="1109" spans="9:12" x14ac:dyDescent="0.25">
      <c r="I1109" s="3"/>
      <c r="J1109" s="3"/>
      <c r="K1109" s="3"/>
      <c r="L1109" s="3"/>
    </row>
    <row r="1110" spans="9:12" x14ac:dyDescent="0.25">
      <c r="I1110" s="3"/>
      <c r="J1110" s="3"/>
      <c r="K1110" s="3"/>
      <c r="L1110" s="3"/>
    </row>
    <row r="1111" spans="9:12" x14ac:dyDescent="0.25">
      <c r="I1111" s="3"/>
      <c r="J1111" s="3"/>
      <c r="K1111" s="3"/>
      <c r="L1111" s="3"/>
    </row>
    <row r="1112" spans="9:12" x14ac:dyDescent="0.25">
      <c r="I1112" s="3"/>
      <c r="J1112" s="3"/>
      <c r="K1112" s="3"/>
      <c r="L1112" s="3"/>
    </row>
    <row r="1113" spans="9:12" x14ac:dyDescent="0.25">
      <c r="I1113" s="3"/>
      <c r="J1113" s="3"/>
      <c r="K1113" s="3"/>
      <c r="L1113" s="3"/>
    </row>
    <row r="1114" spans="9:12" x14ac:dyDescent="0.25">
      <c r="I1114" s="3"/>
      <c r="J1114" s="3"/>
      <c r="K1114" s="3"/>
      <c r="L1114" s="3"/>
    </row>
    <row r="1115" spans="9:12" x14ac:dyDescent="0.25">
      <c r="I1115" s="3"/>
      <c r="J1115" s="3"/>
      <c r="K1115" s="3"/>
      <c r="L1115" s="3"/>
    </row>
    <row r="1116" spans="9:12" x14ac:dyDescent="0.25">
      <c r="I1116" s="3"/>
      <c r="J1116" s="3"/>
      <c r="K1116" s="3"/>
      <c r="L1116" s="3"/>
    </row>
    <row r="1117" spans="9:12" x14ac:dyDescent="0.25">
      <c r="I1117" s="3"/>
      <c r="J1117" s="3"/>
      <c r="K1117" s="3"/>
      <c r="L1117" s="3"/>
    </row>
    <row r="1118" spans="9:12" x14ac:dyDescent="0.25">
      <c r="I1118" s="3"/>
      <c r="J1118" s="3"/>
      <c r="K1118" s="3"/>
      <c r="L1118" s="3"/>
    </row>
    <row r="1119" spans="9:12" x14ac:dyDescent="0.25">
      <c r="I1119" s="3"/>
      <c r="J1119" s="3"/>
      <c r="K1119" s="3"/>
      <c r="L1119" s="3"/>
    </row>
    <row r="1120" spans="9:12" x14ac:dyDescent="0.25">
      <c r="I1120" s="3"/>
      <c r="J1120" s="3"/>
      <c r="K1120" s="3"/>
      <c r="L1120" s="3"/>
    </row>
    <row r="1121" spans="9:12" x14ac:dyDescent="0.25">
      <c r="I1121" s="3"/>
      <c r="J1121" s="3"/>
      <c r="K1121" s="3"/>
      <c r="L1121" s="3"/>
    </row>
    <row r="1122" spans="9:12" x14ac:dyDescent="0.25">
      <c r="I1122" s="3"/>
      <c r="J1122" s="3"/>
      <c r="K1122" s="3"/>
      <c r="L1122" s="3"/>
    </row>
    <row r="1123" spans="9:12" x14ac:dyDescent="0.25">
      <c r="I1123" s="3"/>
      <c r="J1123" s="3"/>
      <c r="K1123" s="3"/>
      <c r="L1123" s="3"/>
    </row>
    <row r="1124" spans="9:12" x14ac:dyDescent="0.25">
      <c r="I1124" s="3"/>
      <c r="J1124" s="3"/>
      <c r="K1124" s="3"/>
      <c r="L1124" s="3"/>
    </row>
    <row r="1125" spans="9:12" x14ac:dyDescent="0.25">
      <c r="I1125" s="3"/>
      <c r="J1125" s="3"/>
      <c r="K1125" s="3"/>
      <c r="L1125" s="3"/>
    </row>
    <row r="1126" spans="9:12" x14ac:dyDescent="0.25">
      <c r="I1126" s="3"/>
      <c r="J1126" s="3"/>
      <c r="K1126" s="3"/>
      <c r="L1126" s="3"/>
    </row>
    <row r="1127" spans="9:12" x14ac:dyDescent="0.25">
      <c r="I1127" s="3"/>
      <c r="J1127" s="3"/>
      <c r="K1127" s="3"/>
      <c r="L1127" s="3"/>
    </row>
    <row r="1128" spans="9:12" x14ac:dyDescent="0.25">
      <c r="I1128" s="3"/>
      <c r="J1128" s="3"/>
      <c r="K1128" s="3"/>
      <c r="L1128" s="3"/>
    </row>
    <row r="1129" spans="9:12" x14ac:dyDescent="0.25">
      <c r="I1129" s="3"/>
      <c r="J1129" s="3"/>
      <c r="K1129" s="3"/>
      <c r="L1129" s="3"/>
    </row>
    <row r="1130" spans="9:12" x14ac:dyDescent="0.25">
      <c r="I1130" s="3"/>
      <c r="J1130" s="3"/>
      <c r="K1130" s="3"/>
      <c r="L1130" s="3"/>
    </row>
    <row r="1131" spans="9:12" x14ac:dyDescent="0.25">
      <c r="I1131" s="3"/>
      <c r="J1131" s="3"/>
      <c r="K1131" s="3"/>
      <c r="L1131" s="3"/>
    </row>
    <row r="1132" spans="9:12" x14ac:dyDescent="0.25">
      <c r="I1132" s="3"/>
      <c r="J1132" s="3"/>
      <c r="K1132" s="3"/>
      <c r="L1132" s="3"/>
    </row>
    <row r="1133" spans="9:12" x14ac:dyDescent="0.25">
      <c r="I1133" s="3"/>
      <c r="J1133" s="3"/>
      <c r="K1133" s="3"/>
      <c r="L1133" s="3"/>
    </row>
    <row r="1134" spans="9:12" x14ac:dyDescent="0.25">
      <c r="I1134" s="3"/>
      <c r="J1134" s="3"/>
      <c r="K1134" s="3"/>
      <c r="L1134" s="3"/>
    </row>
    <row r="1135" spans="9:12" x14ac:dyDescent="0.25">
      <c r="I1135" s="3"/>
      <c r="J1135" s="3"/>
      <c r="K1135" s="3"/>
      <c r="L1135" s="3"/>
    </row>
    <row r="1136" spans="9:12" x14ac:dyDescent="0.25">
      <c r="I1136" s="3"/>
      <c r="J1136" s="3"/>
      <c r="K1136" s="3"/>
      <c r="L1136" s="3"/>
    </row>
    <row r="1137" spans="9:12" x14ac:dyDescent="0.25">
      <c r="I1137" s="3"/>
      <c r="J1137" s="3"/>
      <c r="K1137" s="3"/>
      <c r="L1137" s="3"/>
    </row>
    <row r="1138" spans="9:12" x14ac:dyDescent="0.25">
      <c r="I1138" s="3"/>
      <c r="J1138" s="3"/>
      <c r="K1138" s="3"/>
      <c r="L1138" s="3"/>
    </row>
    <row r="1139" spans="9:12" x14ac:dyDescent="0.25">
      <c r="I1139" s="3"/>
      <c r="J1139" s="3"/>
      <c r="K1139" s="3"/>
      <c r="L1139" s="3"/>
    </row>
    <row r="1140" spans="9:12" x14ac:dyDescent="0.25">
      <c r="I1140" s="3"/>
      <c r="J1140" s="3"/>
      <c r="K1140" s="3"/>
      <c r="L1140" s="3"/>
    </row>
    <row r="1141" spans="9:12" x14ac:dyDescent="0.25">
      <c r="I1141" s="3"/>
      <c r="J1141" s="3"/>
      <c r="K1141" s="3"/>
      <c r="L1141" s="3"/>
    </row>
    <row r="1142" spans="9:12" x14ac:dyDescent="0.25">
      <c r="I1142" s="3"/>
      <c r="J1142" s="3"/>
      <c r="K1142" s="3"/>
      <c r="L1142" s="3"/>
    </row>
    <row r="1143" spans="9:12" x14ac:dyDescent="0.25">
      <c r="I1143" s="3"/>
      <c r="J1143" s="3"/>
      <c r="K1143" s="3"/>
      <c r="L1143" s="3"/>
    </row>
    <row r="1144" spans="9:12" x14ac:dyDescent="0.25">
      <c r="I1144" s="3"/>
      <c r="J1144" s="3"/>
      <c r="K1144" s="3"/>
      <c r="L1144" s="3"/>
    </row>
    <row r="1145" spans="9:12" x14ac:dyDescent="0.25">
      <c r="I1145" s="3"/>
      <c r="J1145" s="3"/>
      <c r="K1145" s="3"/>
      <c r="L1145" s="3"/>
    </row>
    <row r="1146" spans="9:12" x14ac:dyDescent="0.25">
      <c r="I1146" s="3"/>
      <c r="J1146" s="3"/>
      <c r="K1146" s="3"/>
      <c r="L1146" s="3"/>
    </row>
    <row r="1147" spans="9:12" x14ac:dyDescent="0.25">
      <c r="I1147" s="3"/>
      <c r="J1147" s="3"/>
      <c r="K1147" s="3"/>
      <c r="L1147" s="3"/>
    </row>
    <row r="1148" spans="9:12" x14ac:dyDescent="0.25">
      <c r="I1148" s="3"/>
      <c r="J1148" s="3"/>
      <c r="K1148" s="3"/>
      <c r="L1148" s="3"/>
    </row>
    <row r="1149" spans="9:12" x14ac:dyDescent="0.25">
      <c r="I1149" s="3"/>
      <c r="J1149" s="3"/>
      <c r="K1149" s="3"/>
      <c r="L1149" s="3"/>
    </row>
    <row r="1150" spans="9:12" x14ac:dyDescent="0.25">
      <c r="I1150" s="3"/>
      <c r="J1150" s="3"/>
      <c r="K1150" s="3"/>
      <c r="L1150" s="3"/>
    </row>
    <row r="1151" spans="9:12" x14ac:dyDescent="0.25">
      <c r="I1151" s="3"/>
      <c r="J1151" s="3"/>
      <c r="K1151" s="3"/>
      <c r="L1151" s="3"/>
    </row>
    <row r="1152" spans="9:12" x14ac:dyDescent="0.25">
      <c r="I1152" s="3"/>
      <c r="J1152" s="3"/>
      <c r="K1152" s="3"/>
      <c r="L1152" s="3"/>
    </row>
    <row r="1153" spans="9:12" x14ac:dyDescent="0.25">
      <c r="I1153" s="3"/>
      <c r="J1153" s="3"/>
      <c r="K1153" s="3"/>
      <c r="L1153" s="3"/>
    </row>
    <row r="1154" spans="9:12" x14ac:dyDescent="0.25">
      <c r="I1154" s="3"/>
      <c r="J1154" s="3"/>
      <c r="K1154" s="3"/>
      <c r="L1154" s="3"/>
    </row>
    <row r="1155" spans="9:12" x14ac:dyDescent="0.25">
      <c r="I1155" s="3"/>
      <c r="J1155" s="3"/>
      <c r="K1155" s="3"/>
      <c r="L1155" s="3"/>
    </row>
    <row r="1156" spans="9:12" x14ac:dyDescent="0.25">
      <c r="I1156" s="3"/>
      <c r="J1156" s="3"/>
      <c r="K1156" s="3"/>
      <c r="L1156" s="3"/>
    </row>
    <row r="1157" spans="9:12" x14ac:dyDescent="0.25">
      <c r="I1157" s="3"/>
      <c r="J1157" s="3"/>
      <c r="K1157" s="3"/>
      <c r="L1157" s="3"/>
    </row>
    <row r="1158" spans="9:12" x14ac:dyDescent="0.25">
      <c r="I1158" s="3"/>
      <c r="J1158" s="3"/>
      <c r="K1158" s="3"/>
      <c r="L1158" s="3"/>
    </row>
    <row r="1159" spans="9:12" x14ac:dyDescent="0.25">
      <c r="I1159" s="3"/>
      <c r="J1159" s="3"/>
      <c r="K1159" s="3"/>
      <c r="L1159" s="3"/>
    </row>
    <row r="1160" spans="9:12" x14ac:dyDescent="0.25">
      <c r="I1160" s="3"/>
      <c r="J1160" s="3"/>
      <c r="K1160" s="3"/>
      <c r="L1160" s="3"/>
    </row>
    <row r="1161" spans="9:12" x14ac:dyDescent="0.25">
      <c r="I1161" s="3"/>
      <c r="J1161" s="3"/>
      <c r="K1161" s="3"/>
      <c r="L1161" s="3"/>
    </row>
    <row r="1162" spans="9:12" x14ac:dyDescent="0.25">
      <c r="I1162" s="3"/>
      <c r="J1162" s="3"/>
      <c r="K1162" s="3"/>
      <c r="L1162" s="3"/>
    </row>
    <row r="1163" spans="9:12" x14ac:dyDescent="0.25">
      <c r="I1163" s="3"/>
      <c r="J1163" s="3"/>
      <c r="K1163" s="3"/>
      <c r="L1163" s="3"/>
    </row>
    <row r="1164" spans="9:12" x14ac:dyDescent="0.25">
      <c r="I1164" s="3"/>
      <c r="J1164" s="3"/>
      <c r="K1164" s="3"/>
      <c r="L1164" s="3"/>
    </row>
    <row r="1165" spans="9:12" x14ac:dyDescent="0.25">
      <c r="I1165" s="3"/>
      <c r="J1165" s="3"/>
      <c r="K1165" s="3"/>
      <c r="L1165" s="3"/>
    </row>
    <row r="1166" spans="9:12" x14ac:dyDescent="0.25">
      <c r="I1166" s="3"/>
      <c r="J1166" s="3"/>
      <c r="K1166" s="3"/>
      <c r="L1166" s="3"/>
    </row>
    <row r="1167" spans="9:12" x14ac:dyDescent="0.25">
      <c r="I1167" s="3"/>
      <c r="J1167" s="3"/>
      <c r="K1167" s="3"/>
      <c r="L1167" s="3"/>
    </row>
    <row r="1168" spans="9:12" x14ac:dyDescent="0.25">
      <c r="I1168" s="3"/>
      <c r="J1168" s="3"/>
      <c r="K1168" s="3"/>
      <c r="L1168" s="3"/>
    </row>
    <row r="1169" spans="9:12" x14ac:dyDescent="0.25">
      <c r="I1169" s="3"/>
      <c r="J1169" s="3"/>
      <c r="K1169" s="3"/>
      <c r="L1169" s="3"/>
    </row>
    <row r="1170" spans="9:12" x14ac:dyDescent="0.25">
      <c r="I1170" s="3"/>
      <c r="J1170" s="3"/>
      <c r="K1170" s="3"/>
      <c r="L1170" s="3"/>
    </row>
    <row r="1171" spans="9:12" x14ac:dyDescent="0.25">
      <c r="I1171" s="3"/>
      <c r="J1171" s="3"/>
      <c r="K1171" s="3"/>
      <c r="L1171" s="3"/>
    </row>
    <row r="1172" spans="9:12" x14ac:dyDescent="0.25">
      <c r="I1172" s="3"/>
      <c r="J1172" s="3"/>
      <c r="K1172" s="3"/>
      <c r="L1172" s="3"/>
    </row>
    <row r="1173" spans="9:12" x14ac:dyDescent="0.25">
      <c r="I1173" s="3"/>
      <c r="J1173" s="3"/>
      <c r="K1173" s="3"/>
      <c r="L1173" s="3"/>
    </row>
    <row r="1174" spans="9:12" x14ac:dyDescent="0.25">
      <c r="I1174" s="3"/>
      <c r="J1174" s="3"/>
      <c r="K1174" s="3"/>
      <c r="L1174" s="3"/>
    </row>
    <row r="1175" spans="9:12" x14ac:dyDescent="0.25">
      <c r="I1175" s="3"/>
      <c r="J1175" s="3"/>
      <c r="K1175" s="3"/>
      <c r="L1175" s="3"/>
    </row>
    <row r="1176" spans="9:12" x14ac:dyDescent="0.25">
      <c r="I1176" s="3"/>
      <c r="J1176" s="3"/>
      <c r="K1176" s="3"/>
      <c r="L1176" s="3"/>
    </row>
    <row r="1177" spans="9:12" x14ac:dyDescent="0.25">
      <c r="I1177" s="4"/>
      <c r="J1177" s="4"/>
      <c r="K1177" s="4"/>
      <c r="L1177" s="4"/>
    </row>
    <row r="1178" spans="9:12" x14ac:dyDescent="0.25">
      <c r="I1178" s="3"/>
      <c r="J1178" s="3"/>
      <c r="K1178" s="3"/>
      <c r="L1178" s="3"/>
    </row>
    <row r="1179" spans="9:12" x14ac:dyDescent="0.25">
      <c r="I1179" s="3"/>
      <c r="J1179" s="3"/>
      <c r="K1179" s="3"/>
      <c r="L1179" s="3"/>
    </row>
    <row r="1180" spans="9:12" x14ac:dyDescent="0.25">
      <c r="I1180" s="3"/>
      <c r="J1180" s="3"/>
      <c r="K1180" s="3"/>
      <c r="L1180" s="3"/>
    </row>
    <row r="1181" spans="9:12" x14ac:dyDescent="0.25">
      <c r="I1181" s="3"/>
      <c r="J1181" s="3"/>
      <c r="K1181" s="3"/>
      <c r="L1181" s="3"/>
    </row>
    <row r="1182" spans="9:12" x14ac:dyDescent="0.25">
      <c r="I1182" s="3"/>
      <c r="J1182" s="3"/>
      <c r="K1182" s="3"/>
      <c r="L1182" s="3"/>
    </row>
    <row r="1183" spans="9:12" x14ac:dyDescent="0.25">
      <c r="I1183" s="3"/>
      <c r="J1183" s="3"/>
      <c r="K1183" s="3"/>
      <c r="L1183" s="3"/>
    </row>
    <row r="1184" spans="9:12" x14ac:dyDescent="0.25">
      <c r="I1184" s="3"/>
      <c r="J1184" s="3"/>
      <c r="K1184" s="3"/>
      <c r="L1184" s="3"/>
    </row>
    <row r="1185" spans="9:12" x14ac:dyDescent="0.25">
      <c r="I1185" s="3"/>
      <c r="J1185" s="3"/>
      <c r="K1185" s="3"/>
      <c r="L1185" s="3"/>
    </row>
    <row r="1186" spans="9:12" x14ac:dyDescent="0.25">
      <c r="I1186" s="3"/>
      <c r="J1186" s="3"/>
      <c r="K1186" s="3"/>
      <c r="L1186" s="3"/>
    </row>
    <row r="1187" spans="9:12" x14ac:dyDescent="0.25">
      <c r="I1187" s="3"/>
      <c r="J1187" s="3"/>
      <c r="K1187" s="3"/>
      <c r="L1187" s="3"/>
    </row>
    <row r="1188" spans="9:12" x14ac:dyDescent="0.25">
      <c r="I1188" s="3"/>
      <c r="J1188" s="3"/>
      <c r="K1188" s="3"/>
      <c r="L1188" s="3"/>
    </row>
    <row r="1189" spans="9:12" x14ac:dyDescent="0.25">
      <c r="I1189" s="3"/>
      <c r="J1189" s="3"/>
      <c r="K1189" s="3"/>
      <c r="L1189" s="3"/>
    </row>
    <row r="1190" spans="9:12" x14ac:dyDescent="0.25">
      <c r="I1190" s="3"/>
      <c r="J1190" s="3"/>
      <c r="K1190" s="3"/>
      <c r="L1190" s="3"/>
    </row>
    <row r="1191" spans="9:12" x14ac:dyDescent="0.25">
      <c r="I1191" s="3"/>
      <c r="J1191" s="3"/>
      <c r="K1191" s="3"/>
      <c r="L1191" s="3"/>
    </row>
    <row r="1192" spans="9:12" x14ac:dyDescent="0.25">
      <c r="I1192" s="3"/>
      <c r="J1192" s="3"/>
      <c r="K1192" s="3"/>
      <c r="L1192" s="3"/>
    </row>
    <row r="1193" spans="9:12" x14ac:dyDescent="0.25">
      <c r="I1193" s="3"/>
      <c r="J1193" s="3"/>
      <c r="K1193" s="3"/>
      <c r="L1193" s="3"/>
    </row>
    <row r="1194" spans="9:12" x14ac:dyDescent="0.25">
      <c r="I1194" s="3"/>
      <c r="J1194" s="3"/>
      <c r="K1194" s="3"/>
      <c r="L1194" s="3"/>
    </row>
    <row r="1195" spans="9:12" x14ac:dyDescent="0.25">
      <c r="I1195" s="3"/>
      <c r="J1195" s="3"/>
      <c r="K1195" s="3"/>
      <c r="L1195" s="3"/>
    </row>
    <row r="1196" spans="9:12" x14ac:dyDescent="0.25">
      <c r="I1196" s="3"/>
      <c r="J1196" s="3"/>
      <c r="K1196" s="3"/>
      <c r="L1196" s="3"/>
    </row>
    <row r="1197" spans="9:12" x14ac:dyDescent="0.25">
      <c r="I1197" s="3"/>
      <c r="J1197" s="3"/>
      <c r="K1197" s="3"/>
      <c r="L1197" s="3"/>
    </row>
    <row r="1198" spans="9:12" x14ac:dyDescent="0.25">
      <c r="I1198" s="3"/>
      <c r="J1198" s="3"/>
      <c r="K1198" s="3"/>
      <c r="L1198" s="3"/>
    </row>
    <row r="1199" spans="9:12" x14ac:dyDescent="0.25">
      <c r="I1199" s="3"/>
      <c r="J1199" s="3"/>
      <c r="K1199" s="3"/>
      <c r="L1199" s="3"/>
    </row>
    <row r="1200" spans="9:12" x14ac:dyDescent="0.25">
      <c r="I1200" s="3"/>
      <c r="J1200" s="3"/>
      <c r="K1200" s="3"/>
      <c r="L1200" s="3"/>
    </row>
    <row r="1201" spans="9:12" x14ac:dyDescent="0.25">
      <c r="I1201" s="3"/>
      <c r="J1201" s="3"/>
      <c r="K1201" s="3"/>
      <c r="L1201" s="3"/>
    </row>
    <row r="1202" spans="9:12" x14ac:dyDescent="0.25">
      <c r="I1202" s="3"/>
      <c r="J1202" s="3"/>
      <c r="K1202" s="3"/>
      <c r="L1202" s="3"/>
    </row>
    <row r="1203" spans="9:12" x14ac:dyDescent="0.25">
      <c r="I1203" s="3"/>
      <c r="J1203" s="3"/>
      <c r="K1203" s="3"/>
      <c r="L1203" s="3"/>
    </row>
    <row r="1204" spans="9:12" x14ac:dyDescent="0.25">
      <c r="I1204" s="3"/>
      <c r="J1204" s="3"/>
      <c r="K1204" s="3"/>
      <c r="L1204" s="3"/>
    </row>
    <row r="1205" spans="9:12" x14ac:dyDescent="0.25">
      <c r="I1205" s="3"/>
      <c r="J1205" s="3"/>
      <c r="K1205" s="3"/>
      <c r="L1205" s="3"/>
    </row>
    <row r="1206" spans="9:12" x14ac:dyDescent="0.25">
      <c r="I1206" s="3"/>
      <c r="J1206" s="3"/>
      <c r="K1206" s="3"/>
      <c r="L1206" s="3"/>
    </row>
    <row r="1207" spans="9:12" x14ac:dyDescent="0.25">
      <c r="I1207" s="3"/>
      <c r="J1207" s="3"/>
      <c r="K1207" s="3"/>
      <c r="L1207" s="3"/>
    </row>
    <row r="1208" spans="9:12" x14ac:dyDescent="0.25">
      <c r="I1208" s="3"/>
      <c r="J1208" s="3"/>
      <c r="K1208" s="3"/>
      <c r="L1208" s="3"/>
    </row>
    <row r="1209" spans="9:12" x14ac:dyDescent="0.25">
      <c r="I1209" s="3"/>
      <c r="J1209" s="3"/>
      <c r="K1209" s="3"/>
      <c r="L1209" s="3"/>
    </row>
    <row r="1210" spans="9:12" x14ac:dyDescent="0.25">
      <c r="I1210" s="3"/>
      <c r="J1210" s="3"/>
      <c r="K1210" s="3"/>
      <c r="L1210" s="3"/>
    </row>
    <row r="1211" spans="9:12" x14ac:dyDescent="0.25">
      <c r="I1211" s="3"/>
      <c r="J1211" s="3"/>
      <c r="K1211" s="3"/>
      <c r="L1211" s="3"/>
    </row>
    <row r="1212" spans="9:12" x14ac:dyDescent="0.25">
      <c r="I1212" s="3"/>
      <c r="J1212" s="3"/>
      <c r="K1212" s="3"/>
      <c r="L1212" s="3"/>
    </row>
    <row r="1213" spans="9:12" x14ac:dyDescent="0.25">
      <c r="I1213" s="3"/>
      <c r="J1213" s="3"/>
      <c r="K1213" s="3"/>
      <c r="L1213" s="3"/>
    </row>
    <row r="1214" spans="9:12" x14ac:dyDescent="0.25">
      <c r="I1214" s="3"/>
      <c r="J1214" s="3"/>
      <c r="K1214" s="3"/>
      <c r="L1214" s="3"/>
    </row>
    <row r="1215" spans="9:12" x14ac:dyDescent="0.25">
      <c r="I1215" s="4"/>
      <c r="J1215" s="4"/>
      <c r="K1215" s="4"/>
      <c r="L1215" s="4"/>
    </row>
    <row r="1216" spans="9:12" x14ac:dyDescent="0.25">
      <c r="I1216" s="4"/>
      <c r="J1216" s="4"/>
      <c r="K1216" s="4"/>
      <c r="L1216" s="4"/>
    </row>
    <row r="1217" spans="9:12" x14ac:dyDescent="0.25">
      <c r="I1217" s="3"/>
      <c r="J1217" s="3"/>
      <c r="K1217" s="3"/>
      <c r="L1217" s="3"/>
    </row>
    <row r="1218" spans="9:12" x14ac:dyDescent="0.25">
      <c r="I1218" s="3"/>
      <c r="J1218" s="3"/>
      <c r="K1218" s="3"/>
      <c r="L1218" s="3"/>
    </row>
    <row r="1219" spans="9:12" x14ac:dyDescent="0.25">
      <c r="I1219" s="3"/>
      <c r="J1219" s="3"/>
      <c r="K1219" s="3"/>
      <c r="L1219" s="3"/>
    </row>
    <row r="1220" spans="9:12" x14ac:dyDescent="0.25">
      <c r="I1220" s="3"/>
      <c r="J1220" s="3"/>
      <c r="K1220" s="3"/>
      <c r="L1220" s="3"/>
    </row>
    <row r="1221" spans="9:12" x14ac:dyDescent="0.25">
      <c r="I1221" s="3"/>
      <c r="J1221" s="3"/>
      <c r="K1221" s="3"/>
      <c r="L1221" s="3"/>
    </row>
    <row r="1222" spans="9:12" x14ac:dyDescent="0.25">
      <c r="I1222" s="3"/>
      <c r="J1222" s="3"/>
      <c r="K1222" s="3"/>
      <c r="L1222" s="3"/>
    </row>
    <row r="1223" spans="9:12" x14ac:dyDescent="0.25">
      <c r="I1223" s="3"/>
      <c r="J1223" s="3"/>
      <c r="K1223" s="3"/>
      <c r="L1223" s="3"/>
    </row>
    <row r="1224" spans="9:12" x14ac:dyDescent="0.25">
      <c r="I1224" s="3"/>
      <c r="J1224" s="3"/>
      <c r="K1224" s="3"/>
      <c r="L1224" s="3"/>
    </row>
    <row r="1225" spans="9:12" x14ac:dyDescent="0.25">
      <c r="I1225" s="3"/>
      <c r="J1225" s="3"/>
      <c r="K1225" s="3"/>
      <c r="L1225" s="3"/>
    </row>
    <row r="1226" spans="9:12" x14ac:dyDescent="0.25">
      <c r="I1226" s="3"/>
      <c r="J1226" s="3"/>
      <c r="K1226" s="3"/>
      <c r="L1226" s="3"/>
    </row>
    <row r="1227" spans="9:12" x14ac:dyDescent="0.25">
      <c r="I1227" s="3"/>
      <c r="J1227" s="3"/>
      <c r="K1227" s="3"/>
      <c r="L1227" s="3"/>
    </row>
    <row r="1228" spans="9:12" x14ac:dyDescent="0.25">
      <c r="I1228" s="3"/>
      <c r="J1228" s="3"/>
      <c r="K1228" s="3"/>
      <c r="L1228" s="3"/>
    </row>
    <row r="1229" spans="9:12" x14ac:dyDescent="0.25">
      <c r="I1229" s="3"/>
      <c r="J1229" s="3"/>
      <c r="K1229" s="3"/>
      <c r="L1229" s="3"/>
    </row>
    <row r="1230" spans="9:12" x14ac:dyDescent="0.25">
      <c r="I1230" s="3"/>
      <c r="J1230" s="3"/>
      <c r="K1230" s="3"/>
      <c r="L1230" s="3"/>
    </row>
    <row r="1231" spans="9:12" x14ac:dyDescent="0.25">
      <c r="I1231" s="3"/>
      <c r="J1231" s="3"/>
      <c r="K1231" s="3"/>
      <c r="L1231" s="3"/>
    </row>
    <row r="1232" spans="9:12" x14ac:dyDescent="0.25">
      <c r="I1232" s="3"/>
      <c r="J1232" s="3"/>
      <c r="K1232" s="3"/>
      <c r="L1232" s="3"/>
    </row>
    <row r="1233" spans="9:12" x14ac:dyDescent="0.25">
      <c r="I1233" s="3"/>
      <c r="J1233" s="3"/>
      <c r="K1233" s="3"/>
      <c r="L1233" s="3"/>
    </row>
    <row r="1234" spans="9:12" x14ac:dyDescent="0.25">
      <c r="I1234" s="3"/>
      <c r="J1234" s="3"/>
      <c r="K1234" s="3"/>
      <c r="L1234" s="3"/>
    </row>
    <row r="1235" spans="9:12" x14ac:dyDescent="0.25">
      <c r="I1235" s="3"/>
      <c r="J1235" s="3"/>
      <c r="K1235" s="3"/>
      <c r="L1235" s="3"/>
    </row>
    <row r="1236" spans="9:12" x14ac:dyDescent="0.25">
      <c r="I1236" s="3"/>
      <c r="J1236" s="3"/>
      <c r="K1236" s="3"/>
      <c r="L1236" s="3"/>
    </row>
    <row r="1237" spans="9:12" x14ac:dyDescent="0.25">
      <c r="I1237" s="3"/>
      <c r="J1237" s="3"/>
      <c r="K1237" s="3"/>
      <c r="L1237" s="3"/>
    </row>
    <row r="1238" spans="9:12" x14ac:dyDescent="0.25">
      <c r="I1238" s="3"/>
      <c r="J1238" s="3"/>
      <c r="K1238" s="3"/>
      <c r="L1238" s="3"/>
    </row>
    <row r="1239" spans="9:12" x14ac:dyDescent="0.25">
      <c r="I1239" s="3"/>
      <c r="J1239" s="3"/>
      <c r="K1239" s="3"/>
      <c r="L1239" s="3"/>
    </row>
    <row r="1240" spans="9:12" x14ac:dyDescent="0.25">
      <c r="I1240" s="3"/>
      <c r="J1240" s="3"/>
      <c r="K1240" s="3"/>
      <c r="L1240" s="3"/>
    </row>
    <row r="1241" spans="9:12" x14ac:dyDescent="0.25">
      <c r="I1241" s="3"/>
      <c r="J1241" s="3"/>
      <c r="K1241" s="3"/>
      <c r="L1241" s="3"/>
    </row>
    <row r="1242" spans="9:12" x14ac:dyDescent="0.25">
      <c r="I1242" s="4"/>
      <c r="J1242" s="4"/>
      <c r="K1242" s="4"/>
      <c r="L1242" s="4"/>
    </row>
    <row r="1243" spans="9:12" x14ac:dyDescent="0.25">
      <c r="I1243" s="3"/>
      <c r="J1243" s="3"/>
      <c r="K1243" s="3"/>
      <c r="L1243" s="3"/>
    </row>
    <row r="1244" spans="9:12" x14ac:dyDescent="0.25">
      <c r="I1244" s="3"/>
      <c r="J1244" s="3"/>
      <c r="K1244" s="3"/>
      <c r="L1244" s="3"/>
    </row>
    <row r="1245" spans="9:12" x14ac:dyDescent="0.25">
      <c r="I1245" s="3"/>
      <c r="J1245" s="3"/>
      <c r="K1245" s="3"/>
      <c r="L1245" s="3"/>
    </row>
    <row r="1246" spans="9:12" x14ac:dyDescent="0.25">
      <c r="I1246" s="3"/>
      <c r="J1246" s="3"/>
      <c r="K1246" s="3"/>
      <c r="L1246" s="3"/>
    </row>
    <row r="1247" spans="9:12" x14ac:dyDescent="0.25">
      <c r="I1247" s="3"/>
      <c r="J1247" s="3"/>
      <c r="K1247" s="3"/>
      <c r="L1247" s="3"/>
    </row>
    <row r="1248" spans="9:12" x14ac:dyDescent="0.25">
      <c r="I1248" s="3"/>
      <c r="J1248" s="3"/>
      <c r="K1248" s="3"/>
      <c r="L1248" s="3"/>
    </row>
    <row r="1249" spans="9:12" x14ac:dyDescent="0.25">
      <c r="I1249" s="3"/>
      <c r="J1249" s="3"/>
      <c r="K1249" s="3"/>
      <c r="L1249" s="3"/>
    </row>
    <row r="1250" spans="9:12" x14ac:dyDescent="0.25">
      <c r="I1250" s="3"/>
      <c r="J1250" s="3"/>
      <c r="K1250" s="3"/>
      <c r="L1250" s="3"/>
    </row>
    <row r="1251" spans="9:12" x14ac:dyDescent="0.25">
      <c r="I1251" s="3"/>
      <c r="J1251" s="3"/>
      <c r="K1251" s="3"/>
      <c r="L1251" s="3"/>
    </row>
    <row r="1252" spans="9:12" x14ac:dyDescent="0.25">
      <c r="I1252" s="3"/>
      <c r="J1252" s="3"/>
      <c r="K1252" s="3"/>
      <c r="L1252" s="3"/>
    </row>
    <row r="1253" spans="9:12" x14ac:dyDescent="0.25">
      <c r="I1253" s="3"/>
      <c r="J1253" s="3"/>
      <c r="K1253" s="3"/>
      <c r="L1253" s="3"/>
    </row>
    <row r="1254" spans="9:12" x14ac:dyDescent="0.25">
      <c r="I1254" s="3"/>
      <c r="J1254" s="3"/>
      <c r="K1254" s="3"/>
      <c r="L1254" s="3"/>
    </row>
    <row r="1255" spans="9:12" x14ac:dyDescent="0.25">
      <c r="I1255" s="3"/>
      <c r="J1255" s="3"/>
      <c r="K1255" s="3"/>
      <c r="L1255" s="3"/>
    </row>
    <row r="1256" spans="9:12" x14ac:dyDescent="0.25">
      <c r="I1256" s="3"/>
      <c r="J1256" s="3"/>
      <c r="K1256" s="3"/>
      <c r="L1256" s="3"/>
    </row>
    <row r="1257" spans="9:12" x14ac:dyDescent="0.25">
      <c r="I1257" s="3"/>
      <c r="J1257" s="3"/>
      <c r="K1257" s="3"/>
      <c r="L1257" s="3"/>
    </row>
    <row r="1258" spans="9:12" x14ac:dyDescent="0.25">
      <c r="I1258" s="3"/>
      <c r="J1258" s="3"/>
      <c r="K1258" s="3"/>
      <c r="L1258" s="3"/>
    </row>
    <row r="1259" spans="9:12" x14ac:dyDescent="0.25">
      <c r="I1259" s="3"/>
      <c r="J1259" s="3"/>
      <c r="K1259" s="3"/>
      <c r="L1259" s="3"/>
    </row>
    <row r="1260" spans="9:12" x14ac:dyDescent="0.25">
      <c r="I1260" s="3"/>
      <c r="J1260" s="3"/>
      <c r="K1260" s="3"/>
      <c r="L1260" s="3"/>
    </row>
    <row r="1261" spans="9:12" x14ac:dyDescent="0.25">
      <c r="I1261" s="3"/>
      <c r="J1261" s="3"/>
      <c r="K1261" s="3"/>
      <c r="L1261" s="3"/>
    </row>
    <row r="1262" spans="9:12" x14ac:dyDescent="0.25">
      <c r="I1262" s="3"/>
      <c r="J1262" s="3"/>
      <c r="K1262" s="3"/>
      <c r="L1262" s="3"/>
    </row>
    <row r="1263" spans="9:12" x14ac:dyDescent="0.25">
      <c r="I1263" s="3"/>
      <c r="J1263" s="3"/>
      <c r="K1263" s="3"/>
      <c r="L1263" s="3"/>
    </row>
    <row r="1264" spans="9:12" x14ac:dyDescent="0.25">
      <c r="I1264" s="3"/>
      <c r="J1264" s="3"/>
      <c r="K1264" s="3"/>
      <c r="L1264" s="3"/>
    </row>
    <row r="1265" spans="9:12" x14ac:dyDescent="0.25">
      <c r="I1265" s="3"/>
      <c r="J1265" s="3"/>
      <c r="K1265" s="3"/>
      <c r="L1265" s="3"/>
    </row>
    <row r="1266" spans="9:12" x14ac:dyDescent="0.25">
      <c r="I1266" s="3"/>
      <c r="J1266" s="3"/>
      <c r="K1266" s="3"/>
      <c r="L1266" s="3"/>
    </row>
    <row r="1267" spans="9:12" x14ac:dyDescent="0.25">
      <c r="I1267" s="3"/>
      <c r="J1267" s="3"/>
      <c r="K1267" s="3"/>
      <c r="L1267" s="3"/>
    </row>
    <row r="1268" spans="9:12" x14ac:dyDescent="0.25">
      <c r="I1268" s="3"/>
      <c r="J1268" s="3"/>
      <c r="K1268" s="3"/>
      <c r="L1268" s="3"/>
    </row>
    <row r="1269" spans="9:12" x14ac:dyDescent="0.25">
      <c r="I1269" s="3"/>
      <c r="J1269" s="3"/>
      <c r="K1269" s="3"/>
      <c r="L1269" s="3"/>
    </row>
    <row r="1270" spans="9:12" x14ac:dyDescent="0.25">
      <c r="I1270" s="3"/>
      <c r="J1270" s="3"/>
      <c r="K1270" s="3"/>
      <c r="L1270" s="3"/>
    </row>
    <row r="1271" spans="9:12" x14ac:dyDescent="0.25">
      <c r="I1271" s="3"/>
      <c r="J1271" s="3"/>
      <c r="K1271" s="3"/>
      <c r="L1271" s="3"/>
    </row>
    <row r="1272" spans="9:12" x14ac:dyDescent="0.25">
      <c r="I1272" s="3"/>
      <c r="J1272" s="3"/>
      <c r="K1272" s="3"/>
      <c r="L1272" s="3"/>
    </row>
    <row r="1273" spans="9:12" x14ac:dyDescent="0.25">
      <c r="I1273" s="3"/>
      <c r="J1273" s="3"/>
      <c r="K1273" s="3"/>
      <c r="L1273" s="3"/>
    </row>
    <row r="1274" spans="9:12" x14ac:dyDescent="0.25">
      <c r="I1274" s="3"/>
      <c r="J1274" s="3"/>
      <c r="K1274" s="3"/>
      <c r="L1274" s="3"/>
    </row>
    <row r="1275" spans="9:12" x14ac:dyDescent="0.25">
      <c r="I1275" s="3"/>
      <c r="J1275" s="3"/>
      <c r="K1275" s="3"/>
      <c r="L1275" s="3"/>
    </row>
    <row r="1276" spans="9:12" x14ac:dyDescent="0.25">
      <c r="I1276" s="3"/>
      <c r="J1276" s="3"/>
      <c r="K1276" s="3"/>
      <c r="L1276" s="3"/>
    </row>
    <row r="1277" spans="9:12" x14ac:dyDescent="0.25">
      <c r="I1277" s="3"/>
      <c r="J1277" s="3"/>
      <c r="K1277" s="3"/>
      <c r="L1277" s="3"/>
    </row>
    <row r="1278" spans="9:12" x14ac:dyDescent="0.25">
      <c r="I1278" s="3"/>
      <c r="J1278" s="3"/>
      <c r="K1278" s="3"/>
      <c r="L1278" s="3"/>
    </row>
    <row r="1279" spans="9:12" x14ac:dyDescent="0.25">
      <c r="I1279" s="3"/>
      <c r="J1279" s="3"/>
      <c r="K1279" s="3"/>
      <c r="L1279" s="3"/>
    </row>
    <row r="1280" spans="9:12" x14ac:dyDescent="0.25">
      <c r="I1280" s="3"/>
      <c r="J1280" s="3"/>
      <c r="K1280" s="3"/>
      <c r="L1280" s="3"/>
    </row>
    <row r="1281" spans="9:12" x14ac:dyDescent="0.25">
      <c r="I1281" s="3"/>
      <c r="J1281" s="3"/>
      <c r="K1281" s="3"/>
      <c r="L1281" s="3"/>
    </row>
    <row r="1282" spans="9:12" x14ac:dyDescent="0.25">
      <c r="I1282" s="3"/>
      <c r="J1282" s="3"/>
      <c r="K1282" s="3"/>
      <c r="L1282" s="3"/>
    </row>
    <row r="1283" spans="9:12" x14ac:dyDescent="0.25">
      <c r="I1283" s="3"/>
      <c r="J1283" s="3"/>
      <c r="K1283" s="3"/>
      <c r="L1283" s="3"/>
    </row>
    <row r="1284" spans="9:12" x14ac:dyDescent="0.25">
      <c r="I1284" s="3"/>
      <c r="J1284" s="3"/>
      <c r="K1284" s="3"/>
      <c r="L1284" s="3"/>
    </row>
    <row r="1285" spans="9:12" x14ac:dyDescent="0.25">
      <c r="I1285" s="3"/>
      <c r="J1285" s="3"/>
      <c r="K1285" s="3"/>
      <c r="L1285" s="3"/>
    </row>
    <row r="1286" spans="9:12" x14ac:dyDescent="0.25">
      <c r="I1286" s="3"/>
      <c r="J1286" s="3"/>
      <c r="K1286" s="3"/>
      <c r="L1286" s="3"/>
    </row>
    <row r="1287" spans="9:12" x14ac:dyDescent="0.25">
      <c r="I1287" s="3"/>
      <c r="J1287" s="3"/>
      <c r="K1287" s="3"/>
      <c r="L1287" s="3"/>
    </row>
    <row r="1288" spans="9:12" x14ac:dyDescent="0.25">
      <c r="I1288" s="3"/>
      <c r="J1288" s="3"/>
      <c r="K1288" s="3"/>
      <c r="L1288" s="3"/>
    </row>
    <row r="1289" spans="9:12" x14ac:dyDescent="0.25">
      <c r="I1289" s="3"/>
      <c r="J1289" s="3"/>
      <c r="K1289" s="3"/>
      <c r="L1289" s="3"/>
    </row>
    <row r="1290" spans="9:12" x14ac:dyDescent="0.25">
      <c r="I1290" s="3"/>
      <c r="J1290" s="3"/>
      <c r="K1290" s="3"/>
      <c r="L1290" s="3"/>
    </row>
    <row r="1291" spans="9:12" x14ac:dyDescent="0.25">
      <c r="I1291" s="3"/>
      <c r="J1291" s="3"/>
      <c r="K1291" s="3"/>
      <c r="L1291" s="3"/>
    </row>
    <row r="1292" spans="9:12" x14ac:dyDescent="0.25">
      <c r="I1292" s="3"/>
      <c r="J1292" s="3"/>
      <c r="K1292" s="3"/>
      <c r="L1292" s="3"/>
    </row>
    <row r="1293" spans="9:12" x14ac:dyDescent="0.25">
      <c r="I1293" s="3"/>
      <c r="J1293" s="3"/>
      <c r="K1293" s="3"/>
      <c r="L1293" s="3"/>
    </row>
    <row r="1294" spans="9:12" x14ac:dyDescent="0.25">
      <c r="I1294" s="3"/>
      <c r="J1294" s="3"/>
      <c r="K1294" s="3"/>
      <c r="L1294" s="3"/>
    </row>
    <row r="1295" spans="9:12" x14ac:dyDescent="0.25">
      <c r="I1295" s="4"/>
      <c r="J1295" s="4"/>
      <c r="K1295" s="4"/>
      <c r="L1295" s="4"/>
    </row>
    <row r="1296" spans="9:12" x14ac:dyDescent="0.25">
      <c r="I1296" s="4"/>
      <c r="J1296" s="4"/>
      <c r="K1296" s="4"/>
      <c r="L1296" s="4"/>
    </row>
    <row r="1297" spans="9:12" x14ac:dyDescent="0.25">
      <c r="I1297" s="4"/>
      <c r="J1297" s="4"/>
      <c r="K1297" s="4"/>
      <c r="L1297" s="4"/>
    </row>
    <row r="1298" spans="9:12" x14ac:dyDescent="0.25">
      <c r="I1298" s="4"/>
      <c r="J1298" s="4"/>
      <c r="K1298" s="4"/>
      <c r="L1298" s="4"/>
    </row>
    <row r="1299" spans="9:12" x14ac:dyDescent="0.25">
      <c r="I1299" s="4"/>
      <c r="J1299" s="4"/>
      <c r="K1299" s="4"/>
      <c r="L1299" s="4"/>
    </row>
    <row r="1300" spans="9:12" x14ac:dyDescent="0.25">
      <c r="I1300" s="4"/>
      <c r="J1300" s="4"/>
      <c r="K1300" s="4"/>
      <c r="L1300" s="4"/>
    </row>
    <row r="1301" spans="9:12" x14ac:dyDescent="0.25">
      <c r="I1301" s="3"/>
      <c r="J1301" s="3"/>
      <c r="K1301" s="3"/>
      <c r="L1301" s="3"/>
    </row>
    <row r="1302" spans="9:12" x14ac:dyDescent="0.25">
      <c r="I1302" s="3"/>
      <c r="J1302" s="3"/>
      <c r="K1302" s="3"/>
      <c r="L1302" s="3"/>
    </row>
    <row r="1303" spans="9:12" x14ac:dyDescent="0.25">
      <c r="I1303" s="3"/>
      <c r="J1303" s="3"/>
      <c r="K1303" s="3"/>
      <c r="L1303" s="3"/>
    </row>
    <row r="1304" spans="9:12" x14ac:dyDescent="0.25">
      <c r="I1304" s="3"/>
      <c r="J1304" s="3"/>
      <c r="K1304" s="3"/>
      <c r="L1304" s="3"/>
    </row>
    <row r="1305" spans="9:12" x14ac:dyDescent="0.25">
      <c r="I1305" s="3"/>
      <c r="J1305" s="3"/>
      <c r="K1305" s="3"/>
      <c r="L1305" s="3"/>
    </row>
    <row r="1306" spans="9:12" x14ac:dyDescent="0.25">
      <c r="I1306" s="3"/>
      <c r="J1306" s="3"/>
      <c r="K1306" s="3"/>
      <c r="L1306" s="3"/>
    </row>
    <row r="1307" spans="9:12" x14ac:dyDescent="0.25">
      <c r="I1307" s="3"/>
      <c r="J1307" s="3"/>
      <c r="K1307" s="3"/>
      <c r="L1307" s="3"/>
    </row>
    <row r="1308" spans="9:12" x14ac:dyDescent="0.25">
      <c r="I1308" s="3"/>
      <c r="J1308" s="3"/>
      <c r="K1308" s="3"/>
      <c r="L1308" s="3"/>
    </row>
    <row r="1309" spans="9:12" x14ac:dyDescent="0.25">
      <c r="I1309" s="3"/>
      <c r="J1309" s="3"/>
      <c r="K1309" s="3"/>
      <c r="L1309" s="3"/>
    </row>
    <row r="1310" spans="9:12" x14ac:dyDescent="0.25">
      <c r="I1310" s="3"/>
      <c r="J1310" s="3"/>
      <c r="K1310" s="3"/>
      <c r="L1310" s="3"/>
    </row>
    <row r="1311" spans="9:12" x14ac:dyDescent="0.25">
      <c r="I1311" s="3"/>
      <c r="J1311" s="3"/>
      <c r="K1311" s="3"/>
      <c r="L1311" s="3"/>
    </row>
    <row r="1312" spans="9:12" x14ac:dyDescent="0.25">
      <c r="I1312" s="3"/>
      <c r="J1312" s="3"/>
      <c r="K1312" s="3"/>
      <c r="L1312" s="3"/>
    </row>
    <row r="1313" spans="9:12" x14ac:dyDescent="0.25">
      <c r="I1313" s="3"/>
      <c r="J1313" s="3"/>
      <c r="K1313" s="3"/>
      <c r="L1313" s="3"/>
    </row>
    <row r="1314" spans="9:12" x14ac:dyDescent="0.25">
      <c r="I1314" s="3"/>
      <c r="J1314" s="3"/>
      <c r="K1314" s="3"/>
      <c r="L1314" s="3"/>
    </row>
    <row r="1315" spans="9:12" x14ac:dyDescent="0.25">
      <c r="I1315" s="3"/>
      <c r="J1315" s="3"/>
      <c r="K1315" s="3"/>
      <c r="L1315" s="3"/>
    </row>
    <row r="1316" spans="9:12" x14ac:dyDescent="0.25">
      <c r="I1316" s="3"/>
      <c r="J1316" s="3"/>
      <c r="K1316" s="3"/>
      <c r="L1316" s="3"/>
    </row>
    <row r="1317" spans="9:12" x14ac:dyDescent="0.25">
      <c r="I1317" s="3"/>
      <c r="J1317" s="3"/>
      <c r="K1317" s="3"/>
      <c r="L1317" s="3"/>
    </row>
    <row r="1318" spans="9:12" x14ac:dyDescent="0.25">
      <c r="I1318" s="3"/>
      <c r="J1318" s="3"/>
      <c r="K1318" s="3"/>
      <c r="L1318" s="3"/>
    </row>
    <row r="1319" spans="9:12" x14ac:dyDescent="0.25">
      <c r="I1319" s="3"/>
      <c r="J1319" s="3"/>
      <c r="K1319" s="3"/>
      <c r="L1319" s="3"/>
    </row>
    <row r="1320" spans="9:12" x14ac:dyDescent="0.25">
      <c r="I1320" s="3"/>
      <c r="J1320" s="3"/>
      <c r="K1320" s="3"/>
      <c r="L1320" s="3"/>
    </row>
    <row r="1321" spans="9:12" x14ac:dyDescent="0.25">
      <c r="I1321" s="3"/>
      <c r="J1321" s="3"/>
      <c r="K1321" s="3"/>
      <c r="L1321" s="3"/>
    </row>
    <row r="1322" spans="9:12" x14ac:dyDescent="0.25">
      <c r="I1322" s="3"/>
      <c r="J1322" s="3"/>
      <c r="K1322" s="3"/>
      <c r="L1322" s="3"/>
    </row>
    <row r="1323" spans="9:12" x14ac:dyDescent="0.25">
      <c r="I1323" s="3"/>
      <c r="J1323" s="3"/>
      <c r="K1323" s="3"/>
      <c r="L1323" s="3"/>
    </row>
    <row r="1324" spans="9:12" x14ac:dyDescent="0.25">
      <c r="I1324" s="3"/>
      <c r="J1324" s="3"/>
      <c r="K1324" s="3"/>
      <c r="L1324" s="3"/>
    </row>
    <row r="1325" spans="9:12" x14ac:dyDescent="0.25">
      <c r="I1325" s="3"/>
      <c r="J1325" s="3"/>
      <c r="K1325" s="3"/>
      <c r="L1325" s="3"/>
    </row>
    <row r="1326" spans="9:12" x14ac:dyDescent="0.25">
      <c r="I1326" s="3"/>
      <c r="J1326" s="3"/>
      <c r="K1326" s="3"/>
      <c r="L1326" s="3"/>
    </row>
    <row r="1327" spans="9:12" x14ac:dyDescent="0.25">
      <c r="I1327" s="3"/>
      <c r="J1327" s="3"/>
      <c r="K1327" s="3"/>
      <c r="L1327" s="3"/>
    </row>
    <row r="1328" spans="9:12" x14ac:dyDescent="0.25">
      <c r="I1328" s="3"/>
      <c r="J1328" s="3"/>
      <c r="K1328" s="3"/>
      <c r="L1328" s="3"/>
    </row>
    <row r="1329" spans="9:12" x14ac:dyDescent="0.25">
      <c r="I1329" s="3"/>
      <c r="J1329" s="3"/>
      <c r="K1329" s="3"/>
      <c r="L1329" s="3"/>
    </row>
    <row r="1330" spans="9:12" x14ac:dyDescent="0.25">
      <c r="I1330" s="3"/>
      <c r="J1330" s="3"/>
      <c r="K1330" s="3"/>
      <c r="L1330" s="3"/>
    </row>
    <row r="1331" spans="9:12" x14ac:dyDescent="0.25">
      <c r="I1331" s="3"/>
      <c r="J1331" s="3"/>
      <c r="K1331" s="3"/>
      <c r="L1331" s="3"/>
    </row>
    <row r="1332" spans="9:12" x14ac:dyDescent="0.25">
      <c r="I1332" s="3"/>
      <c r="J1332" s="3"/>
      <c r="K1332" s="3"/>
      <c r="L1332" s="3"/>
    </row>
    <row r="1333" spans="9:12" x14ac:dyDescent="0.25">
      <c r="I1333" s="3"/>
      <c r="J1333" s="3"/>
      <c r="K1333" s="3"/>
      <c r="L1333" s="3"/>
    </row>
    <row r="1334" spans="9:12" x14ac:dyDescent="0.25">
      <c r="I1334" s="3"/>
      <c r="J1334" s="3"/>
      <c r="K1334" s="3"/>
      <c r="L1334" s="3"/>
    </row>
    <row r="1335" spans="9:12" x14ac:dyDescent="0.25">
      <c r="I1335" s="3"/>
      <c r="J1335" s="3"/>
      <c r="K1335" s="3"/>
      <c r="L1335" s="3"/>
    </row>
    <row r="1336" spans="9:12" x14ac:dyDescent="0.25">
      <c r="I1336" s="3"/>
      <c r="J1336" s="3"/>
      <c r="K1336" s="3"/>
      <c r="L1336" s="3"/>
    </row>
    <row r="1337" spans="9:12" x14ac:dyDescent="0.25">
      <c r="I1337" s="3"/>
      <c r="J1337" s="3"/>
      <c r="K1337" s="3"/>
      <c r="L1337" s="3"/>
    </row>
    <row r="1338" spans="9:12" x14ac:dyDescent="0.25">
      <c r="I1338" s="3"/>
      <c r="J1338" s="3"/>
      <c r="K1338" s="3"/>
      <c r="L1338" s="3"/>
    </row>
    <row r="1339" spans="9:12" x14ac:dyDescent="0.25">
      <c r="I1339" s="3"/>
      <c r="J1339" s="3"/>
      <c r="K1339" s="3"/>
      <c r="L1339" s="3"/>
    </row>
    <row r="1340" spans="9:12" x14ac:dyDescent="0.25">
      <c r="I1340" s="3"/>
      <c r="J1340" s="3"/>
      <c r="K1340" s="3"/>
      <c r="L1340" s="3"/>
    </row>
    <row r="1341" spans="9:12" x14ac:dyDescent="0.25">
      <c r="I1341" s="3"/>
      <c r="J1341" s="3"/>
      <c r="K1341" s="3"/>
      <c r="L1341" s="3"/>
    </row>
    <row r="1342" spans="9:12" x14ac:dyDescent="0.25">
      <c r="I1342" s="3"/>
      <c r="J1342" s="3"/>
      <c r="K1342" s="3"/>
      <c r="L1342" s="3"/>
    </row>
    <row r="1343" spans="9:12" x14ac:dyDescent="0.25">
      <c r="I1343" s="3"/>
      <c r="J1343" s="3"/>
      <c r="K1343" s="3"/>
      <c r="L1343" s="3"/>
    </row>
    <row r="1344" spans="9:12" x14ac:dyDescent="0.25">
      <c r="I1344" s="3"/>
      <c r="J1344" s="3"/>
      <c r="K1344" s="3"/>
      <c r="L1344" s="3"/>
    </row>
    <row r="1345" spans="9:12" x14ac:dyDescent="0.25">
      <c r="I1345" s="3"/>
      <c r="J1345" s="3"/>
      <c r="K1345" s="3"/>
      <c r="L1345" s="3"/>
    </row>
    <row r="1346" spans="9:12" x14ac:dyDescent="0.25">
      <c r="I1346" s="3"/>
      <c r="J1346" s="3"/>
      <c r="K1346" s="3"/>
      <c r="L1346" s="3"/>
    </row>
    <row r="1347" spans="9:12" x14ac:dyDescent="0.25">
      <c r="I1347" s="3"/>
      <c r="J1347" s="3"/>
      <c r="K1347" s="3"/>
      <c r="L1347" s="3"/>
    </row>
    <row r="1348" spans="9:12" x14ac:dyDescent="0.25">
      <c r="I1348" s="3"/>
      <c r="J1348" s="3"/>
      <c r="K1348" s="3"/>
      <c r="L1348" s="3"/>
    </row>
    <row r="1349" spans="9:12" x14ac:dyDescent="0.25">
      <c r="I1349" s="3"/>
      <c r="J1349" s="3"/>
      <c r="K1349" s="3"/>
      <c r="L1349" s="3"/>
    </row>
    <row r="1350" spans="9:12" x14ac:dyDescent="0.25">
      <c r="I1350" s="3"/>
      <c r="J1350" s="3"/>
      <c r="K1350" s="3"/>
      <c r="L1350" s="3"/>
    </row>
    <row r="1351" spans="9:12" x14ac:dyDescent="0.25">
      <c r="I1351" s="3"/>
      <c r="J1351" s="3"/>
      <c r="K1351" s="3"/>
      <c r="L1351" s="3"/>
    </row>
    <row r="1352" spans="9:12" x14ac:dyDescent="0.25">
      <c r="I1352" s="3"/>
      <c r="J1352" s="3"/>
      <c r="K1352" s="3"/>
      <c r="L1352" s="3"/>
    </row>
    <row r="1353" spans="9:12" x14ac:dyDescent="0.25">
      <c r="I1353" s="3"/>
      <c r="J1353" s="3"/>
      <c r="K1353" s="3"/>
      <c r="L1353" s="3"/>
    </row>
    <row r="1354" spans="9:12" x14ac:dyDescent="0.25">
      <c r="I1354" s="3"/>
      <c r="J1354" s="3"/>
      <c r="K1354" s="3"/>
      <c r="L1354" s="3"/>
    </row>
    <row r="1355" spans="9:12" x14ac:dyDescent="0.25">
      <c r="I1355" s="3"/>
      <c r="J1355" s="3"/>
      <c r="K1355" s="3"/>
      <c r="L1355" s="3"/>
    </row>
    <row r="1356" spans="9:12" x14ac:dyDescent="0.25">
      <c r="I1356" s="3"/>
      <c r="J1356" s="3"/>
      <c r="K1356" s="3"/>
      <c r="L1356" s="3"/>
    </row>
    <row r="1357" spans="9:12" x14ac:dyDescent="0.25">
      <c r="I1357" s="3"/>
      <c r="J1357" s="3"/>
      <c r="K1357" s="3"/>
      <c r="L1357" s="3"/>
    </row>
    <row r="1358" spans="9:12" x14ac:dyDescent="0.25">
      <c r="I1358" s="3"/>
      <c r="J1358" s="3"/>
      <c r="K1358" s="3"/>
      <c r="L1358" s="3"/>
    </row>
    <row r="1359" spans="9:12" x14ac:dyDescent="0.25">
      <c r="I1359" s="3"/>
      <c r="J1359" s="3"/>
      <c r="K1359" s="3"/>
      <c r="L1359" s="3"/>
    </row>
    <row r="1360" spans="9:12" x14ac:dyDescent="0.25">
      <c r="I1360" s="3"/>
      <c r="J1360" s="3"/>
      <c r="K1360" s="3"/>
      <c r="L1360" s="3"/>
    </row>
    <row r="1361" spans="9:12" x14ac:dyDescent="0.25">
      <c r="I1361" s="3"/>
      <c r="J1361" s="3"/>
      <c r="K1361" s="3"/>
      <c r="L1361" s="3"/>
    </row>
    <row r="1362" spans="9:12" x14ac:dyDescent="0.25">
      <c r="I1362" s="3"/>
      <c r="J1362" s="3"/>
      <c r="K1362" s="3"/>
      <c r="L1362" s="3"/>
    </row>
    <row r="1363" spans="9:12" x14ac:dyDescent="0.25">
      <c r="I1363" s="3"/>
      <c r="J1363" s="3"/>
      <c r="K1363" s="3"/>
      <c r="L1363" s="3"/>
    </row>
    <row r="1364" spans="9:12" x14ac:dyDescent="0.25">
      <c r="I1364" s="3"/>
      <c r="J1364" s="3"/>
      <c r="K1364" s="3"/>
      <c r="L1364" s="3"/>
    </row>
    <row r="1365" spans="9:12" x14ac:dyDescent="0.25">
      <c r="I1365" s="3"/>
      <c r="J1365" s="3"/>
      <c r="K1365" s="3"/>
      <c r="L1365" s="3"/>
    </row>
    <row r="1366" spans="9:12" x14ac:dyDescent="0.25">
      <c r="I1366" s="3"/>
      <c r="J1366" s="3"/>
      <c r="K1366" s="3"/>
      <c r="L1366" s="3"/>
    </row>
    <row r="1367" spans="9:12" x14ac:dyDescent="0.25">
      <c r="I1367" s="3"/>
      <c r="J1367" s="3"/>
      <c r="K1367" s="3"/>
      <c r="L1367" s="3"/>
    </row>
    <row r="1368" spans="9:12" x14ac:dyDescent="0.25">
      <c r="I1368" s="3"/>
      <c r="J1368" s="3"/>
      <c r="K1368" s="3"/>
      <c r="L1368" s="3"/>
    </row>
    <row r="1369" spans="9:12" x14ac:dyDescent="0.25">
      <c r="I1369" s="3"/>
      <c r="J1369" s="3"/>
      <c r="K1369" s="3"/>
      <c r="L1369" s="3"/>
    </row>
    <row r="1370" spans="9:12" x14ac:dyDescent="0.25">
      <c r="I1370" s="3"/>
      <c r="J1370" s="3"/>
      <c r="K1370" s="3"/>
      <c r="L1370" s="3"/>
    </row>
    <row r="1371" spans="9:12" x14ac:dyDescent="0.25">
      <c r="I1371" s="3"/>
      <c r="J1371" s="3"/>
      <c r="K1371" s="3"/>
      <c r="L1371" s="3"/>
    </row>
    <row r="1372" spans="9:12" x14ac:dyDescent="0.25">
      <c r="I1372" s="3"/>
      <c r="J1372" s="3"/>
      <c r="K1372" s="3"/>
      <c r="L1372" s="3"/>
    </row>
    <row r="1373" spans="9:12" x14ac:dyDescent="0.25">
      <c r="I1373" s="3"/>
      <c r="J1373" s="3"/>
      <c r="K1373" s="3"/>
      <c r="L1373" s="3"/>
    </row>
    <row r="1374" spans="9:12" x14ac:dyDescent="0.25">
      <c r="I1374" s="3"/>
      <c r="J1374" s="3"/>
      <c r="K1374" s="3"/>
      <c r="L1374" s="3"/>
    </row>
    <row r="1375" spans="9:12" x14ac:dyDescent="0.25">
      <c r="I1375" s="3"/>
      <c r="J1375" s="3"/>
      <c r="K1375" s="3"/>
      <c r="L1375" s="3"/>
    </row>
    <row r="1376" spans="9:12" x14ac:dyDescent="0.25">
      <c r="I1376" s="3"/>
      <c r="J1376" s="3"/>
      <c r="K1376" s="3"/>
      <c r="L1376" s="3"/>
    </row>
    <row r="1377" spans="9:12" x14ac:dyDescent="0.25">
      <c r="I1377" s="3"/>
      <c r="J1377" s="3"/>
      <c r="K1377" s="3"/>
      <c r="L1377" s="3"/>
    </row>
    <row r="1378" spans="9:12" x14ac:dyDescent="0.25">
      <c r="I1378" s="3"/>
      <c r="J1378" s="3"/>
      <c r="K1378" s="3"/>
      <c r="L1378" s="3"/>
    </row>
    <row r="1379" spans="9:12" x14ac:dyDescent="0.25">
      <c r="I1379" s="4"/>
      <c r="J1379" s="4"/>
      <c r="K1379" s="4"/>
      <c r="L1379" s="4"/>
    </row>
    <row r="1380" spans="9:12" x14ac:dyDescent="0.25">
      <c r="I1380" s="4"/>
      <c r="J1380" s="4"/>
      <c r="K1380" s="4"/>
      <c r="L1380" s="4"/>
    </row>
    <row r="1381" spans="9:12" x14ac:dyDescent="0.25">
      <c r="I1381" s="4"/>
      <c r="J1381" s="4"/>
      <c r="K1381" s="4"/>
      <c r="L1381" s="4"/>
    </row>
    <row r="1382" spans="9:12" x14ac:dyDescent="0.25">
      <c r="I1382" s="3"/>
      <c r="J1382" s="3"/>
      <c r="K1382" s="3"/>
      <c r="L1382" s="3"/>
    </row>
    <row r="1383" spans="9:12" x14ac:dyDescent="0.25">
      <c r="I1383" s="3"/>
      <c r="J1383" s="3"/>
      <c r="K1383" s="3"/>
      <c r="L1383" s="3"/>
    </row>
    <row r="1384" spans="9:12" x14ac:dyDescent="0.25">
      <c r="I1384" s="3"/>
      <c r="J1384" s="3"/>
      <c r="K1384" s="3"/>
      <c r="L1384" s="3"/>
    </row>
    <row r="1385" spans="9:12" x14ac:dyDescent="0.25">
      <c r="I1385" s="3"/>
      <c r="J1385" s="3"/>
      <c r="K1385" s="3"/>
      <c r="L1385" s="3"/>
    </row>
    <row r="1386" spans="9:12" x14ac:dyDescent="0.25">
      <c r="I1386" s="3"/>
      <c r="J1386" s="3"/>
      <c r="K1386" s="3"/>
      <c r="L1386" s="3"/>
    </row>
    <row r="1387" spans="9:12" x14ac:dyDescent="0.25">
      <c r="I1387" s="3"/>
      <c r="J1387" s="3"/>
      <c r="K1387" s="3"/>
      <c r="L1387" s="3"/>
    </row>
    <row r="1388" spans="9:12" x14ac:dyDescent="0.25">
      <c r="I1388" s="3"/>
      <c r="J1388" s="3"/>
      <c r="K1388" s="3"/>
      <c r="L1388" s="3"/>
    </row>
    <row r="1389" spans="9:12" x14ac:dyDescent="0.25">
      <c r="I1389" s="3"/>
      <c r="J1389" s="3"/>
      <c r="K1389" s="3"/>
      <c r="L1389" s="3"/>
    </row>
    <row r="1390" spans="9:12" x14ac:dyDescent="0.25">
      <c r="I1390" s="3"/>
      <c r="J1390" s="3"/>
      <c r="K1390" s="3"/>
      <c r="L1390" s="3"/>
    </row>
    <row r="1391" spans="9:12" x14ac:dyDescent="0.25">
      <c r="I1391" s="3"/>
      <c r="J1391" s="3"/>
      <c r="K1391" s="3"/>
      <c r="L1391" s="3"/>
    </row>
    <row r="1392" spans="9:12" x14ac:dyDescent="0.25">
      <c r="I1392" s="3"/>
      <c r="J1392" s="3"/>
      <c r="K1392" s="3"/>
      <c r="L1392" s="3"/>
    </row>
    <row r="1393" spans="9:12" x14ac:dyDescent="0.25">
      <c r="I1393" s="3"/>
      <c r="J1393" s="3"/>
      <c r="K1393" s="3"/>
      <c r="L1393" s="3"/>
    </row>
    <row r="1394" spans="9:12" x14ac:dyDescent="0.25">
      <c r="I1394" s="3"/>
      <c r="J1394" s="3"/>
      <c r="K1394" s="3"/>
      <c r="L1394" s="3"/>
    </row>
    <row r="1395" spans="9:12" x14ac:dyDescent="0.25">
      <c r="I1395" s="3"/>
      <c r="J1395" s="3"/>
      <c r="K1395" s="3"/>
      <c r="L1395" s="3"/>
    </row>
    <row r="1396" spans="9:12" x14ac:dyDescent="0.25">
      <c r="I1396" s="3"/>
      <c r="J1396" s="3"/>
      <c r="K1396" s="3"/>
      <c r="L1396" s="3"/>
    </row>
    <row r="1397" spans="9:12" x14ac:dyDescent="0.25">
      <c r="I1397" s="3"/>
      <c r="J1397" s="3"/>
      <c r="K1397" s="3"/>
      <c r="L1397" s="3"/>
    </row>
    <row r="1398" spans="9:12" x14ac:dyDescent="0.25">
      <c r="I1398" s="3"/>
      <c r="J1398" s="3"/>
      <c r="K1398" s="3"/>
      <c r="L1398" s="3"/>
    </row>
    <row r="1399" spans="9:12" x14ac:dyDescent="0.25">
      <c r="I1399" s="3"/>
      <c r="J1399" s="3"/>
      <c r="K1399" s="3"/>
      <c r="L1399" s="3"/>
    </row>
    <row r="1400" spans="9:12" x14ac:dyDescent="0.25">
      <c r="I1400" s="3"/>
      <c r="J1400" s="3"/>
      <c r="K1400" s="3"/>
      <c r="L1400" s="3"/>
    </row>
    <row r="1401" spans="9:12" x14ac:dyDescent="0.25">
      <c r="I1401" s="3"/>
      <c r="J1401" s="3"/>
      <c r="K1401" s="3"/>
      <c r="L1401" s="3"/>
    </row>
    <row r="1402" spans="9:12" x14ac:dyDescent="0.25">
      <c r="I1402" s="3"/>
      <c r="J1402" s="3"/>
      <c r="K1402" s="3"/>
      <c r="L1402" s="3"/>
    </row>
    <row r="1403" spans="9:12" x14ac:dyDescent="0.25">
      <c r="I1403" s="3"/>
      <c r="J1403" s="3"/>
      <c r="K1403" s="3"/>
      <c r="L1403" s="3"/>
    </row>
    <row r="1404" spans="9:12" x14ac:dyDescent="0.25">
      <c r="I1404" s="3"/>
      <c r="J1404" s="3"/>
      <c r="K1404" s="3"/>
      <c r="L1404" s="3"/>
    </row>
    <row r="1405" spans="9:12" x14ac:dyDescent="0.25">
      <c r="I1405" s="3"/>
      <c r="J1405" s="3"/>
      <c r="K1405" s="3"/>
      <c r="L1405" s="3"/>
    </row>
    <row r="1406" spans="9:12" x14ac:dyDescent="0.25">
      <c r="I1406" s="3"/>
      <c r="J1406" s="3"/>
      <c r="K1406" s="3"/>
      <c r="L1406" s="3"/>
    </row>
    <row r="1407" spans="9:12" x14ac:dyDescent="0.25">
      <c r="I1407" s="3"/>
      <c r="J1407" s="3"/>
      <c r="K1407" s="3"/>
      <c r="L1407" s="3"/>
    </row>
    <row r="1408" spans="9:12" x14ac:dyDescent="0.25">
      <c r="I1408" s="3"/>
      <c r="J1408" s="3"/>
      <c r="K1408" s="3"/>
      <c r="L1408" s="3"/>
    </row>
    <row r="1409" spans="9:12" x14ac:dyDescent="0.25">
      <c r="I1409" s="3"/>
      <c r="J1409" s="3"/>
      <c r="K1409" s="3"/>
      <c r="L1409" s="3"/>
    </row>
    <row r="1410" spans="9:12" x14ac:dyDescent="0.25">
      <c r="I1410" s="3"/>
      <c r="J1410" s="3"/>
      <c r="K1410" s="3"/>
      <c r="L1410" s="3"/>
    </row>
    <row r="1411" spans="9:12" x14ac:dyDescent="0.25">
      <c r="I1411" s="3"/>
      <c r="J1411" s="3"/>
      <c r="K1411" s="3"/>
      <c r="L1411" s="3"/>
    </row>
    <row r="1412" spans="9:12" x14ac:dyDescent="0.25">
      <c r="I1412" s="3"/>
      <c r="J1412" s="3"/>
      <c r="K1412" s="3"/>
      <c r="L1412" s="3"/>
    </row>
    <row r="1413" spans="9:12" x14ac:dyDescent="0.25">
      <c r="I1413" s="3"/>
      <c r="J1413" s="3"/>
      <c r="K1413" s="3"/>
      <c r="L1413" s="3"/>
    </row>
    <row r="1414" spans="9:12" x14ac:dyDescent="0.25">
      <c r="I1414" s="3"/>
      <c r="J1414" s="3"/>
      <c r="K1414" s="3"/>
      <c r="L1414" s="3"/>
    </row>
    <row r="1415" spans="9:12" x14ac:dyDescent="0.25">
      <c r="I1415" s="3"/>
      <c r="J1415" s="3"/>
      <c r="K1415" s="3"/>
      <c r="L1415" s="3"/>
    </row>
    <row r="1416" spans="9:12" x14ac:dyDescent="0.25">
      <c r="I1416" s="3"/>
      <c r="J1416" s="3"/>
      <c r="K1416" s="3"/>
      <c r="L1416" s="3"/>
    </row>
    <row r="1417" spans="9:12" x14ac:dyDescent="0.25">
      <c r="I1417" s="3"/>
      <c r="J1417" s="3"/>
      <c r="K1417" s="3"/>
      <c r="L1417" s="3"/>
    </row>
    <row r="1418" spans="9:12" x14ac:dyDescent="0.25">
      <c r="I1418" s="3"/>
      <c r="J1418" s="3"/>
      <c r="K1418" s="3"/>
      <c r="L1418" s="3"/>
    </row>
    <row r="1419" spans="9:12" x14ac:dyDescent="0.25">
      <c r="I1419" s="3"/>
      <c r="J1419" s="3"/>
      <c r="K1419" s="3"/>
      <c r="L1419" s="3"/>
    </row>
    <row r="1420" spans="9:12" x14ac:dyDescent="0.25">
      <c r="I1420" s="3"/>
      <c r="J1420" s="3"/>
      <c r="K1420" s="3"/>
      <c r="L1420" s="3"/>
    </row>
    <row r="1421" spans="9:12" x14ac:dyDescent="0.25">
      <c r="I1421" s="3"/>
      <c r="J1421" s="3"/>
      <c r="K1421" s="3"/>
      <c r="L1421" s="3"/>
    </row>
    <row r="1422" spans="9:12" x14ac:dyDescent="0.25">
      <c r="I1422" s="3"/>
      <c r="J1422" s="3"/>
      <c r="K1422" s="3"/>
      <c r="L1422" s="3"/>
    </row>
    <row r="1423" spans="9:12" x14ac:dyDescent="0.25">
      <c r="I1423" s="3"/>
      <c r="J1423" s="3"/>
      <c r="K1423" s="3"/>
      <c r="L1423" s="3"/>
    </row>
    <row r="1424" spans="9:12" x14ac:dyDescent="0.25">
      <c r="I1424" s="3"/>
      <c r="J1424" s="3"/>
      <c r="K1424" s="3"/>
      <c r="L1424" s="3"/>
    </row>
    <row r="1425" spans="9:12" x14ac:dyDescent="0.25">
      <c r="I1425" s="3"/>
      <c r="J1425" s="3"/>
      <c r="K1425" s="3"/>
      <c r="L1425" s="3"/>
    </row>
    <row r="1426" spans="9:12" x14ac:dyDescent="0.25">
      <c r="I1426" s="3"/>
      <c r="J1426" s="3"/>
      <c r="K1426" s="3"/>
      <c r="L1426" s="3"/>
    </row>
    <row r="1427" spans="9:12" x14ac:dyDescent="0.25">
      <c r="I1427" s="3"/>
      <c r="J1427" s="3"/>
      <c r="K1427" s="3"/>
      <c r="L1427" s="3"/>
    </row>
    <row r="1428" spans="9:12" x14ac:dyDescent="0.25">
      <c r="I1428" s="3"/>
      <c r="J1428" s="3"/>
      <c r="K1428" s="3"/>
      <c r="L1428" s="3"/>
    </row>
    <row r="1429" spans="9:12" x14ac:dyDescent="0.25">
      <c r="I1429" s="3"/>
      <c r="J1429" s="3"/>
      <c r="K1429" s="3"/>
      <c r="L1429" s="3"/>
    </row>
    <row r="1430" spans="9:12" x14ac:dyDescent="0.25">
      <c r="I1430" s="3"/>
      <c r="J1430" s="3"/>
      <c r="K1430" s="3"/>
      <c r="L1430" s="3"/>
    </row>
    <row r="1431" spans="9:12" x14ac:dyDescent="0.25">
      <c r="I1431" s="3"/>
      <c r="J1431" s="3"/>
      <c r="K1431" s="3"/>
      <c r="L1431" s="3"/>
    </row>
    <row r="1432" spans="9:12" x14ac:dyDescent="0.25">
      <c r="I1432" s="3"/>
      <c r="J1432" s="3"/>
      <c r="K1432" s="3"/>
      <c r="L1432" s="3"/>
    </row>
    <row r="1433" spans="9:12" x14ac:dyDescent="0.25">
      <c r="I1433" s="3"/>
      <c r="J1433" s="3"/>
      <c r="K1433" s="3"/>
      <c r="L1433" s="3"/>
    </row>
    <row r="1434" spans="9:12" x14ac:dyDescent="0.25">
      <c r="I1434" s="3"/>
      <c r="J1434" s="3"/>
      <c r="K1434" s="3"/>
      <c r="L1434" s="3"/>
    </row>
    <row r="1435" spans="9:12" x14ac:dyDescent="0.25">
      <c r="I1435" s="3"/>
      <c r="J1435" s="3"/>
      <c r="K1435" s="3"/>
      <c r="L1435" s="3"/>
    </row>
    <row r="1436" spans="9:12" x14ac:dyDescent="0.25">
      <c r="I1436" s="3"/>
      <c r="J1436" s="3"/>
      <c r="K1436" s="3"/>
      <c r="L1436" s="3"/>
    </row>
    <row r="1437" spans="9:12" x14ac:dyDescent="0.25">
      <c r="I1437" s="3"/>
      <c r="J1437" s="3"/>
      <c r="K1437" s="3"/>
      <c r="L1437" s="3"/>
    </row>
    <row r="1438" spans="9:12" x14ac:dyDescent="0.25">
      <c r="I1438" s="3"/>
      <c r="J1438" s="3"/>
      <c r="K1438" s="3"/>
      <c r="L1438" s="3"/>
    </row>
    <row r="1439" spans="9:12" x14ac:dyDescent="0.25">
      <c r="I1439" s="3"/>
      <c r="J1439" s="3"/>
      <c r="K1439" s="3"/>
      <c r="L1439" s="3"/>
    </row>
    <row r="1440" spans="9:12" x14ac:dyDescent="0.25">
      <c r="I1440" s="3"/>
      <c r="J1440" s="3"/>
      <c r="K1440" s="3"/>
      <c r="L1440" s="3"/>
    </row>
    <row r="1441" spans="9:12" x14ac:dyDescent="0.25">
      <c r="I1441" s="3"/>
      <c r="J1441" s="3"/>
      <c r="K1441" s="3"/>
      <c r="L1441" s="3"/>
    </row>
    <row r="1442" spans="9:12" x14ac:dyDescent="0.25">
      <c r="I1442" s="3"/>
      <c r="J1442" s="3"/>
      <c r="K1442" s="3"/>
      <c r="L1442" s="3"/>
    </row>
    <row r="1443" spans="9:12" x14ac:dyDescent="0.25">
      <c r="I1443" s="3"/>
      <c r="J1443" s="3"/>
      <c r="K1443" s="3"/>
      <c r="L1443" s="3"/>
    </row>
    <row r="1444" spans="9:12" x14ac:dyDescent="0.25">
      <c r="I1444" s="3"/>
      <c r="J1444" s="3"/>
      <c r="K1444" s="3"/>
      <c r="L1444" s="3"/>
    </row>
    <row r="1445" spans="9:12" x14ac:dyDescent="0.25">
      <c r="I1445" s="3"/>
      <c r="J1445" s="3"/>
      <c r="K1445" s="3"/>
      <c r="L1445" s="3"/>
    </row>
    <row r="1446" spans="9:12" x14ac:dyDescent="0.25">
      <c r="I1446" s="3"/>
      <c r="J1446" s="3"/>
      <c r="K1446" s="3"/>
      <c r="L1446" s="3"/>
    </row>
    <row r="1447" spans="9:12" x14ac:dyDescent="0.25">
      <c r="I1447" s="3"/>
      <c r="J1447" s="3"/>
      <c r="K1447" s="3"/>
      <c r="L1447" s="3"/>
    </row>
    <row r="1448" spans="9:12" x14ac:dyDescent="0.25">
      <c r="I1448" s="3"/>
      <c r="J1448" s="3"/>
      <c r="K1448" s="3"/>
      <c r="L1448" s="3"/>
    </row>
    <row r="1449" spans="9:12" x14ac:dyDescent="0.25">
      <c r="I1449" s="3"/>
      <c r="J1449" s="3"/>
      <c r="K1449" s="3"/>
      <c r="L1449" s="3"/>
    </row>
    <row r="1450" spans="9:12" x14ac:dyDescent="0.25">
      <c r="I1450" s="3"/>
      <c r="J1450" s="3"/>
      <c r="K1450" s="3"/>
      <c r="L1450" s="3"/>
    </row>
    <row r="1451" spans="9:12" x14ac:dyDescent="0.25">
      <c r="I1451" s="3"/>
      <c r="J1451" s="3"/>
      <c r="K1451" s="3"/>
      <c r="L1451" s="3"/>
    </row>
    <row r="1452" spans="9:12" x14ac:dyDescent="0.25">
      <c r="I1452" s="3"/>
      <c r="J1452" s="3"/>
      <c r="K1452" s="3"/>
      <c r="L1452" s="3"/>
    </row>
    <row r="1453" spans="9:12" x14ac:dyDescent="0.25">
      <c r="I1453" s="3"/>
      <c r="J1453" s="3"/>
      <c r="K1453" s="3"/>
      <c r="L1453" s="3"/>
    </row>
    <row r="1454" spans="9:12" x14ac:dyDescent="0.25">
      <c r="I1454" s="3"/>
      <c r="J1454" s="3"/>
      <c r="K1454" s="3"/>
      <c r="L1454" s="3"/>
    </row>
    <row r="1455" spans="9:12" x14ac:dyDescent="0.25">
      <c r="I1455" s="3"/>
      <c r="J1455" s="3"/>
      <c r="K1455" s="3"/>
      <c r="L1455" s="3"/>
    </row>
    <row r="1456" spans="9:12" x14ac:dyDescent="0.25">
      <c r="I1456" s="3"/>
      <c r="J1456" s="3"/>
      <c r="K1456" s="3"/>
      <c r="L1456" s="3"/>
    </row>
    <row r="1457" spans="9:12" x14ac:dyDescent="0.25">
      <c r="I1457" s="3"/>
      <c r="J1457" s="3"/>
      <c r="K1457" s="3"/>
      <c r="L1457" s="3"/>
    </row>
    <row r="1458" spans="9:12" x14ac:dyDescent="0.25">
      <c r="I1458" s="3"/>
      <c r="J1458" s="3"/>
      <c r="K1458" s="3"/>
      <c r="L1458" s="3"/>
    </row>
    <row r="1459" spans="9:12" x14ac:dyDescent="0.25">
      <c r="I1459" s="3"/>
      <c r="J1459" s="3"/>
      <c r="K1459" s="3"/>
      <c r="L1459" s="3"/>
    </row>
    <row r="1460" spans="9:12" x14ac:dyDescent="0.25">
      <c r="I1460" s="3"/>
      <c r="J1460" s="3"/>
      <c r="K1460" s="3"/>
      <c r="L1460" s="3"/>
    </row>
    <row r="1461" spans="9:12" x14ac:dyDescent="0.25">
      <c r="I1461" s="3"/>
      <c r="J1461" s="3"/>
      <c r="K1461" s="3"/>
      <c r="L1461" s="3"/>
    </row>
    <row r="1462" spans="9:12" x14ac:dyDescent="0.25">
      <c r="I1462" s="3"/>
      <c r="J1462" s="3"/>
      <c r="K1462" s="3"/>
      <c r="L1462" s="3"/>
    </row>
    <row r="1463" spans="9:12" x14ac:dyDescent="0.25">
      <c r="I1463" s="3"/>
      <c r="J1463" s="3"/>
      <c r="K1463" s="3"/>
      <c r="L1463" s="3"/>
    </row>
    <row r="1464" spans="9:12" x14ac:dyDescent="0.25">
      <c r="I1464" s="3"/>
      <c r="J1464" s="3"/>
      <c r="K1464" s="3"/>
      <c r="L1464" s="3"/>
    </row>
    <row r="1465" spans="9:12" x14ac:dyDescent="0.25">
      <c r="I1465" s="3"/>
      <c r="J1465" s="3"/>
      <c r="K1465" s="3"/>
      <c r="L1465" s="3"/>
    </row>
    <row r="1466" spans="9:12" x14ac:dyDescent="0.25">
      <c r="I1466" s="3"/>
      <c r="J1466" s="3"/>
      <c r="K1466" s="3"/>
      <c r="L1466" s="3"/>
    </row>
    <row r="1467" spans="9:12" x14ac:dyDescent="0.25">
      <c r="I1467" s="3"/>
      <c r="J1467" s="3"/>
      <c r="K1467" s="3"/>
      <c r="L1467" s="3"/>
    </row>
    <row r="1468" spans="9:12" x14ac:dyDescent="0.25">
      <c r="I1468" s="3"/>
      <c r="J1468" s="3"/>
      <c r="K1468" s="3"/>
      <c r="L1468" s="3"/>
    </row>
    <row r="1469" spans="9:12" x14ac:dyDescent="0.25">
      <c r="I1469" s="3"/>
      <c r="J1469" s="3"/>
      <c r="K1469" s="3"/>
      <c r="L1469" s="3"/>
    </row>
    <row r="1470" spans="9:12" x14ac:dyDescent="0.25">
      <c r="I1470" s="3"/>
      <c r="J1470" s="3"/>
      <c r="K1470" s="3"/>
      <c r="L1470" s="3"/>
    </row>
    <row r="1471" spans="9:12" x14ac:dyDescent="0.25">
      <c r="I1471" s="3"/>
      <c r="J1471" s="3"/>
      <c r="K1471" s="3"/>
      <c r="L1471" s="3"/>
    </row>
    <row r="1472" spans="9:12" x14ac:dyDescent="0.25">
      <c r="I1472" s="3"/>
      <c r="J1472" s="3"/>
      <c r="K1472" s="3"/>
      <c r="L1472" s="3"/>
    </row>
    <row r="1473" spans="9:12" x14ac:dyDescent="0.25">
      <c r="I1473" s="3"/>
      <c r="J1473" s="3"/>
      <c r="K1473" s="3"/>
      <c r="L1473" s="3"/>
    </row>
    <row r="1474" spans="9:12" x14ac:dyDescent="0.25">
      <c r="I1474" s="3"/>
      <c r="J1474" s="3"/>
      <c r="K1474" s="3"/>
      <c r="L1474" s="3"/>
    </row>
    <row r="1475" spans="9:12" x14ac:dyDescent="0.25">
      <c r="I1475" s="3"/>
      <c r="J1475" s="3"/>
      <c r="K1475" s="3"/>
      <c r="L1475" s="3"/>
    </row>
    <row r="1476" spans="9:12" x14ac:dyDescent="0.25">
      <c r="I1476" s="3"/>
      <c r="J1476" s="3"/>
      <c r="K1476" s="3"/>
      <c r="L1476" s="3"/>
    </row>
    <row r="1477" spans="9:12" x14ac:dyDescent="0.25">
      <c r="I1477" s="3"/>
      <c r="J1477" s="3"/>
      <c r="K1477" s="3"/>
      <c r="L1477" s="3"/>
    </row>
    <row r="1478" spans="9:12" x14ac:dyDescent="0.25">
      <c r="I1478" s="3"/>
      <c r="J1478" s="3"/>
      <c r="K1478" s="3"/>
      <c r="L1478" s="3"/>
    </row>
    <row r="1479" spans="9:12" x14ac:dyDescent="0.25">
      <c r="I1479" s="3"/>
      <c r="J1479" s="3"/>
      <c r="K1479" s="3"/>
      <c r="L1479" s="3"/>
    </row>
    <row r="1480" spans="9:12" x14ac:dyDescent="0.25">
      <c r="I1480" s="3"/>
      <c r="J1480" s="3"/>
      <c r="K1480" s="3"/>
      <c r="L1480" s="3"/>
    </row>
    <row r="1481" spans="9:12" x14ac:dyDescent="0.25">
      <c r="I1481" s="3"/>
      <c r="J1481" s="3"/>
      <c r="K1481" s="3"/>
      <c r="L1481" s="3"/>
    </row>
    <row r="1482" spans="9:12" x14ac:dyDescent="0.25">
      <c r="I1482" s="3"/>
      <c r="J1482" s="3"/>
      <c r="K1482" s="3"/>
      <c r="L1482" s="3"/>
    </row>
    <row r="1483" spans="9:12" x14ac:dyDescent="0.25">
      <c r="I1483" s="3"/>
      <c r="J1483" s="3"/>
      <c r="K1483" s="3"/>
      <c r="L1483" s="3"/>
    </row>
    <row r="1484" spans="9:12" x14ac:dyDescent="0.25">
      <c r="I1484" s="3"/>
      <c r="J1484" s="3"/>
      <c r="K1484" s="3"/>
      <c r="L1484" s="3"/>
    </row>
    <row r="1485" spans="9:12" x14ac:dyDescent="0.25">
      <c r="I1485" s="3"/>
      <c r="J1485" s="3"/>
      <c r="K1485" s="3"/>
      <c r="L1485" s="3"/>
    </row>
    <row r="1486" spans="9:12" x14ac:dyDescent="0.25">
      <c r="I1486" s="3"/>
      <c r="J1486" s="3"/>
      <c r="K1486" s="3"/>
      <c r="L1486" s="3"/>
    </row>
    <row r="1487" spans="9:12" x14ac:dyDescent="0.25">
      <c r="I1487" s="3"/>
      <c r="J1487" s="3"/>
      <c r="K1487" s="3"/>
      <c r="L1487" s="3"/>
    </row>
    <row r="1488" spans="9:12" x14ac:dyDescent="0.25">
      <c r="I1488" s="3"/>
      <c r="J1488" s="3"/>
      <c r="K1488" s="3"/>
      <c r="L1488" s="3"/>
    </row>
    <row r="1489" spans="9:12" x14ac:dyDescent="0.25">
      <c r="I1489" s="3"/>
      <c r="J1489" s="3"/>
      <c r="K1489" s="3"/>
      <c r="L1489" s="3"/>
    </row>
    <row r="1490" spans="9:12" x14ac:dyDescent="0.25">
      <c r="I1490" s="3"/>
      <c r="J1490" s="3"/>
      <c r="K1490" s="3"/>
      <c r="L1490" s="3"/>
    </row>
    <row r="1491" spans="9:12" x14ac:dyDescent="0.25">
      <c r="I1491" s="3"/>
      <c r="J1491" s="3"/>
      <c r="K1491" s="3"/>
      <c r="L1491" s="3"/>
    </row>
    <row r="1492" spans="9:12" x14ac:dyDescent="0.25">
      <c r="I1492" s="3"/>
      <c r="J1492" s="3"/>
      <c r="K1492" s="3"/>
      <c r="L1492" s="3"/>
    </row>
    <row r="1493" spans="9:12" x14ac:dyDescent="0.25">
      <c r="I1493" s="3"/>
      <c r="J1493" s="3"/>
      <c r="K1493" s="3"/>
      <c r="L1493" s="3"/>
    </row>
    <row r="1494" spans="9:12" x14ac:dyDescent="0.25">
      <c r="I1494" s="3"/>
      <c r="J1494" s="3"/>
      <c r="K1494" s="3"/>
      <c r="L1494" s="3"/>
    </row>
    <row r="1495" spans="9:12" x14ac:dyDescent="0.25">
      <c r="I1495" s="3"/>
      <c r="J1495" s="3"/>
      <c r="K1495" s="3"/>
      <c r="L1495" s="3"/>
    </row>
    <row r="1496" spans="9:12" x14ac:dyDescent="0.25">
      <c r="I1496" s="3"/>
      <c r="J1496" s="3"/>
      <c r="K1496" s="3"/>
      <c r="L1496" s="3"/>
    </row>
    <row r="1497" spans="9:12" x14ac:dyDescent="0.25">
      <c r="I1497" s="3"/>
      <c r="J1497" s="3"/>
      <c r="K1497" s="3"/>
      <c r="L1497" s="3"/>
    </row>
    <row r="1498" spans="9:12" x14ac:dyDescent="0.25">
      <c r="I1498" s="3"/>
      <c r="J1498" s="3"/>
      <c r="K1498" s="3"/>
      <c r="L1498" s="3"/>
    </row>
    <row r="1499" spans="9:12" x14ac:dyDescent="0.25">
      <c r="I1499" s="3"/>
      <c r="J1499" s="3"/>
      <c r="K1499" s="3"/>
      <c r="L1499" s="3"/>
    </row>
    <row r="1500" spans="9:12" x14ac:dyDescent="0.25">
      <c r="I1500" s="3"/>
      <c r="J1500" s="3"/>
      <c r="K1500" s="3"/>
      <c r="L1500" s="3"/>
    </row>
    <row r="1501" spans="9:12" x14ac:dyDescent="0.25">
      <c r="I1501" s="3"/>
      <c r="J1501" s="3"/>
      <c r="K1501" s="3"/>
      <c r="L1501" s="3"/>
    </row>
    <row r="1502" spans="9:12" x14ac:dyDescent="0.25">
      <c r="I1502" s="3"/>
      <c r="J1502" s="3"/>
      <c r="K1502" s="3"/>
      <c r="L1502" s="3"/>
    </row>
    <row r="1503" spans="9:12" x14ac:dyDescent="0.25">
      <c r="I1503" s="3"/>
      <c r="J1503" s="3"/>
      <c r="K1503" s="3"/>
      <c r="L1503" s="3"/>
    </row>
    <row r="1504" spans="9:12" x14ac:dyDescent="0.25">
      <c r="I1504" s="3"/>
      <c r="J1504" s="3"/>
      <c r="K1504" s="3"/>
      <c r="L1504" s="3"/>
    </row>
    <row r="1505" spans="9:12" x14ac:dyDescent="0.25">
      <c r="I1505" s="3"/>
      <c r="J1505" s="3"/>
      <c r="K1505" s="3"/>
      <c r="L1505" s="3"/>
    </row>
    <row r="1506" spans="9:12" x14ac:dyDescent="0.25">
      <c r="I1506" s="3"/>
      <c r="J1506" s="3"/>
      <c r="K1506" s="3"/>
      <c r="L1506" s="3"/>
    </row>
    <row r="1507" spans="9:12" x14ac:dyDescent="0.25">
      <c r="I1507" s="3"/>
      <c r="J1507" s="3"/>
      <c r="K1507" s="3"/>
      <c r="L1507" s="3"/>
    </row>
    <row r="1508" spans="9:12" x14ac:dyDescent="0.25">
      <c r="I1508" s="3"/>
      <c r="J1508" s="3"/>
      <c r="K1508" s="3"/>
      <c r="L1508" s="3"/>
    </row>
    <row r="1509" spans="9:12" x14ac:dyDescent="0.25">
      <c r="I1509" s="3"/>
      <c r="J1509" s="3"/>
      <c r="K1509" s="3"/>
      <c r="L1509" s="3"/>
    </row>
    <row r="1510" spans="9:12" x14ac:dyDescent="0.25">
      <c r="I1510" s="3"/>
      <c r="J1510" s="3"/>
      <c r="K1510" s="3"/>
      <c r="L1510" s="3"/>
    </row>
    <row r="1511" spans="9:12" x14ac:dyDescent="0.25">
      <c r="I1511" s="3"/>
      <c r="J1511" s="3"/>
      <c r="K1511" s="3"/>
      <c r="L1511" s="3"/>
    </row>
    <row r="1512" spans="9:12" x14ac:dyDescent="0.25">
      <c r="I1512" s="3"/>
      <c r="J1512" s="3"/>
      <c r="K1512" s="3"/>
      <c r="L1512" s="3"/>
    </row>
    <row r="1513" spans="9:12" x14ac:dyDescent="0.25">
      <c r="I1513" s="3"/>
      <c r="J1513" s="3"/>
      <c r="K1513" s="3"/>
      <c r="L1513" s="3"/>
    </row>
    <row r="1514" spans="9:12" x14ac:dyDescent="0.25">
      <c r="I1514" s="3"/>
      <c r="J1514" s="3"/>
      <c r="K1514" s="3"/>
      <c r="L1514" s="3"/>
    </row>
    <row r="1515" spans="9:12" x14ac:dyDescent="0.25">
      <c r="I1515" s="3"/>
      <c r="J1515" s="3"/>
      <c r="K1515" s="3"/>
      <c r="L1515" s="3"/>
    </row>
    <row r="1516" spans="9:12" x14ac:dyDescent="0.25">
      <c r="I1516" s="3"/>
      <c r="J1516" s="3"/>
      <c r="K1516" s="3"/>
      <c r="L1516" s="3"/>
    </row>
    <row r="1517" spans="9:12" x14ac:dyDescent="0.25">
      <c r="I1517" s="3"/>
      <c r="J1517" s="3"/>
      <c r="K1517" s="3"/>
      <c r="L1517" s="3"/>
    </row>
    <row r="1518" spans="9:12" x14ac:dyDescent="0.25">
      <c r="I1518" s="3"/>
      <c r="J1518" s="3"/>
      <c r="K1518" s="3"/>
      <c r="L1518" s="3"/>
    </row>
    <row r="1519" spans="9:12" x14ac:dyDescent="0.25">
      <c r="I1519" s="3"/>
      <c r="J1519" s="3"/>
      <c r="K1519" s="3"/>
      <c r="L1519" s="3"/>
    </row>
    <row r="1520" spans="9:12" x14ac:dyDescent="0.25">
      <c r="I1520" s="3"/>
      <c r="J1520" s="3"/>
      <c r="K1520" s="3"/>
      <c r="L1520" s="3"/>
    </row>
    <row r="1521" spans="9:12" x14ac:dyDescent="0.25">
      <c r="I1521" s="3"/>
      <c r="J1521" s="3"/>
      <c r="K1521" s="3"/>
      <c r="L1521" s="3"/>
    </row>
    <row r="1522" spans="9:12" x14ac:dyDescent="0.25">
      <c r="I1522" s="3"/>
      <c r="J1522" s="3"/>
      <c r="K1522" s="3"/>
      <c r="L1522" s="3"/>
    </row>
    <row r="1523" spans="9:12" x14ac:dyDescent="0.25">
      <c r="I1523" s="3"/>
      <c r="J1523" s="3"/>
      <c r="K1523" s="3"/>
      <c r="L1523" s="3"/>
    </row>
    <row r="1524" spans="9:12" x14ac:dyDescent="0.25">
      <c r="I1524" s="3"/>
      <c r="J1524" s="3"/>
      <c r="K1524" s="3"/>
      <c r="L1524" s="3"/>
    </row>
    <row r="1525" spans="9:12" x14ac:dyDescent="0.25">
      <c r="I1525" s="3"/>
      <c r="J1525" s="3"/>
      <c r="K1525" s="3"/>
      <c r="L1525" s="3"/>
    </row>
    <row r="1526" spans="9:12" x14ac:dyDescent="0.25">
      <c r="I1526" s="3"/>
      <c r="J1526" s="3"/>
      <c r="K1526" s="3"/>
      <c r="L1526" s="3"/>
    </row>
    <row r="1527" spans="9:12" x14ac:dyDescent="0.25">
      <c r="I1527" s="3"/>
      <c r="J1527" s="3"/>
      <c r="K1527" s="3"/>
      <c r="L1527" s="3"/>
    </row>
    <row r="1528" spans="9:12" x14ac:dyDescent="0.25">
      <c r="I1528" s="3"/>
      <c r="J1528" s="3"/>
      <c r="K1528" s="3"/>
      <c r="L1528" s="3"/>
    </row>
    <row r="1529" spans="9:12" x14ac:dyDescent="0.25">
      <c r="I1529" s="3"/>
      <c r="J1529" s="3"/>
      <c r="K1529" s="3"/>
      <c r="L1529" s="3"/>
    </row>
    <row r="1530" spans="9:12" x14ac:dyDescent="0.25">
      <c r="I1530" s="3"/>
      <c r="J1530" s="3"/>
      <c r="K1530" s="3"/>
      <c r="L1530" s="3"/>
    </row>
    <row r="1531" spans="9:12" x14ac:dyDescent="0.25">
      <c r="I1531" s="3"/>
      <c r="J1531" s="3"/>
      <c r="K1531" s="3"/>
      <c r="L1531" s="3"/>
    </row>
    <row r="1532" spans="9:12" x14ac:dyDescent="0.25">
      <c r="I1532" s="3"/>
      <c r="J1532" s="3"/>
      <c r="K1532" s="3"/>
      <c r="L1532" s="3"/>
    </row>
    <row r="1533" spans="9:12" x14ac:dyDescent="0.25">
      <c r="I1533" s="3"/>
      <c r="J1533" s="3"/>
      <c r="K1533" s="3"/>
      <c r="L1533" s="3"/>
    </row>
    <row r="1534" spans="9:12" x14ac:dyDescent="0.25">
      <c r="I1534" s="3"/>
      <c r="J1534" s="3"/>
      <c r="K1534" s="3"/>
      <c r="L1534" s="3"/>
    </row>
    <row r="1535" spans="9:12" x14ac:dyDescent="0.25">
      <c r="I1535" s="3"/>
      <c r="J1535" s="3"/>
      <c r="K1535" s="3"/>
      <c r="L1535" s="3"/>
    </row>
    <row r="1536" spans="9:12" x14ac:dyDescent="0.25">
      <c r="I1536" s="3"/>
      <c r="J1536" s="3"/>
      <c r="K1536" s="3"/>
      <c r="L1536" s="3"/>
    </row>
    <row r="1537" spans="9:12" x14ac:dyDescent="0.25">
      <c r="I1537" s="3"/>
      <c r="J1537" s="3"/>
      <c r="K1537" s="3"/>
      <c r="L1537" s="3"/>
    </row>
    <row r="1538" spans="9:12" x14ac:dyDescent="0.25">
      <c r="I1538" s="3"/>
      <c r="J1538" s="3"/>
      <c r="K1538" s="3"/>
      <c r="L1538" s="3"/>
    </row>
    <row r="1539" spans="9:12" x14ac:dyDescent="0.25">
      <c r="I1539" s="3"/>
      <c r="J1539" s="3"/>
      <c r="K1539" s="3"/>
      <c r="L1539" s="3"/>
    </row>
    <row r="1540" spans="9:12" x14ac:dyDescent="0.25">
      <c r="I1540" s="3"/>
      <c r="J1540" s="3"/>
      <c r="K1540" s="3"/>
      <c r="L1540" s="3"/>
    </row>
    <row r="1541" spans="9:12" x14ac:dyDescent="0.25">
      <c r="I1541" s="3"/>
      <c r="J1541" s="3"/>
      <c r="K1541" s="3"/>
      <c r="L1541" s="3"/>
    </row>
    <row r="1542" spans="9:12" x14ac:dyDescent="0.25">
      <c r="I1542" s="3"/>
      <c r="J1542" s="3"/>
      <c r="K1542" s="3"/>
      <c r="L1542" s="3"/>
    </row>
    <row r="1543" spans="9:12" x14ac:dyDescent="0.25">
      <c r="I1543" s="3"/>
      <c r="J1543" s="3"/>
      <c r="K1543" s="3"/>
      <c r="L1543" s="3"/>
    </row>
    <row r="1544" spans="9:12" x14ac:dyDescent="0.25">
      <c r="I1544" s="3"/>
      <c r="J1544" s="3"/>
      <c r="K1544" s="3"/>
      <c r="L1544" s="3"/>
    </row>
    <row r="1545" spans="9:12" x14ac:dyDescent="0.25">
      <c r="I1545" s="3"/>
      <c r="J1545" s="3"/>
      <c r="K1545" s="3"/>
      <c r="L1545" s="3"/>
    </row>
    <row r="1546" spans="9:12" x14ac:dyDescent="0.25">
      <c r="I1546" s="3"/>
      <c r="J1546" s="3"/>
      <c r="K1546" s="3"/>
      <c r="L1546" s="3"/>
    </row>
    <row r="1547" spans="9:12" x14ac:dyDescent="0.25">
      <c r="I1547" s="3"/>
      <c r="J1547" s="3"/>
      <c r="K1547" s="3"/>
      <c r="L1547" s="3"/>
    </row>
    <row r="1548" spans="9:12" x14ac:dyDescent="0.25">
      <c r="I1548" s="3"/>
      <c r="J1548" s="3"/>
      <c r="K1548" s="3"/>
      <c r="L1548" s="3"/>
    </row>
    <row r="1549" spans="9:12" x14ac:dyDescent="0.25">
      <c r="I1549" s="3"/>
      <c r="J1549" s="3"/>
      <c r="K1549" s="3"/>
      <c r="L1549" s="3"/>
    </row>
    <row r="1550" spans="9:12" x14ac:dyDescent="0.25">
      <c r="I1550" s="3"/>
      <c r="J1550" s="3"/>
      <c r="K1550" s="3"/>
      <c r="L1550" s="3"/>
    </row>
    <row r="1551" spans="9:12" x14ac:dyDescent="0.25">
      <c r="I1551" s="3"/>
      <c r="J1551" s="3"/>
      <c r="K1551" s="3"/>
      <c r="L1551" s="3"/>
    </row>
    <row r="1552" spans="9:12" x14ac:dyDescent="0.25">
      <c r="I1552" s="3"/>
      <c r="J1552" s="3"/>
      <c r="K1552" s="3"/>
      <c r="L1552" s="3"/>
    </row>
    <row r="1553" spans="9:12" x14ac:dyDescent="0.25">
      <c r="I1553" s="3"/>
      <c r="J1553" s="3"/>
      <c r="K1553" s="3"/>
      <c r="L1553" s="3"/>
    </row>
    <row r="1554" spans="9:12" x14ac:dyDescent="0.25">
      <c r="I1554" s="3"/>
      <c r="J1554" s="3"/>
      <c r="K1554" s="3"/>
      <c r="L1554" s="3"/>
    </row>
    <row r="1555" spans="9:12" x14ac:dyDescent="0.25">
      <c r="I1555" s="3"/>
      <c r="J1555" s="3"/>
      <c r="K1555" s="3"/>
      <c r="L1555" s="3"/>
    </row>
    <row r="1556" spans="9:12" x14ac:dyDescent="0.25">
      <c r="I1556" s="3"/>
      <c r="J1556" s="3"/>
      <c r="K1556" s="3"/>
      <c r="L1556" s="3"/>
    </row>
    <row r="1557" spans="9:12" x14ac:dyDescent="0.25">
      <c r="I1557" s="3"/>
      <c r="J1557" s="3"/>
      <c r="K1557" s="3"/>
      <c r="L1557" s="3"/>
    </row>
    <row r="1558" spans="9:12" x14ac:dyDescent="0.25">
      <c r="I1558" s="3"/>
      <c r="J1558" s="3"/>
      <c r="K1558" s="3"/>
      <c r="L1558" s="3"/>
    </row>
    <row r="1559" spans="9:12" x14ac:dyDescent="0.25">
      <c r="I1559" s="3"/>
      <c r="J1559" s="3"/>
      <c r="K1559" s="3"/>
      <c r="L1559" s="3"/>
    </row>
    <row r="1560" spans="9:12" x14ac:dyDescent="0.25">
      <c r="I1560" s="3"/>
      <c r="J1560" s="3"/>
      <c r="K1560" s="3"/>
      <c r="L1560" s="3"/>
    </row>
    <row r="1561" spans="9:12" x14ac:dyDescent="0.25">
      <c r="I1561" s="3"/>
      <c r="J1561" s="3"/>
      <c r="K1561" s="3"/>
      <c r="L1561" s="3"/>
    </row>
    <row r="1562" spans="9:12" x14ac:dyDescent="0.25">
      <c r="I1562" s="3"/>
      <c r="J1562" s="3"/>
      <c r="K1562" s="3"/>
      <c r="L1562" s="3"/>
    </row>
    <row r="1563" spans="9:12" x14ac:dyDescent="0.25">
      <c r="I1563" s="3"/>
      <c r="J1563" s="3"/>
      <c r="K1563" s="3"/>
      <c r="L1563" s="3"/>
    </row>
    <row r="1564" spans="9:12" x14ac:dyDescent="0.25">
      <c r="I1564" s="3"/>
      <c r="J1564" s="3"/>
      <c r="K1564" s="3"/>
      <c r="L1564" s="3"/>
    </row>
    <row r="1565" spans="9:12" x14ac:dyDescent="0.25">
      <c r="I1565" s="3"/>
      <c r="J1565" s="3"/>
      <c r="K1565" s="3"/>
      <c r="L1565" s="3"/>
    </row>
    <row r="1566" spans="9:12" x14ac:dyDescent="0.25">
      <c r="I1566" s="3"/>
      <c r="J1566" s="3"/>
      <c r="K1566" s="3"/>
      <c r="L1566" s="3"/>
    </row>
    <row r="1567" spans="9:12" x14ac:dyDescent="0.25">
      <c r="I1567" s="3"/>
      <c r="J1567" s="3"/>
      <c r="K1567" s="3"/>
      <c r="L1567" s="3"/>
    </row>
    <row r="1568" spans="9:12" x14ac:dyDescent="0.25">
      <c r="I1568" s="3"/>
      <c r="J1568" s="3"/>
      <c r="K1568" s="3"/>
      <c r="L1568" s="3"/>
    </row>
    <row r="1569" spans="9:12" x14ac:dyDescent="0.25">
      <c r="I1569" s="3"/>
      <c r="J1569" s="3"/>
      <c r="K1569" s="3"/>
      <c r="L1569" s="3"/>
    </row>
    <row r="1570" spans="9:12" x14ac:dyDescent="0.25">
      <c r="I1570" s="3"/>
      <c r="J1570" s="3"/>
      <c r="K1570" s="3"/>
      <c r="L1570" s="3"/>
    </row>
    <row r="1571" spans="9:12" x14ac:dyDescent="0.25">
      <c r="I1571" s="3"/>
      <c r="J1571" s="3"/>
      <c r="K1571" s="3"/>
      <c r="L1571" s="3"/>
    </row>
    <row r="1572" spans="9:12" x14ac:dyDescent="0.25">
      <c r="I1572" s="3"/>
      <c r="J1572" s="3"/>
      <c r="K1572" s="3"/>
      <c r="L1572" s="3"/>
    </row>
    <row r="1573" spans="9:12" x14ac:dyDescent="0.25">
      <c r="I1573" s="3"/>
      <c r="J1573" s="3"/>
      <c r="K1573" s="3"/>
      <c r="L1573" s="3"/>
    </row>
    <row r="1574" spans="9:12" x14ac:dyDescent="0.25">
      <c r="I1574" s="3"/>
      <c r="J1574" s="3"/>
      <c r="K1574" s="3"/>
      <c r="L1574" s="3"/>
    </row>
    <row r="1575" spans="9:12" x14ac:dyDescent="0.25">
      <c r="I1575" s="3"/>
      <c r="J1575" s="3"/>
      <c r="K1575" s="3"/>
      <c r="L1575" s="3"/>
    </row>
    <row r="1576" spans="9:12" x14ac:dyDescent="0.25">
      <c r="I1576" s="3"/>
      <c r="J1576" s="3"/>
      <c r="K1576" s="3"/>
      <c r="L1576" s="3"/>
    </row>
    <row r="1577" spans="9:12" x14ac:dyDescent="0.25">
      <c r="I1577" s="3"/>
      <c r="J1577" s="3"/>
      <c r="K1577" s="3"/>
      <c r="L1577" s="3"/>
    </row>
    <row r="1578" spans="9:12" x14ac:dyDescent="0.25">
      <c r="I1578" s="3"/>
      <c r="J1578" s="3"/>
      <c r="K1578" s="3"/>
      <c r="L1578" s="3"/>
    </row>
    <row r="1579" spans="9:12" x14ac:dyDescent="0.25">
      <c r="I1579" s="3"/>
      <c r="J1579" s="3"/>
      <c r="K1579" s="3"/>
      <c r="L1579" s="3"/>
    </row>
    <row r="1580" spans="9:12" x14ac:dyDescent="0.25">
      <c r="I1580" s="3"/>
      <c r="J1580" s="3"/>
      <c r="K1580" s="3"/>
      <c r="L1580" s="3"/>
    </row>
    <row r="1581" spans="9:12" x14ac:dyDescent="0.25">
      <c r="I1581" s="3"/>
      <c r="J1581" s="3"/>
      <c r="K1581" s="3"/>
      <c r="L1581" s="3"/>
    </row>
    <row r="1582" spans="9:12" x14ac:dyDescent="0.25">
      <c r="I1582" s="3"/>
      <c r="J1582" s="3"/>
      <c r="K1582" s="3"/>
      <c r="L1582" s="3"/>
    </row>
    <row r="1583" spans="9:12" x14ac:dyDescent="0.25">
      <c r="I1583" s="3"/>
      <c r="J1583" s="3"/>
      <c r="K1583" s="3"/>
      <c r="L1583" s="3"/>
    </row>
    <row r="1584" spans="9:12" x14ac:dyDescent="0.25">
      <c r="I1584" s="3"/>
      <c r="J1584" s="3"/>
      <c r="K1584" s="3"/>
      <c r="L1584" s="3"/>
    </row>
    <row r="1585" spans="9:12" x14ac:dyDescent="0.25">
      <c r="I1585" s="3"/>
      <c r="J1585" s="3"/>
      <c r="K1585" s="3"/>
      <c r="L1585" s="3"/>
    </row>
    <row r="1586" spans="9:12" x14ac:dyDescent="0.25">
      <c r="I1586" s="3"/>
      <c r="J1586" s="3"/>
      <c r="K1586" s="3"/>
      <c r="L1586" s="3"/>
    </row>
    <row r="1587" spans="9:12" x14ac:dyDescent="0.25">
      <c r="I1587" s="3"/>
      <c r="J1587" s="3"/>
      <c r="K1587" s="3"/>
      <c r="L1587" s="3"/>
    </row>
    <row r="1588" spans="9:12" x14ac:dyDescent="0.25">
      <c r="I1588" s="3"/>
      <c r="J1588" s="3"/>
      <c r="K1588" s="3"/>
      <c r="L1588" s="3"/>
    </row>
    <row r="1589" spans="9:12" x14ac:dyDescent="0.25">
      <c r="I1589" s="3"/>
      <c r="J1589" s="3"/>
      <c r="K1589" s="3"/>
      <c r="L1589" s="3"/>
    </row>
    <row r="1590" spans="9:12" x14ac:dyDescent="0.25">
      <c r="I1590" s="3"/>
      <c r="J1590" s="3"/>
      <c r="K1590" s="3"/>
      <c r="L1590" s="3"/>
    </row>
    <row r="1591" spans="9:12" x14ac:dyDescent="0.25">
      <c r="I1591" s="3"/>
      <c r="J1591" s="3"/>
      <c r="K1591" s="3"/>
      <c r="L1591" s="3"/>
    </row>
    <row r="1592" spans="9:12" x14ac:dyDescent="0.25">
      <c r="I1592" s="3"/>
      <c r="J1592" s="3"/>
      <c r="K1592" s="3"/>
      <c r="L1592" s="3"/>
    </row>
    <row r="1593" spans="9:12" x14ac:dyDescent="0.25">
      <c r="I1593" s="3"/>
      <c r="J1593" s="3"/>
      <c r="K1593" s="3"/>
      <c r="L1593" s="3"/>
    </row>
    <row r="1594" spans="9:12" x14ac:dyDescent="0.25">
      <c r="I1594" s="3"/>
      <c r="J1594" s="3"/>
      <c r="K1594" s="3"/>
      <c r="L1594" s="3"/>
    </row>
    <row r="1595" spans="9:12" x14ac:dyDescent="0.25">
      <c r="I1595" s="3"/>
      <c r="J1595" s="3"/>
      <c r="K1595" s="3"/>
      <c r="L1595" s="3"/>
    </row>
    <row r="1596" spans="9:12" x14ac:dyDescent="0.25">
      <c r="I1596" s="3"/>
      <c r="J1596" s="3"/>
      <c r="K1596" s="3"/>
      <c r="L1596" s="3"/>
    </row>
    <row r="1597" spans="9:12" x14ac:dyDescent="0.25">
      <c r="I1597" s="3"/>
      <c r="J1597" s="3"/>
      <c r="K1597" s="3"/>
      <c r="L1597" s="3"/>
    </row>
    <row r="1598" spans="9:12" x14ac:dyDescent="0.25">
      <c r="I1598" s="3"/>
      <c r="J1598" s="3"/>
      <c r="K1598" s="3"/>
      <c r="L1598" s="3"/>
    </row>
    <row r="1599" spans="9:12" x14ac:dyDescent="0.25">
      <c r="I1599" s="3"/>
      <c r="J1599" s="3"/>
      <c r="K1599" s="3"/>
      <c r="L1599" s="3"/>
    </row>
    <row r="1600" spans="9:12" x14ac:dyDescent="0.25">
      <c r="I1600" s="3"/>
      <c r="J1600" s="3"/>
      <c r="K1600" s="3"/>
      <c r="L1600" s="3"/>
    </row>
    <row r="1601" spans="9:12" x14ac:dyDescent="0.25">
      <c r="I1601" s="3"/>
      <c r="J1601" s="3"/>
      <c r="K1601" s="3"/>
      <c r="L1601" s="3"/>
    </row>
    <row r="1602" spans="9:12" x14ac:dyDescent="0.25">
      <c r="I1602" s="3"/>
      <c r="J1602" s="3"/>
      <c r="K1602" s="3"/>
      <c r="L1602" s="3"/>
    </row>
    <row r="1603" spans="9:12" x14ac:dyDescent="0.25">
      <c r="I1603" s="3"/>
      <c r="J1603" s="3"/>
      <c r="K1603" s="3"/>
      <c r="L1603" s="3"/>
    </row>
    <row r="1604" spans="9:12" x14ac:dyDescent="0.25">
      <c r="I1604" s="3"/>
      <c r="J1604" s="3"/>
      <c r="K1604" s="3"/>
      <c r="L1604" s="3"/>
    </row>
    <row r="1605" spans="9:12" x14ac:dyDescent="0.25">
      <c r="I1605" s="3"/>
      <c r="J1605" s="3"/>
      <c r="K1605" s="3"/>
      <c r="L1605" s="3"/>
    </row>
    <row r="1606" spans="9:12" x14ac:dyDescent="0.25">
      <c r="I1606" s="3"/>
      <c r="J1606" s="3"/>
      <c r="K1606" s="3"/>
      <c r="L1606" s="3"/>
    </row>
    <row r="1607" spans="9:12" x14ac:dyDescent="0.25">
      <c r="I1607" s="3"/>
      <c r="J1607" s="3"/>
      <c r="K1607" s="3"/>
      <c r="L1607" s="3"/>
    </row>
    <row r="1608" spans="9:12" x14ac:dyDescent="0.25">
      <c r="I1608" s="3"/>
      <c r="J1608" s="3"/>
      <c r="K1608" s="3"/>
      <c r="L1608" s="3"/>
    </row>
    <row r="1609" spans="9:12" x14ac:dyDescent="0.25">
      <c r="I1609" s="3"/>
      <c r="J1609" s="3"/>
      <c r="K1609" s="3"/>
      <c r="L1609" s="3"/>
    </row>
    <row r="1610" spans="9:12" x14ac:dyDescent="0.25">
      <c r="I1610" s="3"/>
      <c r="J1610" s="3"/>
      <c r="K1610" s="3"/>
      <c r="L1610" s="3"/>
    </row>
    <row r="1611" spans="9:12" x14ac:dyDescent="0.25">
      <c r="I1611" s="3"/>
      <c r="J1611" s="3"/>
      <c r="K1611" s="3"/>
      <c r="L1611" s="3"/>
    </row>
    <row r="1612" spans="9:12" x14ac:dyDescent="0.25">
      <c r="I1612" s="3"/>
      <c r="J1612" s="3"/>
      <c r="K1612" s="3"/>
      <c r="L1612" s="3"/>
    </row>
    <row r="1613" spans="9:12" x14ac:dyDescent="0.25">
      <c r="I1613" s="3"/>
      <c r="J1613" s="3"/>
      <c r="K1613" s="3"/>
      <c r="L1613" s="3"/>
    </row>
    <row r="1614" spans="9:12" x14ac:dyDescent="0.25">
      <c r="I1614" s="3"/>
      <c r="J1614" s="3"/>
      <c r="K1614" s="3"/>
      <c r="L1614" s="3"/>
    </row>
    <row r="1615" spans="9:12" x14ac:dyDescent="0.25">
      <c r="I1615" s="3"/>
      <c r="J1615" s="3"/>
      <c r="K1615" s="3"/>
      <c r="L1615" s="3"/>
    </row>
    <row r="1616" spans="9:12" x14ac:dyDescent="0.25">
      <c r="I1616" s="3"/>
      <c r="J1616" s="3"/>
      <c r="K1616" s="3"/>
      <c r="L1616" s="3"/>
    </row>
    <row r="1617" spans="9:12" x14ac:dyDescent="0.25">
      <c r="I1617" s="3"/>
      <c r="J1617" s="3"/>
      <c r="K1617" s="3"/>
      <c r="L1617" s="3"/>
    </row>
    <row r="1618" spans="9:12" x14ac:dyDescent="0.25">
      <c r="I1618" s="3"/>
      <c r="J1618" s="3"/>
      <c r="K1618" s="3"/>
      <c r="L1618" s="3"/>
    </row>
    <row r="1619" spans="9:12" x14ac:dyDescent="0.25">
      <c r="I1619" s="3"/>
      <c r="J1619" s="3"/>
      <c r="K1619" s="3"/>
      <c r="L1619" s="3"/>
    </row>
    <row r="1620" spans="9:12" x14ac:dyDescent="0.25">
      <c r="I1620" s="3"/>
      <c r="J1620" s="3"/>
      <c r="K1620" s="3"/>
      <c r="L1620" s="3"/>
    </row>
    <row r="1621" spans="9:12" x14ac:dyDescent="0.25">
      <c r="I1621" s="3"/>
      <c r="J1621" s="3"/>
      <c r="K1621" s="3"/>
      <c r="L1621" s="3"/>
    </row>
    <row r="1622" spans="9:12" x14ac:dyDescent="0.25">
      <c r="I1622" s="3"/>
      <c r="J1622" s="3"/>
      <c r="K1622" s="3"/>
      <c r="L1622" s="3"/>
    </row>
    <row r="1623" spans="9:12" x14ac:dyDescent="0.25">
      <c r="I1623" s="3"/>
      <c r="J1623" s="3"/>
      <c r="K1623" s="3"/>
      <c r="L1623" s="3"/>
    </row>
    <row r="1624" spans="9:12" x14ac:dyDescent="0.25">
      <c r="I1624" s="3"/>
      <c r="J1624" s="3"/>
      <c r="K1624" s="3"/>
      <c r="L1624" s="3"/>
    </row>
    <row r="1625" spans="9:12" x14ac:dyDescent="0.25">
      <c r="I1625" s="3"/>
      <c r="J1625" s="3"/>
      <c r="K1625" s="3"/>
      <c r="L1625" s="3"/>
    </row>
    <row r="1626" spans="9:12" x14ac:dyDescent="0.25">
      <c r="I1626" s="3"/>
      <c r="J1626" s="3"/>
      <c r="K1626" s="3"/>
      <c r="L1626" s="3"/>
    </row>
    <row r="1627" spans="9:12" x14ac:dyDescent="0.25">
      <c r="I1627" s="3"/>
      <c r="J1627" s="3"/>
      <c r="K1627" s="3"/>
      <c r="L1627" s="3"/>
    </row>
    <row r="1628" spans="9:12" x14ac:dyDescent="0.25">
      <c r="I1628" s="3"/>
      <c r="J1628" s="3"/>
      <c r="K1628" s="3"/>
      <c r="L1628" s="3"/>
    </row>
    <row r="1629" spans="9:12" x14ac:dyDescent="0.25">
      <c r="I1629" s="3"/>
      <c r="J1629" s="3"/>
      <c r="K1629" s="3"/>
      <c r="L1629" s="3"/>
    </row>
    <row r="1630" spans="9:12" x14ac:dyDescent="0.25">
      <c r="I1630" s="3"/>
      <c r="J1630" s="3"/>
      <c r="K1630" s="3"/>
      <c r="L1630" s="3"/>
    </row>
    <row r="1631" spans="9:12" x14ac:dyDescent="0.25">
      <c r="I1631" s="3"/>
      <c r="J1631" s="3"/>
      <c r="K1631" s="3"/>
      <c r="L1631" s="3"/>
    </row>
    <row r="1632" spans="9:12" x14ac:dyDescent="0.25">
      <c r="I1632" s="3"/>
      <c r="J1632" s="3"/>
      <c r="K1632" s="3"/>
      <c r="L1632" s="3"/>
    </row>
    <row r="1633" spans="9:12" x14ac:dyDescent="0.25">
      <c r="I1633" s="3"/>
      <c r="J1633" s="3"/>
      <c r="K1633" s="3"/>
      <c r="L1633" s="3"/>
    </row>
    <row r="1634" spans="9:12" x14ac:dyDescent="0.25">
      <c r="I1634" s="3"/>
      <c r="J1634" s="3"/>
      <c r="K1634" s="3"/>
      <c r="L1634" s="3"/>
    </row>
    <row r="1635" spans="9:12" x14ac:dyDescent="0.25">
      <c r="I1635" s="3"/>
      <c r="J1635" s="3"/>
      <c r="K1635" s="3"/>
      <c r="L1635" s="3"/>
    </row>
    <row r="1636" spans="9:12" x14ac:dyDescent="0.25">
      <c r="I1636" s="3"/>
      <c r="J1636" s="3"/>
      <c r="K1636" s="3"/>
      <c r="L1636" s="3"/>
    </row>
    <row r="1637" spans="9:12" x14ac:dyDescent="0.25">
      <c r="I1637" s="3"/>
      <c r="J1637" s="3"/>
      <c r="K1637" s="3"/>
      <c r="L1637" s="3"/>
    </row>
    <row r="1638" spans="9:12" x14ac:dyDescent="0.25">
      <c r="I1638" s="3"/>
      <c r="J1638" s="3"/>
      <c r="K1638" s="3"/>
      <c r="L1638" s="3"/>
    </row>
    <row r="1639" spans="9:12" x14ac:dyDescent="0.25">
      <c r="I1639" s="3"/>
      <c r="J1639" s="3"/>
      <c r="K1639" s="3"/>
      <c r="L1639" s="3"/>
    </row>
    <row r="1640" spans="9:12" x14ac:dyDescent="0.25">
      <c r="I1640" s="3"/>
      <c r="J1640" s="3"/>
      <c r="K1640" s="3"/>
      <c r="L1640" s="3"/>
    </row>
    <row r="1641" spans="9:12" x14ac:dyDescent="0.25">
      <c r="I1641" s="3"/>
      <c r="J1641" s="3"/>
      <c r="K1641" s="3"/>
      <c r="L1641" s="3"/>
    </row>
    <row r="1642" spans="9:12" x14ac:dyDescent="0.25">
      <c r="I1642" s="3"/>
      <c r="J1642" s="3"/>
      <c r="K1642" s="3"/>
      <c r="L1642" s="3"/>
    </row>
    <row r="1643" spans="9:12" x14ac:dyDescent="0.25">
      <c r="I1643" s="3"/>
      <c r="J1643" s="3"/>
      <c r="K1643" s="3"/>
      <c r="L1643" s="3"/>
    </row>
    <row r="1644" spans="9:12" x14ac:dyDescent="0.25">
      <c r="I1644" s="3"/>
      <c r="J1644" s="3"/>
      <c r="K1644" s="3"/>
      <c r="L1644" s="3"/>
    </row>
    <row r="1645" spans="9:12" x14ac:dyDescent="0.25">
      <c r="I1645" s="3"/>
      <c r="J1645" s="3"/>
      <c r="K1645" s="3"/>
      <c r="L1645" s="3"/>
    </row>
    <row r="1646" spans="9:12" x14ac:dyDescent="0.25">
      <c r="I1646" s="3"/>
      <c r="J1646" s="3"/>
      <c r="K1646" s="3"/>
      <c r="L1646" s="3"/>
    </row>
    <row r="1647" spans="9:12" x14ac:dyDescent="0.25">
      <c r="I1647" s="3"/>
      <c r="J1647" s="3"/>
      <c r="K1647" s="3"/>
      <c r="L1647" s="3"/>
    </row>
    <row r="1648" spans="9:12" x14ac:dyDescent="0.25">
      <c r="I1648" s="3"/>
      <c r="J1648" s="3"/>
      <c r="K1648" s="3"/>
      <c r="L1648" s="3"/>
    </row>
    <row r="1649" spans="9:12" x14ac:dyDescent="0.25">
      <c r="I1649" s="3"/>
      <c r="J1649" s="3"/>
      <c r="K1649" s="3"/>
      <c r="L1649" s="3"/>
    </row>
    <row r="1650" spans="9:12" x14ac:dyDescent="0.25">
      <c r="I1650" s="3"/>
      <c r="J1650" s="3"/>
      <c r="K1650" s="3"/>
      <c r="L1650" s="3"/>
    </row>
    <row r="1651" spans="9:12" x14ac:dyDescent="0.25">
      <c r="I1651" s="3"/>
      <c r="J1651" s="3"/>
      <c r="K1651" s="3"/>
      <c r="L1651" s="3"/>
    </row>
    <row r="1652" spans="9:12" x14ac:dyDescent="0.25">
      <c r="I1652" s="3"/>
      <c r="J1652" s="3"/>
      <c r="K1652" s="3"/>
      <c r="L1652" s="3"/>
    </row>
    <row r="1653" spans="9:12" x14ac:dyDescent="0.25">
      <c r="I1653" s="3"/>
      <c r="J1653" s="3"/>
      <c r="K1653" s="3"/>
      <c r="L1653" s="3"/>
    </row>
    <row r="1654" spans="9:12" x14ac:dyDescent="0.25">
      <c r="I1654" s="3"/>
      <c r="J1654" s="3"/>
      <c r="K1654" s="3"/>
      <c r="L1654" s="3"/>
    </row>
    <row r="1655" spans="9:12" x14ac:dyDescent="0.25">
      <c r="I1655" s="3"/>
      <c r="J1655" s="3"/>
      <c r="K1655" s="3"/>
      <c r="L1655" s="3"/>
    </row>
    <row r="1656" spans="9:12" x14ac:dyDescent="0.25">
      <c r="I1656" s="3"/>
      <c r="J1656" s="3"/>
      <c r="K1656" s="3"/>
      <c r="L1656" s="3"/>
    </row>
    <row r="1657" spans="9:12" x14ac:dyDescent="0.25">
      <c r="I1657" s="3"/>
      <c r="J1657" s="3"/>
      <c r="K1657" s="3"/>
      <c r="L1657" s="3"/>
    </row>
    <row r="1658" spans="9:12" x14ac:dyDescent="0.25">
      <c r="I1658" s="3"/>
      <c r="J1658" s="3"/>
      <c r="K1658" s="3"/>
      <c r="L1658" s="3"/>
    </row>
    <row r="1659" spans="9:12" x14ac:dyDescent="0.25">
      <c r="I1659" s="3"/>
      <c r="J1659" s="3"/>
      <c r="K1659" s="3"/>
      <c r="L1659" s="3"/>
    </row>
    <row r="1660" spans="9:12" x14ac:dyDescent="0.25">
      <c r="I1660" s="3"/>
      <c r="J1660" s="3"/>
      <c r="K1660" s="3"/>
      <c r="L1660" s="3"/>
    </row>
    <row r="1661" spans="9:12" x14ac:dyDescent="0.25">
      <c r="I1661" s="3"/>
      <c r="J1661" s="3"/>
      <c r="K1661" s="3"/>
      <c r="L1661" s="3"/>
    </row>
    <row r="1662" spans="9:12" x14ac:dyDescent="0.25">
      <c r="I1662" s="3"/>
      <c r="J1662" s="3"/>
      <c r="K1662" s="3"/>
      <c r="L1662" s="3"/>
    </row>
    <row r="1663" spans="9:12" x14ac:dyDescent="0.25">
      <c r="I1663" s="3"/>
      <c r="J1663" s="3"/>
      <c r="K1663" s="3"/>
      <c r="L1663" s="3"/>
    </row>
    <row r="1664" spans="9:12" x14ac:dyDescent="0.25">
      <c r="I1664" s="3"/>
      <c r="J1664" s="3"/>
      <c r="K1664" s="3"/>
      <c r="L1664" s="3"/>
    </row>
    <row r="1665" spans="9:12" x14ac:dyDescent="0.25">
      <c r="I1665" s="3"/>
      <c r="J1665" s="3"/>
      <c r="K1665" s="3"/>
      <c r="L1665" s="3"/>
    </row>
    <row r="1666" spans="9:12" x14ac:dyDescent="0.25">
      <c r="I1666" s="3"/>
      <c r="J1666" s="3"/>
      <c r="K1666" s="3"/>
      <c r="L1666" s="3"/>
    </row>
    <row r="1667" spans="9:12" x14ac:dyDescent="0.25">
      <c r="I1667" s="3"/>
      <c r="J1667" s="3"/>
      <c r="K1667" s="3"/>
      <c r="L1667" s="3"/>
    </row>
    <row r="1668" spans="9:12" x14ac:dyDescent="0.25">
      <c r="I1668" s="3"/>
      <c r="J1668" s="3"/>
      <c r="K1668" s="3"/>
      <c r="L1668" s="3"/>
    </row>
    <row r="1669" spans="9:12" x14ac:dyDescent="0.25">
      <c r="I1669" s="3"/>
      <c r="J1669" s="3"/>
      <c r="K1669" s="3"/>
      <c r="L1669" s="3"/>
    </row>
    <row r="1670" spans="9:12" x14ac:dyDescent="0.25">
      <c r="I1670" s="3"/>
      <c r="J1670" s="3"/>
      <c r="K1670" s="3"/>
      <c r="L1670" s="3"/>
    </row>
    <row r="1671" spans="9:12" x14ac:dyDescent="0.25">
      <c r="I1671" s="3"/>
      <c r="J1671" s="3"/>
      <c r="K1671" s="3"/>
      <c r="L1671" s="3"/>
    </row>
    <row r="1672" spans="9:12" x14ac:dyDescent="0.25">
      <c r="I1672" s="3"/>
      <c r="J1672" s="3"/>
      <c r="K1672" s="3"/>
      <c r="L1672" s="3"/>
    </row>
    <row r="1673" spans="9:12" x14ac:dyDescent="0.25">
      <c r="I1673" s="3"/>
      <c r="J1673" s="3"/>
      <c r="K1673" s="3"/>
      <c r="L1673" s="3"/>
    </row>
    <row r="1674" spans="9:12" x14ac:dyDescent="0.25">
      <c r="I1674" s="3"/>
      <c r="J1674" s="3"/>
      <c r="K1674" s="3"/>
      <c r="L1674" s="3"/>
    </row>
    <row r="1675" spans="9:12" x14ac:dyDescent="0.25">
      <c r="I1675" s="3"/>
      <c r="J1675" s="3"/>
      <c r="K1675" s="3"/>
      <c r="L1675" s="3"/>
    </row>
    <row r="1676" spans="9:12" x14ac:dyDescent="0.25">
      <c r="I1676" s="3"/>
      <c r="J1676" s="3"/>
      <c r="K1676" s="3"/>
      <c r="L1676" s="3"/>
    </row>
    <row r="1677" spans="9:12" x14ac:dyDescent="0.25">
      <c r="I1677" s="3"/>
      <c r="J1677" s="3"/>
      <c r="K1677" s="3"/>
      <c r="L1677" s="3"/>
    </row>
    <row r="1678" spans="9:12" x14ac:dyDescent="0.25">
      <c r="I1678" s="3"/>
      <c r="J1678" s="3"/>
      <c r="K1678" s="3"/>
      <c r="L1678" s="3"/>
    </row>
    <row r="1679" spans="9:12" x14ac:dyDescent="0.25">
      <c r="I1679" s="3"/>
      <c r="J1679" s="3"/>
      <c r="K1679" s="3"/>
      <c r="L1679" s="3"/>
    </row>
    <row r="1680" spans="9:12" x14ac:dyDescent="0.25">
      <c r="I1680" s="3"/>
      <c r="J1680" s="3"/>
      <c r="K1680" s="3"/>
      <c r="L1680" s="3"/>
    </row>
    <row r="1681" spans="9:12" x14ac:dyDescent="0.25">
      <c r="I1681" s="3"/>
      <c r="J1681" s="3"/>
      <c r="K1681" s="3"/>
      <c r="L1681" s="3"/>
    </row>
    <row r="1682" spans="9:12" x14ac:dyDescent="0.25">
      <c r="I1682" s="3"/>
      <c r="J1682" s="3"/>
      <c r="K1682" s="3"/>
      <c r="L1682" s="3"/>
    </row>
    <row r="1683" spans="9:12" x14ac:dyDescent="0.25">
      <c r="I1683" s="3"/>
      <c r="J1683" s="3"/>
      <c r="K1683" s="3"/>
      <c r="L1683" s="3"/>
    </row>
    <row r="1684" spans="9:12" x14ac:dyDescent="0.25">
      <c r="I1684" s="3"/>
      <c r="J1684" s="3"/>
      <c r="K1684" s="3"/>
      <c r="L1684" s="3"/>
    </row>
    <row r="1685" spans="9:12" x14ac:dyDescent="0.25">
      <c r="I1685" s="3"/>
      <c r="J1685" s="3"/>
      <c r="K1685" s="3"/>
      <c r="L1685" s="3"/>
    </row>
    <row r="1686" spans="9:12" x14ac:dyDescent="0.25">
      <c r="I1686" s="3"/>
      <c r="J1686" s="3"/>
      <c r="K1686" s="3"/>
      <c r="L1686" s="3"/>
    </row>
    <row r="1687" spans="9:12" x14ac:dyDescent="0.25">
      <c r="I1687" s="3"/>
      <c r="J1687" s="3"/>
      <c r="K1687" s="3"/>
      <c r="L1687" s="3"/>
    </row>
    <row r="1688" spans="9:12" x14ac:dyDescent="0.25">
      <c r="I1688" s="3"/>
      <c r="J1688" s="3"/>
      <c r="K1688" s="3"/>
      <c r="L1688" s="3"/>
    </row>
    <row r="1689" spans="9:12" x14ac:dyDescent="0.25">
      <c r="I1689" s="3"/>
      <c r="J1689" s="3"/>
      <c r="K1689" s="3"/>
      <c r="L1689" s="3"/>
    </row>
    <row r="1690" spans="9:12" x14ac:dyDescent="0.25">
      <c r="I1690" s="3"/>
      <c r="J1690" s="3"/>
      <c r="K1690" s="3"/>
      <c r="L1690" s="3"/>
    </row>
    <row r="1691" spans="9:12" x14ac:dyDescent="0.25">
      <c r="I1691" s="3"/>
      <c r="J1691" s="3"/>
      <c r="K1691" s="3"/>
      <c r="L1691" s="3"/>
    </row>
    <row r="1692" spans="9:12" x14ac:dyDescent="0.25">
      <c r="I1692" s="3"/>
      <c r="J1692" s="3"/>
      <c r="K1692" s="3"/>
      <c r="L1692" s="3"/>
    </row>
    <row r="1693" spans="9:12" x14ac:dyDescent="0.25">
      <c r="I1693" s="3"/>
      <c r="J1693" s="3"/>
      <c r="K1693" s="3"/>
      <c r="L1693" s="3"/>
    </row>
    <row r="1694" spans="9:12" x14ac:dyDescent="0.25">
      <c r="I1694" s="3"/>
      <c r="J1694" s="3"/>
      <c r="K1694" s="3"/>
      <c r="L1694" s="3"/>
    </row>
    <row r="1695" spans="9:12" x14ac:dyDescent="0.25">
      <c r="I1695" s="3"/>
      <c r="J1695" s="3"/>
      <c r="K1695" s="3"/>
      <c r="L1695" s="3"/>
    </row>
    <row r="1696" spans="9:12" x14ac:dyDescent="0.25">
      <c r="I1696" s="3"/>
      <c r="J1696" s="3"/>
      <c r="K1696" s="3"/>
      <c r="L1696" s="3"/>
    </row>
    <row r="1697" spans="9:12" x14ac:dyDescent="0.25">
      <c r="I1697" s="3"/>
      <c r="J1697" s="3"/>
      <c r="K1697" s="3"/>
      <c r="L1697" s="3"/>
    </row>
    <row r="1698" spans="9:12" x14ac:dyDescent="0.25">
      <c r="I1698" s="3"/>
      <c r="J1698" s="3"/>
      <c r="K1698" s="3"/>
      <c r="L1698" s="3"/>
    </row>
    <row r="1699" spans="9:12" x14ac:dyDescent="0.25">
      <c r="I1699" s="3"/>
      <c r="J1699" s="3"/>
      <c r="K1699" s="3"/>
      <c r="L1699" s="3"/>
    </row>
    <row r="1700" spans="9:12" x14ac:dyDescent="0.25">
      <c r="I1700" s="5"/>
      <c r="J1700" s="5"/>
      <c r="K1700" s="5"/>
      <c r="L1700" s="5"/>
    </row>
    <row r="1701" spans="9:12" x14ac:dyDescent="0.25">
      <c r="I1701" s="5"/>
      <c r="J1701" s="5"/>
      <c r="K1701" s="5"/>
      <c r="L1701" s="5"/>
    </row>
    <row r="1702" spans="9:12" x14ac:dyDescent="0.25">
      <c r="I1702" s="3"/>
      <c r="J1702" s="3"/>
      <c r="K1702" s="3"/>
      <c r="L1702" s="3"/>
    </row>
    <row r="1703" spans="9:12" x14ac:dyDescent="0.25">
      <c r="I1703" s="3"/>
      <c r="J1703" s="3"/>
      <c r="K1703" s="3"/>
      <c r="L1703" s="3"/>
    </row>
    <row r="1704" spans="9:12" x14ac:dyDescent="0.25">
      <c r="I1704" s="3"/>
      <c r="J1704" s="3"/>
      <c r="K1704" s="3"/>
      <c r="L1704" s="3"/>
    </row>
    <row r="1705" spans="9:12" x14ac:dyDescent="0.25">
      <c r="I1705" s="3"/>
      <c r="J1705" s="3"/>
      <c r="K1705" s="3"/>
      <c r="L1705" s="3"/>
    </row>
    <row r="1706" spans="9:12" x14ac:dyDescent="0.25">
      <c r="I1706" s="3"/>
      <c r="J1706" s="3"/>
      <c r="K1706" s="3"/>
      <c r="L1706" s="3"/>
    </row>
    <row r="1707" spans="9:12" x14ac:dyDescent="0.25">
      <c r="I1707" s="3"/>
      <c r="J1707" s="3"/>
      <c r="K1707" s="3"/>
      <c r="L1707" s="3"/>
    </row>
    <row r="1708" spans="9:12" x14ac:dyDescent="0.25">
      <c r="I1708" s="3"/>
      <c r="J1708" s="3"/>
      <c r="K1708" s="3"/>
      <c r="L1708" s="3"/>
    </row>
    <row r="1709" spans="9:12" x14ac:dyDescent="0.25">
      <c r="I1709" s="3"/>
      <c r="J1709" s="3"/>
      <c r="K1709" s="3"/>
      <c r="L1709" s="3"/>
    </row>
    <row r="1710" spans="9:12" x14ac:dyDescent="0.25">
      <c r="I1710" s="3"/>
      <c r="J1710" s="3"/>
      <c r="K1710" s="3"/>
      <c r="L1710" s="3"/>
    </row>
    <row r="1711" spans="9:12" x14ac:dyDescent="0.25">
      <c r="I1711" s="3"/>
      <c r="J1711" s="3"/>
      <c r="K1711" s="3"/>
      <c r="L1711" s="3"/>
    </row>
    <row r="1712" spans="9:12" x14ac:dyDescent="0.25">
      <c r="I1712" s="3"/>
      <c r="J1712" s="3"/>
      <c r="K1712" s="3"/>
      <c r="L1712" s="3"/>
    </row>
    <row r="1713" spans="9:12" x14ac:dyDescent="0.25">
      <c r="I1713" s="3"/>
      <c r="J1713" s="3"/>
      <c r="K1713" s="3"/>
      <c r="L1713" s="3"/>
    </row>
    <row r="1714" spans="9:12" x14ac:dyDescent="0.25">
      <c r="I1714" s="3"/>
      <c r="J1714" s="3"/>
      <c r="K1714" s="3"/>
      <c r="L1714" s="3"/>
    </row>
    <row r="1715" spans="9:12" x14ac:dyDescent="0.25">
      <c r="I1715" s="3"/>
      <c r="J1715" s="3"/>
      <c r="K1715" s="3"/>
      <c r="L1715" s="3"/>
    </row>
    <row r="1716" spans="9:12" x14ac:dyDescent="0.25">
      <c r="I1716" s="3"/>
      <c r="J1716" s="3"/>
      <c r="K1716" s="3"/>
      <c r="L1716" s="3"/>
    </row>
    <row r="1717" spans="9:12" x14ac:dyDescent="0.25">
      <c r="I1717" s="3"/>
      <c r="J1717" s="3"/>
      <c r="K1717" s="3"/>
      <c r="L1717" s="3"/>
    </row>
    <row r="1718" spans="9:12" x14ac:dyDescent="0.25">
      <c r="I1718" s="3"/>
      <c r="J1718" s="3"/>
      <c r="K1718" s="3"/>
      <c r="L1718" s="3"/>
    </row>
    <row r="1719" spans="9:12" x14ac:dyDescent="0.25">
      <c r="I1719" s="3"/>
      <c r="J1719" s="3"/>
      <c r="K1719" s="3"/>
      <c r="L1719" s="3"/>
    </row>
    <row r="1720" spans="9:12" x14ac:dyDescent="0.25">
      <c r="I1720" s="3"/>
      <c r="J1720" s="3"/>
      <c r="K1720" s="3"/>
      <c r="L1720" s="3"/>
    </row>
    <row r="1721" spans="9:12" x14ac:dyDescent="0.25">
      <c r="I1721" s="3"/>
      <c r="J1721" s="3"/>
      <c r="K1721" s="3"/>
      <c r="L1721" s="3"/>
    </row>
    <row r="1722" spans="9:12" x14ac:dyDescent="0.25">
      <c r="I1722" s="3"/>
      <c r="J1722" s="3"/>
      <c r="K1722" s="3"/>
      <c r="L1722" s="3"/>
    </row>
    <row r="1723" spans="9:12" x14ac:dyDescent="0.25">
      <c r="I1723" s="3"/>
      <c r="J1723" s="3"/>
      <c r="K1723" s="3"/>
      <c r="L1723" s="3"/>
    </row>
    <row r="1724" spans="9:12" x14ac:dyDescent="0.25">
      <c r="I1724" s="3"/>
      <c r="J1724" s="3"/>
      <c r="K1724" s="3"/>
      <c r="L1724" s="3"/>
    </row>
    <row r="1725" spans="9:12" x14ac:dyDescent="0.25">
      <c r="I1725" s="3"/>
      <c r="J1725" s="3"/>
      <c r="K1725" s="3"/>
      <c r="L1725" s="3"/>
    </row>
    <row r="1726" spans="9:12" x14ac:dyDescent="0.25">
      <c r="I1726" s="3"/>
      <c r="J1726" s="3"/>
      <c r="K1726" s="3"/>
      <c r="L1726" s="3"/>
    </row>
    <row r="1727" spans="9:12" x14ac:dyDescent="0.25">
      <c r="I1727" s="3"/>
      <c r="J1727" s="3"/>
      <c r="K1727" s="3"/>
      <c r="L1727" s="3"/>
    </row>
    <row r="1728" spans="9:12" x14ac:dyDescent="0.25">
      <c r="I1728" s="3"/>
      <c r="J1728" s="3"/>
      <c r="K1728" s="3"/>
      <c r="L1728" s="3"/>
    </row>
    <row r="1729" spans="9:12" x14ac:dyDescent="0.25">
      <c r="I1729" s="3"/>
      <c r="J1729" s="3"/>
      <c r="K1729" s="3"/>
      <c r="L1729" s="3"/>
    </row>
    <row r="1730" spans="9:12" x14ac:dyDescent="0.25">
      <c r="I1730" s="3"/>
      <c r="J1730" s="3"/>
      <c r="K1730" s="3"/>
      <c r="L1730" s="3"/>
    </row>
    <row r="1731" spans="9:12" x14ac:dyDescent="0.25">
      <c r="I1731" s="3"/>
      <c r="J1731" s="3"/>
      <c r="K1731" s="3"/>
      <c r="L1731" s="3"/>
    </row>
    <row r="1732" spans="9:12" x14ac:dyDescent="0.25">
      <c r="I1732" s="3"/>
      <c r="J1732" s="3"/>
      <c r="K1732" s="3"/>
      <c r="L1732" s="3"/>
    </row>
    <row r="1733" spans="9:12" x14ac:dyDescent="0.25">
      <c r="I1733" s="3"/>
      <c r="J1733" s="3"/>
      <c r="K1733" s="3"/>
      <c r="L1733" s="3"/>
    </row>
    <row r="1734" spans="9:12" x14ac:dyDescent="0.25">
      <c r="I1734" s="3"/>
      <c r="J1734" s="3"/>
      <c r="K1734" s="3"/>
      <c r="L1734" s="3"/>
    </row>
    <row r="1735" spans="9:12" x14ac:dyDescent="0.25">
      <c r="I1735" s="3"/>
      <c r="J1735" s="3"/>
      <c r="K1735" s="3"/>
      <c r="L1735" s="3"/>
    </row>
    <row r="1736" spans="9:12" x14ac:dyDescent="0.25">
      <c r="I1736" s="3"/>
      <c r="J1736" s="3"/>
      <c r="K1736" s="3"/>
      <c r="L1736" s="3"/>
    </row>
    <row r="1737" spans="9:12" x14ac:dyDescent="0.25">
      <c r="I1737" s="3"/>
      <c r="J1737" s="3"/>
      <c r="K1737" s="3"/>
      <c r="L1737" s="3"/>
    </row>
    <row r="1738" spans="9:12" x14ac:dyDescent="0.25">
      <c r="I1738" s="3"/>
      <c r="J1738" s="3"/>
      <c r="K1738" s="3"/>
      <c r="L1738" s="3"/>
    </row>
    <row r="1739" spans="9:12" x14ac:dyDescent="0.25">
      <c r="I1739" s="3"/>
      <c r="J1739" s="3"/>
      <c r="K1739" s="3"/>
      <c r="L1739" s="3"/>
    </row>
    <row r="1740" spans="9:12" x14ac:dyDescent="0.25">
      <c r="I1740" s="3"/>
      <c r="J1740" s="3"/>
      <c r="K1740" s="3"/>
      <c r="L1740" s="3"/>
    </row>
    <row r="1741" spans="9:12" x14ac:dyDescent="0.25">
      <c r="I1741" s="3"/>
      <c r="J1741" s="3"/>
      <c r="K1741" s="3"/>
      <c r="L1741" s="3"/>
    </row>
    <row r="1742" spans="9:12" x14ac:dyDescent="0.25">
      <c r="I1742" s="3"/>
      <c r="J1742" s="3"/>
      <c r="K1742" s="3"/>
      <c r="L1742" s="3"/>
    </row>
    <row r="1743" spans="9:12" x14ac:dyDescent="0.25">
      <c r="I1743" s="3"/>
      <c r="J1743" s="3"/>
      <c r="K1743" s="3"/>
      <c r="L1743" s="3"/>
    </row>
    <row r="1744" spans="9:12" x14ac:dyDescent="0.25">
      <c r="I1744" s="3"/>
      <c r="J1744" s="3"/>
      <c r="K1744" s="3"/>
      <c r="L1744" s="3"/>
    </row>
    <row r="1745" spans="9:12" x14ac:dyDescent="0.25">
      <c r="I1745" s="3"/>
      <c r="J1745" s="3"/>
      <c r="K1745" s="3"/>
      <c r="L1745" s="3"/>
    </row>
    <row r="1746" spans="9:12" x14ac:dyDescent="0.25">
      <c r="I1746" s="3"/>
      <c r="J1746" s="3"/>
      <c r="K1746" s="3"/>
      <c r="L1746" s="3"/>
    </row>
    <row r="1747" spans="9:12" x14ac:dyDescent="0.25">
      <c r="I1747" s="3"/>
      <c r="J1747" s="3"/>
      <c r="K1747" s="3"/>
      <c r="L1747" s="3"/>
    </row>
    <row r="1748" spans="9:12" x14ac:dyDescent="0.25">
      <c r="I1748" s="3"/>
      <c r="J1748" s="3"/>
      <c r="K1748" s="3"/>
      <c r="L1748" s="3"/>
    </row>
    <row r="1749" spans="9:12" x14ac:dyDescent="0.25">
      <c r="I1749" s="3"/>
      <c r="J1749" s="3"/>
      <c r="K1749" s="3"/>
      <c r="L1749" s="3"/>
    </row>
    <row r="1750" spans="9:12" x14ac:dyDescent="0.25">
      <c r="I1750" s="3"/>
      <c r="J1750" s="3"/>
      <c r="K1750" s="3"/>
      <c r="L1750" s="3"/>
    </row>
    <row r="1751" spans="9:12" x14ac:dyDescent="0.25">
      <c r="I1751" s="3"/>
      <c r="J1751" s="3"/>
      <c r="K1751" s="3"/>
      <c r="L1751" s="3"/>
    </row>
    <row r="1752" spans="9:12" x14ac:dyDescent="0.25">
      <c r="I1752" s="3"/>
      <c r="J1752" s="3"/>
      <c r="K1752" s="3"/>
      <c r="L1752" s="3"/>
    </row>
    <row r="1753" spans="9:12" x14ac:dyDescent="0.25">
      <c r="I1753" s="3"/>
      <c r="J1753" s="3"/>
      <c r="K1753" s="3"/>
      <c r="L1753" s="3"/>
    </row>
    <row r="1754" spans="9:12" x14ac:dyDescent="0.25">
      <c r="I1754" s="3"/>
      <c r="J1754" s="3"/>
      <c r="K1754" s="3"/>
      <c r="L1754" s="3"/>
    </row>
    <row r="1755" spans="9:12" x14ac:dyDescent="0.25">
      <c r="I1755" s="3"/>
      <c r="J1755" s="3"/>
      <c r="K1755" s="3"/>
      <c r="L1755" s="3"/>
    </row>
    <row r="1756" spans="9:12" x14ac:dyDescent="0.25">
      <c r="I1756" s="3"/>
      <c r="J1756" s="3"/>
      <c r="K1756" s="3"/>
      <c r="L1756" s="3"/>
    </row>
    <row r="1757" spans="9:12" x14ac:dyDescent="0.25">
      <c r="I1757" s="3"/>
      <c r="J1757" s="3"/>
      <c r="K1757" s="3"/>
      <c r="L1757" s="3"/>
    </row>
    <row r="1758" spans="9:12" x14ac:dyDescent="0.25">
      <c r="I1758" s="3"/>
      <c r="J1758" s="3"/>
      <c r="K1758" s="3"/>
      <c r="L1758" s="3"/>
    </row>
    <row r="1759" spans="9:12" x14ac:dyDescent="0.25">
      <c r="I1759" s="3"/>
      <c r="J1759" s="3"/>
      <c r="K1759" s="3"/>
      <c r="L1759" s="3"/>
    </row>
    <row r="1760" spans="9:12" x14ac:dyDescent="0.25">
      <c r="I1760" s="3"/>
      <c r="J1760" s="3"/>
      <c r="K1760" s="3"/>
      <c r="L1760" s="3"/>
    </row>
    <row r="1761" spans="9:12" x14ac:dyDescent="0.25">
      <c r="I1761" s="3"/>
      <c r="J1761" s="3"/>
      <c r="K1761" s="3"/>
      <c r="L1761" s="3"/>
    </row>
    <row r="1762" spans="9:12" x14ac:dyDescent="0.25">
      <c r="I1762" s="3"/>
      <c r="J1762" s="3"/>
      <c r="K1762" s="3"/>
      <c r="L1762" s="3"/>
    </row>
    <row r="1763" spans="9:12" x14ac:dyDescent="0.25">
      <c r="I1763" s="3"/>
      <c r="J1763" s="3"/>
      <c r="K1763" s="3"/>
      <c r="L1763" s="3"/>
    </row>
    <row r="1764" spans="9:12" x14ac:dyDescent="0.25">
      <c r="I1764" s="3"/>
      <c r="J1764" s="3"/>
      <c r="K1764" s="3"/>
      <c r="L1764" s="3"/>
    </row>
    <row r="1765" spans="9:12" x14ac:dyDescent="0.25">
      <c r="I1765" s="3"/>
      <c r="J1765" s="3"/>
      <c r="K1765" s="3"/>
      <c r="L1765" s="3"/>
    </row>
    <row r="1766" spans="9:12" x14ac:dyDescent="0.25">
      <c r="I1766" s="3"/>
      <c r="J1766" s="3"/>
      <c r="K1766" s="3"/>
      <c r="L1766" s="3"/>
    </row>
    <row r="1767" spans="9:12" x14ac:dyDescent="0.25">
      <c r="I1767" s="3"/>
      <c r="J1767" s="3"/>
      <c r="K1767" s="3"/>
      <c r="L1767" s="3"/>
    </row>
    <row r="1768" spans="9:12" x14ac:dyDescent="0.25">
      <c r="I1768" s="3"/>
      <c r="J1768" s="3"/>
      <c r="K1768" s="3"/>
      <c r="L1768" s="3"/>
    </row>
    <row r="1769" spans="9:12" x14ac:dyDescent="0.25">
      <c r="I1769" s="3"/>
      <c r="J1769" s="3"/>
      <c r="K1769" s="3"/>
      <c r="L1769" s="3"/>
    </row>
    <row r="1770" spans="9:12" x14ac:dyDescent="0.25">
      <c r="I1770" s="3"/>
      <c r="J1770" s="3"/>
      <c r="K1770" s="3"/>
      <c r="L1770" s="3"/>
    </row>
    <row r="1771" spans="9:12" x14ac:dyDescent="0.25">
      <c r="I1771" s="3"/>
      <c r="J1771" s="3"/>
      <c r="K1771" s="3"/>
      <c r="L1771" s="3"/>
    </row>
    <row r="1772" spans="9:12" x14ac:dyDescent="0.25">
      <c r="I1772" s="3"/>
      <c r="J1772" s="3"/>
      <c r="K1772" s="3"/>
      <c r="L1772" s="3"/>
    </row>
    <row r="1773" spans="9:12" x14ac:dyDescent="0.25">
      <c r="I1773" s="3"/>
      <c r="J1773" s="3"/>
      <c r="K1773" s="3"/>
      <c r="L1773" s="3"/>
    </row>
    <row r="1774" spans="9:12" x14ac:dyDescent="0.25">
      <c r="I1774" s="3"/>
      <c r="J1774" s="3"/>
      <c r="K1774" s="3"/>
      <c r="L1774" s="3"/>
    </row>
    <row r="1775" spans="9:12" x14ac:dyDescent="0.25">
      <c r="I1775" s="3"/>
      <c r="J1775" s="3"/>
      <c r="K1775" s="3"/>
      <c r="L1775" s="3"/>
    </row>
    <row r="1776" spans="9:12" x14ac:dyDescent="0.25">
      <c r="I1776" s="3"/>
      <c r="J1776" s="3"/>
      <c r="K1776" s="3"/>
      <c r="L1776" s="3"/>
    </row>
    <row r="1777" spans="9:12" x14ac:dyDescent="0.25">
      <c r="I1777" s="3"/>
      <c r="J1777" s="3"/>
      <c r="K1777" s="3"/>
      <c r="L1777" s="3"/>
    </row>
    <row r="1778" spans="9:12" x14ac:dyDescent="0.25">
      <c r="I1778" s="3"/>
      <c r="J1778" s="3"/>
      <c r="K1778" s="3"/>
      <c r="L1778" s="3"/>
    </row>
    <row r="1779" spans="9:12" x14ac:dyDescent="0.25">
      <c r="I1779" s="3"/>
      <c r="J1779" s="3"/>
      <c r="K1779" s="3"/>
      <c r="L1779" s="3"/>
    </row>
    <row r="1780" spans="9:12" x14ac:dyDescent="0.25">
      <c r="I1780" s="3"/>
      <c r="J1780" s="3"/>
      <c r="K1780" s="3"/>
      <c r="L1780" s="3"/>
    </row>
    <row r="1781" spans="9:12" x14ac:dyDescent="0.25">
      <c r="I1781" s="3"/>
      <c r="J1781" s="3"/>
      <c r="K1781" s="3"/>
      <c r="L1781" s="3"/>
    </row>
    <row r="1782" spans="9:12" x14ac:dyDescent="0.25">
      <c r="I1782" s="5"/>
      <c r="J1782" s="5"/>
      <c r="K1782" s="5"/>
      <c r="L1782" s="5"/>
    </row>
    <row r="1783" spans="9:12" x14ac:dyDescent="0.25">
      <c r="I1783" s="5"/>
      <c r="J1783" s="5"/>
      <c r="K1783" s="5"/>
      <c r="L1783" s="5"/>
    </row>
    <row r="1784" spans="9:12" x14ac:dyDescent="0.25">
      <c r="I1784" s="5"/>
      <c r="J1784" s="5"/>
      <c r="K1784" s="5"/>
      <c r="L1784" s="5"/>
    </row>
    <row r="1785" spans="9:12" x14ac:dyDescent="0.25">
      <c r="I1785" s="3"/>
      <c r="J1785" s="3"/>
      <c r="K1785" s="3"/>
      <c r="L1785" s="3"/>
    </row>
    <row r="1786" spans="9:12" x14ac:dyDescent="0.25">
      <c r="I1786" s="3"/>
      <c r="J1786" s="3"/>
      <c r="K1786" s="3"/>
      <c r="L1786" s="3"/>
    </row>
    <row r="1787" spans="9:12" x14ac:dyDescent="0.25">
      <c r="I1787" s="3"/>
      <c r="J1787" s="3"/>
      <c r="K1787" s="3"/>
      <c r="L1787" s="3"/>
    </row>
    <row r="1788" spans="9:12" x14ac:dyDescent="0.25">
      <c r="I1788" s="4"/>
      <c r="J1788" s="4"/>
      <c r="K1788" s="4"/>
      <c r="L1788" s="4"/>
    </row>
    <row r="1789" spans="9:12" x14ac:dyDescent="0.25">
      <c r="I1789" s="4"/>
      <c r="J1789" s="4"/>
      <c r="K1789" s="4"/>
      <c r="L1789" s="4"/>
    </row>
    <row r="1790" spans="9:12" x14ac:dyDescent="0.25">
      <c r="I1790" s="3"/>
      <c r="J1790" s="3"/>
      <c r="K1790" s="3"/>
      <c r="L1790" s="3"/>
    </row>
    <row r="1791" spans="9:12" x14ac:dyDescent="0.25">
      <c r="I1791" s="3"/>
      <c r="J1791" s="3"/>
      <c r="K1791" s="3"/>
      <c r="L1791" s="3"/>
    </row>
    <row r="1792" spans="9:12" x14ac:dyDescent="0.25">
      <c r="I1792" s="3"/>
      <c r="J1792" s="3"/>
      <c r="K1792" s="3"/>
      <c r="L1792" s="3"/>
    </row>
    <row r="1793" spans="9:12" x14ac:dyDescent="0.25">
      <c r="I1793" s="3"/>
      <c r="J1793" s="3"/>
      <c r="K1793" s="3"/>
      <c r="L1793" s="3"/>
    </row>
    <row r="1794" spans="9:12" x14ac:dyDescent="0.25">
      <c r="I1794" s="3"/>
      <c r="J1794" s="3"/>
      <c r="K1794" s="3"/>
      <c r="L1794" s="3"/>
    </row>
    <row r="1795" spans="9:12" x14ac:dyDescent="0.25">
      <c r="I1795" s="3"/>
      <c r="J1795" s="3"/>
      <c r="K1795" s="3"/>
      <c r="L1795" s="3"/>
    </row>
    <row r="1796" spans="9:12" x14ac:dyDescent="0.25">
      <c r="I1796" s="3"/>
      <c r="J1796" s="3"/>
      <c r="K1796" s="3"/>
      <c r="L1796" s="3"/>
    </row>
    <row r="1797" spans="9:12" x14ac:dyDescent="0.25">
      <c r="I1797" s="3"/>
      <c r="J1797" s="3"/>
      <c r="K1797" s="3"/>
      <c r="L1797" s="3"/>
    </row>
    <row r="1798" spans="9:12" x14ac:dyDescent="0.25">
      <c r="I1798" s="3"/>
      <c r="J1798" s="3"/>
      <c r="K1798" s="3"/>
      <c r="L1798" s="3"/>
    </row>
    <row r="1799" spans="9:12" x14ac:dyDescent="0.25">
      <c r="I1799" s="3"/>
      <c r="J1799" s="3"/>
      <c r="K1799" s="3"/>
      <c r="L1799" s="3"/>
    </row>
    <row r="1800" spans="9:12" x14ac:dyDescent="0.25">
      <c r="I1800" s="3"/>
      <c r="J1800" s="3"/>
      <c r="K1800" s="3"/>
      <c r="L1800" s="3"/>
    </row>
    <row r="1801" spans="9:12" x14ac:dyDescent="0.25">
      <c r="I1801" s="3"/>
      <c r="J1801" s="3"/>
      <c r="K1801" s="3"/>
      <c r="L1801" s="3"/>
    </row>
    <row r="1802" spans="9:12" x14ac:dyDescent="0.25">
      <c r="I1802" s="3"/>
      <c r="J1802" s="3"/>
      <c r="K1802" s="3"/>
      <c r="L1802" s="3"/>
    </row>
    <row r="1803" spans="9:12" x14ac:dyDescent="0.25">
      <c r="I1803" s="3"/>
      <c r="J1803" s="3"/>
      <c r="K1803" s="3"/>
      <c r="L1803" s="3"/>
    </row>
    <row r="1804" spans="9:12" x14ac:dyDescent="0.25">
      <c r="I1804" s="3"/>
      <c r="J1804" s="3"/>
      <c r="K1804" s="3"/>
      <c r="L1804" s="3"/>
    </row>
    <row r="1805" spans="9:12" x14ac:dyDescent="0.25">
      <c r="I1805" s="3"/>
      <c r="J1805" s="3"/>
      <c r="K1805" s="3"/>
      <c r="L1805" s="3"/>
    </row>
    <row r="1806" spans="9:12" x14ac:dyDescent="0.25">
      <c r="I1806" s="3"/>
      <c r="J1806" s="3"/>
      <c r="K1806" s="3"/>
      <c r="L1806" s="3"/>
    </row>
    <row r="1807" spans="9:12" x14ac:dyDescent="0.25">
      <c r="I1807" s="3"/>
      <c r="J1807" s="3"/>
      <c r="K1807" s="3"/>
      <c r="L1807" s="3"/>
    </row>
    <row r="1808" spans="9:12" x14ac:dyDescent="0.25">
      <c r="I1808" s="3"/>
      <c r="J1808" s="3"/>
      <c r="K1808" s="3"/>
      <c r="L1808" s="3"/>
    </row>
    <row r="1809" spans="9:12" x14ac:dyDescent="0.25">
      <c r="I1809" s="3"/>
      <c r="J1809" s="3"/>
      <c r="K1809" s="3"/>
      <c r="L1809" s="3"/>
    </row>
    <row r="1810" spans="9:12" x14ac:dyDescent="0.25">
      <c r="I1810" s="3"/>
      <c r="J1810" s="3"/>
      <c r="K1810" s="3"/>
      <c r="L1810" s="3"/>
    </row>
    <row r="1811" spans="9:12" x14ac:dyDescent="0.25">
      <c r="I1811" s="3"/>
      <c r="J1811" s="3"/>
      <c r="K1811" s="3"/>
      <c r="L1811" s="3"/>
    </row>
    <row r="1812" spans="9:12" x14ac:dyDescent="0.25">
      <c r="I1812" s="3"/>
      <c r="J1812" s="3"/>
      <c r="K1812" s="3"/>
      <c r="L1812" s="3"/>
    </row>
    <row r="1813" spans="9:12" x14ac:dyDescent="0.25">
      <c r="I1813" s="3"/>
      <c r="J1813" s="3"/>
      <c r="K1813" s="3"/>
      <c r="L1813" s="3"/>
    </row>
    <row r="1814" spans="9:12" x14ac:dyDescent="0.25">
      <c r="I1814" s="3"/>
      <c r="J1814" s="3"/>
      <c r="K1814" s="3"/>
      <c r="L1814" s="3"/>
    </row>
    <row r="1815" spans="9:12" x14ac:dyDescent="0.25">
      <c r="I1815" s="3"/>
      <c r="J1815" s="3"/>
      <c r="K1815" s="3"/>
      <c r="L1815" s="3"/>
    </row>
    <row r="1816" spans="9:12" x14ac:dyDescent="0.25">
      <c r="I1816" s="3"/>
      <c r="J1816" s="3"/>
      <c r="K1816" s="3"/>
      <c r="L1816" s="3"/>
    </row>
    <row r="1817" spans="9:12" x14ac:dyDescent="0.25">
      <c r="I1817" s="3"/>
      <c r="J1817" s="3"/>
      <c r="K1817" s="3"/>
      <c r="L1817" s="3"/>
    </row>
    <row r="1818" spans="9:12" x14ac:dyDescent="0.25">
      <c r="I1818" s="3"/>
      <c r="J1818" s="3"/>
      <c r="K1818" s="3"/>
      <c r="L1818" s="3"/>
    </row>
    <row r="1819" spans="9:12" x14ac:dyDescent="0.25">
      <c r="I1819" s="3"/>
      <c r="J1819" s="3"/>
      <c r="K1819" s="3"/>
      <c r="L1819" s="3"/>
    </row>
    <row r="1820" spans="9:12" x14ac:dyDescent="0.25">
      <c r="I1820" s="3"/>
      <c r="J1820" s="3"/>
      <c r="K1820" s="3"/>
      <c r="L1820" s="3"/>
    </row>
    <row r="1821" spans="9:12" x14ac:dyDescent="0.25">
      <c r="I1821" s="3"/>
      <c r="J1821" s="3"/>
      <c r="K1821" s="3"/>
      <c r="L1821" s="3"/>
    </row>
    <row r="1822" spans="9:12" x14ac:dyDescent="0.25">
      <c r="I1822" s="3"/>
      <c r="J1822" s="3"/>
      <c r="K1822" s="3"/>
      <c r="L1822" s="3"/>
    </row>
    <row r="1823" spans="9:12" x14ac:dyDescent="0.25">
      <c r="I1823" s="3"/>
      <c r="J1823" s="3"/>
      <c r="K1823" s="3"/>
      <c r="L1823" s="3"/>
    </row>
    <row r="1824" spans="9:12" x14ac:dyDescent="0.25">
      <c r="I1824" s="3"/>
      <c r="J1824" s="3"/>
      <c r="K1824" s="3"/>
      <c r="L1824" s="3"/>
    </row>
    <row r="1825" spans="9:12" x14ac:dyDescent="0.25">
      <c r="I1825" s="3"/>
      <c r="J1825" s="3"/>
      <c r="K1825" s="3"/>
      <c r="L1825" s="3"/>
    </row>
    <row r="1826" spans="9:12" x14ac:dyDescent="0.25">
      <c r="I1826" s="3"/>
      <c r="J1826" s="3"/>
      <c r="K1826" s="3"/>
      <c r="L1826" s="3"/>
    </row>
    <row r="1827" spans="9:12" x14ac:dyDescent="0.25">
      <c r="I1827" s="3"/>
      <c r="J1827" s="3"/>
      <c r="K1827" s="3"/>
      <c r="L1827" s="3"/>
    </row>
    <row r="1828" spans="9:12" x14ac:dyDescent="0.25">
      <c r="I1828" s="3"/>
      <c r="J1828" s="3"/>
      <c r="K1828" s="3"/>
      <c r="L1828" s="3"/>
    </row>
    <row r="1829" spans="9:12" x14ac:dyDescent="0.25">
      <c r="I1829" s="3"/>
      <c r="J1829" s="3"/>
      <c r="K1829" s="3"/>
      <c r="L1829" s="3"/>
    </row>
    <row r="1830" spans="9:12" x14ac:dyDescent="0.25">
      <c r="I1830" s="3"/>
      <c r="J1830" s="3"/>
      <c r="K1830" s="3"/>
      <c r="L1830" s="3"/>
    </row>
    <row r="1831" spans="9:12" x14ac:dyDescent="0.25">
      <c r="I1831" s="3"/>
      <c r="J1831" s="3"/>
      <c r="K1831" s="3"/>
      <c r="L1831" s="3"/>
    </row>
    <row r="1832" spans="9:12" x14ac:dyDescent="0.25">
      <c r="I1832" s="3"/>
      <c r="J1832" s="3"/>
      <c r="K1832" s="3"/>
      <c r="L1832" s="3"/>
    </row>
    <row r="1833" spans="9:12" x14ac:dyDescent="0.25">
      <c r="I1833" s="3"/>
      <c r="J1833" s="3"/>
      <c r="K1833" s="3"/>
      <c r="L1833" s="3"/>
    </row>
    <row r="1834" spans="9:12" x14ac:dyDescent="0.25">
      <c r="I1834" s="3"/>
      <c r="J1834" s="3"/>
      <c r="K1834" s="3"/>
      <c r="L1834" s="3"/>
    </row>
    <row r="1835" spans="9:12" x14ac:dyDescent="0.25">
      <c r="I1835" s="3"/>
      <c r="J1835" s="3"/>
      <c r="K1835" s="3"/>
      <c r="L1835" s="3"/>
    </row>
    <row r="1836" spans="9:12" x14ac:dyDescent="0.25">
      <c r="I1836" s="3"/>
      <c r="J1836" s="3"/>
      <c r="K1836" s="3"/>
      <c r="L1836" s="3"/>
    </row>
    <row r="1837" spans="9:12" x14ac:dyDescent="0.25">
      <c r="I1837" s="3"/>
      <c r="J1837" s="3"/>
      <c r="K1837" s="3"/>
      <c r="L1837" s="3"/>
    </row>
    <row r="1838" spans="9:12" x14ac:dyDescent="0.25">
      <c r="I1838" s="3"/>
      <c r="J1838" s="3"/>
      <c r="K1838" s="3"/>
      <c r="L1838" s="3"/>
    </row>
    <row r="1839" spans="9:12" x14ac:dyDescent="0.25">
      <c r="I1839" s="3"/>
      <c r="J1839" s="3"/>
      <c r="K1839" s="3"/>
      <c r="L1839" s="3"/>
    </row>
    <row r="1840" spans="9:12" x14ac:dyDescent="0.25">
      <c r="I1840" s="3"/>
      <c r="J1840" s="3"/>
      <c r="K1840" s="3"/>
      <c r="L1840" s="3"/>
    </row>
    <row r="1841" spans="9:12" x14ac:dyDescent="0.25">
      <c r="I1841" s="3"/>
      <c r="J1841" s="3"/>
      <c r="K1841" s="3"/>
      <c r="L1841" s="3"/>
    </row>
    <row r="1842" spans="9:12" x14ac:dyDescent="0.25">
      <c r="I1842" s="3"/>
      <c r="J1842" s="3"/>
      <c r="K1842" s="3"/>
      <c r="L1842" s="3"/>
    </row>
    <row r="1843" spans="9:12" x14ac:dyDescent="0.25">
      <c r="I1843" s="3"/>
      <c r="J1843" s="3"/>
      <c r="K1843" s="3"/>
      <c r="L1843" s="3"/>
    </row>
    <row r="1844" spans="9:12" x14ac:dyDescent="0.25">
      <c r="I1844" s="3"/>
      <c r="J1844" s="3"/>
      <c r="K1844" s="3"/>
      <c r="L1844" s="3"/>
    </row>
    <row r="1845" spans="9:12" x14ac:dyDescent="0.25">
      <c r="I1845" s="3"/>
      <c r="J1845" s="3"/>
      <c r="K1845" s="3"/>
      <c r="L1845" s="3"/>
    </row>
    <row r="1846" spans="9:12" x14ac:dyDescent="0.25">
      <c r="I1846" s="3"/>
      <c r="J1846" s="3"/>
      <c r="K1846" s="3"/>
      <c r="L1846" s="3"/>
    </row>
    <row r="1847" spans="9:12" x14ac:dyDescent="0.25">
      <c r="I1847" s="3"/>
      <c r="J1847" s="3"/>
      <c r="K1847" s="3"/>
      <c r="L1847" s="3"/>
    </row>
    <row r="1848" spans="9:12" x14ac:dyDescent="0.25">
      <c r="I1848" s="3"/>
      <c r="J1848" s="3"/>
      <c r="K1848" s="3"/>
      <c r="L1848" s="3"/>
    </row>
    <row r="1849" spans="9:12" x14ac:dyDescent="0.25">
      <c r="I1849" s="3"/>
      <c r="J1849" s="3"/>
      <c r="K1849" s="3"/>
      <c r="L1849" s="3"/>
    </row>
    <row r="1850" spans="9:12" x14ac:dyDescent="0.25">
      <c r="I1850" s="3"/>
      <c r="J1850" s="3"/>
      <c r="K1850" s="3"/>
      <c r="L1850" s="3"/>
    </row>
    <row r="1851" spans="9:12" x14ac:dyDescent="0.25">
      <c r="I1851" s="3"/>
      <c r="J1851" s="3"/>
      <c r="K1851" s="3"/>
      <c r="L1851" s="3"/>
    </row>
    <row r="1852" spans="9:12" x14ac:dyDescent="0.25">
      <c r="I1852" s="3"/>
      <c r="J1852" s="3"/>
      <c r="K1852" s="3"/>
      <c r="L1852" s="3"/>
    </row>
    <row r="1853" spans="9:12" x14ac:dyDescent="0.25">
      <c r="I1853" s="3"/>
      <c r="J1853" s="3"/>
      <c r="K1853" s="3"/>
      <c r="L1853" s="3"/>
    </row>
    <row r="1854" spans="9:12" x14ac:dyDescent="0.25">
      <c r="I1854" s="3"/>
      <c r="J1854" s="3"/>
      <c r="K1854" s="3"/>
      <c r="L1854" s="3"/>
    </row>
    <row r="1855" spans="9:12" x14ac:dyDescent="0.25">
      <c r="I1855" s="3"/>
      <c r="J1855" s="3"/>
      <c r="K1855" s="3"/>
      <c r="L1855" s="3"/>
    </row>
    <row r="1856" spans="9:12" x14ac:dyDescent="0.25">
      <c r="I1856" s="3"/>
      <c r="J1856" s="3"/>
      <c r="K1856" s="3"/>
      <c r="L1856" s="3"/>
    </row>
    <row r="1857" spans="9:12" x14ac:dyDescent="0.25">
      <c r="I1857" s="3"/>
      <c r="J1857" s="3"/>
      <c r="K1857" s="3"/>
      <c r="L1857" s="3"/>
    </row>
    <row r="1858" spans="9:12" x14ac:dyDescent="0.25">
      <c r="I1858" s="3"/>
      <c r="J1858" s="3"/>
      <c r="K1858" s="3"/>
      <c r="L1858" s="3"/>
    </row>
    <row r="1859" spans="9:12" x14ac:dyDescent="0.25">
      <c r="I1859" s="3"/>
      <c r="J1859" s="3"/>
      <c r="K1859" s="3"/>
      <c r="L1859" s="3"/>
    </row>
    <row r="1860" spans="9:12" x14ac:dyDescent="0.25">
      <c r="I1860" s="3"/>
      <c r="J1860" s="3"/>
      <c r="K1860" s="3"/>
      <c r="L1860" s="3"/>
    </row>
    <row r="1861" spans="9:12" x14ac:dyDescent="0.25">
      <c r="I1861" s="3"/>
      <c r="J1861" s="3"/>
      <c r="K1861" s="3"/>
      <c r="L1861" s="3"/>
    </row>
    <row r="1862" spans="9:12" x14ac:dyDescent="0.25">
      <c r="I1862" s="3"/>
      <c r="J1862" s="3"/>
      <c r="K1862" s="3"/>
      <c r="L1862" s="3"/>
    </row>
    <row r="1863" spans="9:12" x14ac:dyDescent="0.25">
      <c r="I1863" s="3"/>
      <c r="J1863" s="3"/>
      <c r="K1863" s="3"/>
      <c r="L1863" s="3"/>
    </row>
    <row r="1864" spans="9:12" x14ac:dyDescent="0.25">
      <c r="I1864" s="3"/>
      <c r="J1864" s="3"/>
      <c r="K1864" s="3"/>
      <c r="L1864" s="3"/>
    </row>
    <row r="1865" spans="9:12" x14ac:dyDescent="0.25">
      <c r="I1865" s="3"/>
      <c r="J1865" s="3"/>
      <c r="K1865" s="3"/>
      <c r="L1865" s="3"/>
    </row>
    <row r="1866" spans="9:12" x14ac:dyDescent="0.25">
      <c r="I1866" s="3"/>
      <c r="J1866" s="3"/>
      <c r="K1866" s="3"/>
      <c r="L1866" s="3"/>
    </row>
    <row r="1867" spans="9:12" x14ac:dyDescent="0.25">
      <c r="I1867" s="3"/>
      <c r="J1867" s="3"/>
      <c r="K1867" s="3"/>
      <c r="L1867" s="3"/>
    </row>
    <row r="1868" spans="9:12" x14ac:dyDescent="0.25">
      <c r="I1868" s="3"/>
      <c r="J1868" s="3"/>
      <c r="K1868" s="3"/>
      <c r="L1868" s="3"/>
    </row>
    <row r="1869" spans="9:12" x14ac:dyDescent="0.25">
      <c r="I1869" s="3"/>
      <c r="J1869" s="3"/>
      <c r="K1869" s="3"/>
      <c r="L1869" s="3"/>
    </row>
    <row r="1870" spans="9:12" x14ac:dyDescent="0.25">
      <c r="I1870" s="3"/>
      <c r="J1870" s="3"/>
      <c r="K1870" s="3"/>
      <c r="L1870" s="3"/>
    </row>
    <row r="1871" spans="9:12" x14ac:dyDescent="0.25">
      <c r="I1871" s="4"/>
      <c r="J1871" s="4"/>
      <c r="K1871" s="4"/>
      <c r="L1871" s="4"/>
    </row>
    <row r="1872" spans="9:12" x14ac:dyDescent="0.25">
      <c r="I1872" s="4"/>
      <c r="J1872" s="4"/>
      <c r="K1872" s="4"/>
      <c r="L1872" s="4"/>
    </row>
    <row r="1873" spans="9:12" x14ac:dyDescent="0.25">
      <c r="I1873" s="4"/>
      <c r="J1873" s="4"/>
      <c r="K1873" s="4"/>
      <c r="L1873" s="4"/>
    </row>
    <row r="1874" spans="9:12" x14ac:dyDescent="0.25">
      <c r="I1874" s="4"/>
      <c r="J1874" s="4"/>
      <c r="K1874" s="4"/>
      <c r="L1874" s="4"/>
    </row>
    <row r="1875" spans="9:12" x14ac:dyDescent="0.25">
      <c r="I1875" s="4"/>
      <c r="J1875" s="4"/>
      <c r="K1875" s="4"/>
      <c r="L1875" s="4"/>
    </row>
    <row r="1876" spans="9:12" x14ac:dyDescent="0.25">
      <c r="I1876" s="3"/>
      <c r="J1876" s="3"/>
      <c r="K1876" s="3"/>
      <c r="L1876" s="3"/>
    </row>
    <row r="1877" spans="9:12" x14ac:dyDescent="0.25">
      <c r="I1877" s="3"/>
      <c r="J1877" s="3"/>
      <c r="K1877" s="3"/>
      <c r="L1877" s="3"/>
    </row>
    <row r="1878" spans="9:12" x14ac:dyDescent="0.25">
      <c r="I1878" s="3"/>
      <c r="J1878" s="3"/>
      <c r="K1878" s="3"/>
      <c r="L1878" s="3"/>
    </row>
    <row r="1879" spans="9:12" x14ac:dyDescent="0.25">
      <c r="I1879" s="3"/>
      <c r="J1879" s="3"/>
      <c r="K1879" s="3"/>
      <c r="L1879" s="3"/>
    </row>
    <row r="1880" spans="9:12" x14ac:dyDescent="0.25">
      <c r="I1880" s="3"/>
      <c r="J1880" s="3"/>
      <c r="K1880" s="3"/>
      <c r="L1880" s="3"/>
    </row>
    <row r="1881" spans="9:12" x14ac:dyDescent="0.25">
      <c r="I1881" s="3"/>
      <c r="J1881" s="3"/>
      <c r="K1881" s="3"/>
      <c r="L1881" s="3"/>
    </row>
    <row r="1882" spans="9:12" x14ac:dyDescent="0.25">
      <c r="I1882" s="3"/>
      <c r="J1882" s="3"/>
      <c r="K1882" s="3"/>
      <c r="L1882" s="3"/>
    </row>
    <row r="1883" spans="9:12" x14ac:dyDescent="0.25">
      <c r="I1883" s="3"/>
      <c r="J1883" s="3"/>
      <c r="K1883" s="3"/>
      <c r="L1883" s="3"/>
    </row>
    <row r="1884" spans="9:12" x14ac:dyDescent="0.25">
      <c r="I1884" s="3"/>
      <c r="J1884" s="3"/>
      <c r="K1884" s="3"/>
      <c r="L1884" s="3"/>
    </row>
    <row r="1885" spans="9:12" x14ac:dyDescent="0.25">
      <c r="I1885" s="3"/>
      <c r="J1885" s="3"/>
      <c r="K1885" s="3"/>
      <c r="L1885" s="3"/>
    </row>
    <row r="1886" spans="9:12" x14ac:dyDescent="0.25">
      <c r="I1886" s="3"/>
      <c r="J1886" s="3"/>
      <c r="K1886" s="3"/>
      <c r="L1886" s="3"/>
    </row>
    <row r="1887" spans="9:12" x14ac:dyDescent="0.25">
      <c r="I1887" s="3"/>
      <c r="J1887" s="3"/>
      <c r="K1887" s="3"/>
      <c r="L1887" s="3"/>
    </row>
    <row r="1888" spans="9:12" x14ac:dyDescent="0.25">
      <c r="I1888" s="3"/>
      <c r="J1888" s="3"/>
      <c r="K1888" s="3"/>
      <c r="L1888" s="3"/>
    </row>
    <row r="1889" spans="9:12" x14ac:dyDescent="0.25">
      <c r="I1889" s="3"/>
      <c r="J1889" s="3"/>
      <c r="K1889" s="3"/>
      <c r="L1889" s="3"/>
    </row>
    <row r="1890" spans="9:12" x14ac:dyDescent="0.25">
      <c r="I1890" s="3"/>
      <c r="J1890" s="3"/>
      <c r="K1890" s="3"/>
      <c r="L1890" s="3"/>
    </row>
    <row r="1891" spans="9:12" x14ac:dyDescent="0.25">
      <c r="I1891" s="3"/>
      <c r="J1891" s="3"/>
      <c r="K1891" s="3"/>
      <c r="L1891" s="3"/>
    </row>
    <row r="1892" spans="9:12" x14ac:dyDescent="0.25">
      <c r="I1892" s="3"/>
      <c r="J1892" s="3"/>
      <c r="K1892" s="3"/>
      <c r="L1892" s="3"/>
    </row>
    <row r="1893" spans="9:12" x14ac:dyDescent="0.25">
      <c r="I1893" s="3"/>
      <c r="J1893" s="3"/>
      <c r="K1893" s="3"/>
      <c r="L1893" s="3"/>
    </row>
    <row r="1894" spans="9:12" x14ac:dyDescent="0.25">
      <c r="I1894" s="3"/>
      <c r="J1894" s="3"/>
      <c r="K1894" s="3"/>
      <c r="L1894" s="3"/>
    </row>
    <row r="1895" spans="9:12" x14ac:dyDescent="0.25">
      <c r="I1895" s="3"/>
      <c r="J1895" s="3"/>
      <c r="K1895" s="3"/>
      <c r="L1895" s="3"/>
    </row>
    <row r="1896" spans="9:12" x14ac:dyDescent="0.25">
      <c r="I1896" s="3"/>
      <c r="J1896" s="3"/>
      <c r="K1896" s="3"/>
      <c r="L1896" s="3"/>
    </row>
    <row r="1897" spans="9:12" x14ac:dyDescent="0.25">
      <c r="I1897" s="3"/>
      <c r="J1897" s="3"/>
      <c r="K1897" s="3"/>
      <c r="L1897" s="3"/>
    </row>
    <row r="1898" spans="9:12" x14ac:dyDescent="0.25">
      <c r="I1898" s="3"/>
      <c r="J1898" s="3"/>
      <c r="K1898" s="3"/>
      <c r="L1898" s="3"/>
    </row>
    <row r="1899" spans="9:12" x14ac:dyDescent="0.25">
      <c r="I1899" s="3"/>
      <c r="J1899" s="3"/>
      <c r="K1899" s="3"/>
      <c r="L1899" s="3"/>
    </row>
    <row r="1900" spans="9:12" x14ac:dyDescent="0.25">
      <c r="I1900" s="3"/>
      <c r="J1900" s="3"/>
      <c r="K1900" s="3"/>
      <c r="L1900" s="3"/>
    </row>
    <row r="1901" spans="9:12" x14ac:dyDescent="0.25">
      <c r="I1901" s="3"/>
      <c r="J1901" s="3"/>
      <c r="K1901" s="3"/>
      <c r="L1901" s="3"/>
    </row>
    <row r="1902" spans="9:12" x14ac:dyDescent="0.25">
      <c r="I1902" s="3"/>
      <c r="J1902" s="3"/>
      <c r="K1902" s="3"/>
      <c r="L1902" s="3"/>
    </row>
    <row r="1903" spans="9:12" x14ac:dyDescent="0.25">
      <c r="I1903" s="3"/>
      <c r="J1903" s="3"/>
      <c r="K1903" s="3"/>
      <c r="L1903" s="3"/>
    </row>
    <row r="1904" spans="9:12" x14ac:dyDescent="0.25">
      <c r="I1904" s="3"/>
      <c r="J1904" s="3"/>
      <c r="K1904" s="3"/>
      <c r="L1904" s="3"/>
    </row>
    <row r="1905" spans="9:12" x14ac:dyDescent="0.25">
      <c r="I1905" s="3"/>
      <c r="J1905" s="3"/>
      <c r="K1905" s="3"/>
      <c r="L1905" s="3"/>
    </row>
    <row r="1906" spans="9:12" x14ac:dyDescent="0.25">
      <c r="I1906" s="3"/>
      <c r="J1906" s="3"/>
      <c r="K1906" s="3"/>
      <c r="L1906" s="3"/>
    </row>
    <row r="1907" spans="9:12" x14ac:dyDescent="0.25">
      <c r="I1907" s="3"/>
      <c r="J1907" s="3"/>
      <c r="K1907" s="3"/>
      <c r="L1907" s="3"/>
    </row>
    <row r="1908" spans="9:12" x14ac:dyDescent="0.25">
      <c r="I1908" s="3"/>
      <c r="J1908" s="3"/>
      <c r="K1908" s="3"/>
      <c r="L1908" s="3"/>
    </row>
    <row r="1909" spans="9:12" x14ac:dyDescent="0.25">
      <c r="I1909" s="3"/>
      <c r="J1909" s="3"/>
      <c r="K1909" s="3"/>
      <c r="L1909" s="3"/>
    </row>
    <row r="1910" spans="9:12" x14ac:dyDescent="0.25">
      <c r="I1910" s="3"/>
      <c r="J1910" s="3"/>
      <c r="K1910" s="3"/>
      <c r="L1910" s="3"/>
    </row>
    <row r="1911" spans="9:12" x14ac:dyDescent="0.25">
      <c r="I1911" s="3"/>
      <c r="J1911" s="3"/>
      <c r="K1911" s="3"/>
      <c r="L1911" s="3"/>
    </row>
    <row r="1912" spans="9:12" x14ac:dyDescent="0.25">
      <c r="I1912" s="3"/>
      <c r="J1912" s="3"/>
      <c r="K1912" s="3"/>
      <c r="L1912" s="3"/>
    </row>
    <row r="1913" spans="9:12" x14ac:dyDescent="0.25">
      <c r="I1913" s="3"/>
      <c r="J1913" s="3"/>
      <c r="K1913" s="3"/>
      <c r="L1913" s="3"/>
    </row>
    <row r="1914" spans="9:12" x14ac:dyDescent="0.25">
      <c r="I1914" s="3"/>
      <c r="J1914" s="3"/>
      <c r="K1914" s="3"/>
      <c r="L1914" s="3"/>
    </row>
    <row r="1915" spans="9:12" x14ac:dyDescent="0.25">
      <c r="I1915" s="3"/>
      <c r="J1915" s="3"/>
      <c r="K1915" s="3"/>
      <c r="L1915" s="3"/>
    </row>
    <row r="1916" spans="9:12" x14ac:dyDescent="0.25">
      <c r="I1916" s="3"/>
      <c r="J1916" s="3"/>
      <c r="K1916" s="3"/>
      <c r="L1916" s="3"/>
    </row>
    <row r="1917" spans="9:12" x14ac:dyDescent="0.25">
      <c r="I1917" s="3"/>
      <c r="J1917" s="3"/>
      <c r="K1917" s="3"/>
      <c r="L1917" s="3"/>
    </row>
    <row r="1918" spans="9:12" x14ac:dyDescent="0.25">
      <c r="I1918" s="3"/>
      <c r="J1918" s="3"/>
      <c r="K1918" s="3"/>
      <c r="L1918" s="3"/>
    </row>
    <row r="1919" spans="9:12" x14ac:dyDescent="0.25">
      <c r="I1919" s="3"/>
      <c r="J1919" s="3"/>
      <c r="K1919" s="3"/>
      <c r="L1919" s="3"/>
    </row>
    <row r="1920" spans="9:12" x14ac:dyDescent="0.25">
      <c r="I1920" s="3"/>
      <c r="J1920" s="3"/>
      <c r="K1920" s="3"/>
      <c r="L1920" s="3"/>
    </row>
    <row r="1921" spans="9:12" x14ac:dyDescent="0.25">
      <c r="I1921" s="3"/>
      <c r="J1921" s="3"/>
      <c r="K1921" s="3"/>
      <c r="L1921" s="3"/>
    </row>
    <row r="1922" spans="9:12" x14ac:dyDescent="0.25">
      <c r="I1922" s="3"/>
      <c r="J1922" s="3"/>
      <c r="K1922" s="3"/>
      <c r="L1922" s="3"/>
    </row>
    <row r="1923" spans="9:12" x14ac:dyDescent="0.25">
      <c r="I1923" s="3"/>
      <c r="J1923" s="3"/>
      <c r="K1923" s="3"/>
      <c r="L1923" s="3"/>
    </row>
    <row r="1924" spans="9:12" x14ac:dyDescent="0.25">
      <c r="I1924" s="3"/>
      <c r="J1924" s="3"/>
      <c r="K1924" s="3"/>
      <c r="L1924" s="3"/>
    </row>
    <row r="1925" spans="9:12" x14ac:dyDescent="0.25">
      <c r="I1925" s="3"/>
      <c r="J1925" s="3"/>
      <c r="K1925" s="3"/>
      <c r="L1925" s="3"/>
    </row>
    <row r="1926" spans="9:12" x14ac:dyDescent="0.25">
      <c r="I1926" s="3"/>
      <c r="J1926" s="3"/>
      <c r="K1926" s="3"/>
      <c r="L1926" s="3"/>
    </row>
    <row r="1927" spans="9:12" x14ac:dyDescent="0.25">
      <c r="I1927" s="3"/>
      <c r="J1927" s="3"/>
      <c r="K1927" s="3"/>
      <c r="L1927" s="3"/>
    </row>
    <row r="1928" spans="9:12" x14ac:dyDescent="0.25">
      <c r="I1928" s="3"/>
      <c r="J1928" s="3"/>
      <c r="K1928" s="3"/>
      <c r="L1928" s="3"/>
    </row>
    <row r="1929" spans="9:12" x14ac:dyDescent="0.25">
      <c r="I1929" s="3"/>
      <c r="J1929" s="3"/>
      <c r="K1929" s="3"/>
      <c r="L1929" s="3"/>
    </row>
    <row r="1930" spans="9:12" x14ac:dyDescent="0.25">
      <c r="I1930" s="3"/>
      <c r="J1930" s="3"/>
      <c r="K1930" s="3"/>
      <c r="L1930" s="3"/>
    </row>
    <row r="1931" spans="9:12" x14ac:dyDescent="0.25">
      <c r="I1931" s="3"/>
      <c r="J1931" s="3"/>
      <c r="K1931" s="3"/>
      <c r="L1931" s="3"/>
    </row>
    <row r="1932" spans="9:12" x14ac:dyDescent="0.25">
      <c r="I1932" s="3"/>
      <c r="J1932" s="3"/>
      <c r="K1932" s="3"/>
      <c r="L1932" s="3"/>
    </row>
    <row r="1933" spans="9:12" x14ac:dyDescent="0.25">
      <c r="I1933" s="3"/>
      <c r="J1933" s="3"/>
      <c r="K1933" s="3"/>
      <c r="L1933" s="3"/>
    </row>
    <row r="1934" spans="9:12" x14ac:dyDescent="0.25">
      <c r="I1934" s="4"/>
      <c r="J1934" s="4"/>
      <c r="K1934" s="4"/>
      <c r="L1934" s="4"/>
    </row>
    <row r="1935" spans="9:12" x14ac:dyDescent="0.25">
      <c r="I1935" s="3"/>
      <c r="J1935" s="3"/>
      <c r="K1935" s="3"/>
      <c r="L1935" s="3"/>
    </row>
    <row r="1936" spans="9:12" x14ac:dyDescent="0.25">
      <c r="I1936" s="3"/>
      <c r="J1936" s="3"/>
      <c r="K1936" s="3"/>
      <c r="L1936" s="3"/>
    </row>
    <row r="1937" spans="9:12" x14ac:dyDescent="0.25">
      <c r="I1937" s="3"/>
      <c r="J1937" s="3"/>
      <c r="K1937" s="3"/>
      <c r="L1937" s="3"/>
    </row>
    <row r="1938" spans="9:12" x14ac:dyDescent="0.25">
      <c r="I1938" s="3"/>
      <c r="J1938" s="3"/>
      <c r="K1938" s="3"/>
      <c r="L1938" s="3"/>
    </row>
    <row r="1939" spans="9:12" x14ac:dyDescent="0.25">
      <c r="I1939" s="3"/>
      <c r="J1939" s="3"/>
      <c r="K1939" s="3"/>
      <c r="L1939" s="3"/>
    </row>
    <row r="1940" spans="9:12" x14ac:dyDescent="0.25">
      <c r="I1940" s="3"/>
      <c r="J1940" s="3"/>
      <c r="K1940" s="3"/>
      <c r="L1940" s="3"/>
    </row>
    <row r="1941" spans="9:12" x14ac:dyDescent="0.25">
      <c r="I1941" s="3"/>
      <c r="J1941" s="3"/>
      <c r="K1941" s="3"/>
      <c r="L1941" s="3"/>
    </row>
    <row r="1942" spans="9:12" x14ac:dyDescent="0.25">
      <c r="I1942" s="3"/>
      <c r="J1942" s="3"/>
      <c r="K1942" s="3"/>
      <c r="L1942" s="3"/>
    </row>
    <row r="1943" spans="9:12" x14ac:dyDescent="0.25">
      <c r="I1943" s="3"/>
      <c r="J1943" s="3"/>
      <c r="K1943" s="3"/>
      <c r="L1943" s="3"/>
    </row>
    <row r="1944" spans="9:12" x14ac:dyDescent="0.25">
      <c r="I1944" s="3"/>
      <c r="J1944" s="3"/>
      <c r="K1944" s="3"/>
      <c r="L1944" s="3"/>
    </row>
    <row r="1945" spans="9:12" x14ac:dyDescent="0.25">
      <c r="I1945" s="3"/>
      <c r="J1945" s="3"/>
      <c r="K1945" s="3"/>
      <c r="L1945" s="3"/>
    </row>
    <row r="1946" spans="9:12" x14ac:dyDescent="0.25">
      <c r="I1946" s="3"/>
      <c r="J1946" s="3"/>
      <c r="K1946" s="3"/>
      <c r="L1946" s="3"/>
    </row>
    <row r="1947" spans="9:12" x14ac:dyDescent="0.25">
      <c r="I1947" s="3"/>
      <c r="J1947" s="3"/>
      <c r="K1947" s="3"/>
      <c r="L1947" s="3"/>
    </row>
    <row r="1948" spans="9:12" x14ac:dyDescent="0.25">
      <c r="I1948" s="3"/>
      <c r="J1948" s="3"/>
      <c r="K1948" s="3"/>
      <c r="L1948" s="3"/>
    </row>
    <row r="1949" spans="9:12" x14ac:dyDescent="0.25">
      <c r="I1949" s="3"/>
      <c r="J1949" s="3"/>
      <c r="K1949" s="3"/>
      <c r="L1949" s="3"/>
    </row>
    <row r="1950" spans="9:12" x14ac:dyDescent="0.25">
      <c r="I1950" s="3"/>
      <c r="J1950" s="3"/>
      <c r="K1950" s="3"/>
      <c r="L1950" s="3"/>
    </row>
    <row r="1951" spans="9:12" x14ac:dyDescent="0.25">
      <c r="I1951" s="3"/>
      <c r="J1951" s="3"/>
      <c r="K1951" s="3"/>
      <c r="L1951" s="3"/>
    </row>
    <row r="1952" spans="9:12" x14ac:dyDescent="0.25">
      <c r="I1952" s="3"/>
      <c r="J1952" s="3"/>
      <c r="K1952" s="3"/>
      <c r="L1952" s="3"/>
    </row>
    <row r="1953" spans="9:12" x14ac:dyDescent="0.25">
      <c r="I1953" s="3"/>
      <c r="J1953" s="3"/>
      <c r="K1953" s="3"/>
      <c r="L1953" s="3"/>
    </row>
    <row r="1954" spans="9:12" x14ac:dyDescent="0.25">
      <c r="I1954" s="3"/>
      <c r="J1954" s="3"/>
      <c r="K1954" s="3"/>
      <c r="L1954" s="3"/>
    </row>
    <row r="1955" spans="9:12" x14ac:dyDescent="0.25">
      <c r="I1955" s="3"/>
      <c r="J1955" s="3"/>
      <c r="K1955" s="3"/>
      <c r="L1955" s="3"/>
    </row>
    <row r="1956" spans="9:12" x14ac:dyDescent="0.25">
      <c r="I1956" s="3"/>
      <c r="J1956" s="3"/>
      <c r="K1956" s="3"/>
      <c r="L1956" s="3"/>
    </row>
    <row r="1957" spans="9:12" x14ac:dyDescent="0.25">
      <c r="I1957" s="3"/>
      <c r="J1957" s="3"/>
      <c r="K1957" s="3"/>
      <c r="L1957" s="3"/>
    </row>
    <row r="1958" spans="9:12" x14ac:dyDescent="0.25">
      <c r="I1958" s="3"/>
      <c r="J1958" s="3"/>
      <c r="K1958" s="3"/>
      <c r="L1958" s="3"/>
    </row>
    <row r="1959" spans="9:12" x14ac:dyDescent="0.25">
      <c r="I1959" s="3"/>
      <c r="J1959" s="3"/>
      <c r="K1959" s="3"/>
      <c r="L1959" s="3"/>
    </row>
    <row r="1960" spans="9:12" x14ac:dyDescent="0.25">
      <c r="I1960" s="3"/>
      <c r="J1960" s="3"/>
      <c r="K1960" s="3"/>
      <c r="L1960" s="3"/>
    </row>
    <row r="1961" spans="9:12" x14ac:dyDescent="0.25">
      <c r="I1961" s="3"/>
      <c r="J1961" s="3"/>
      <c r="K1961" s="3"/>
      <c r="L1961" s="3"/>
    </row>
    <row r="1962" spans="9:12" x14ac:dyDescent="0.25">
      <c r="I1962" s="3"/>
      <c r="J1962" s="3"/>
      <c r="K1962" s="3"/>
      <c r="L1962" s="3"/>
    </row>
    <row r="1963" spans="9:12" x14ac:dyDescent="0.25">
      <c r="I1963" s="3"/>
      <c r="J1963" s="3"/>
      <c r="K1963" s="3"/>
      <c r="L1963" s="3"/>
    </row>
    <row r="1964" spans="9:12" x14ac:dyDescent="0.25">
      <c r="I1964" s="3"/>
      <c r="J1964" s="3"/>
      <c r="K1964" s="3"/>
      <c r="L1964" s="3"/>
    </row>
    <row r="1965" spans="9:12" x14ac:dyDescent="0.25">
      <c r="I1965" s="3"/>
      <c r="J1965" s="3"/>
      <c r="K1965" s="3"/>
      <c r="L1965" s="3"/>
    </row>
    <row r="1966" spans="9:12" x14ac:dyDescent="0.25">
      <c r="I1966" s="3"/>
      <c r="J1966" s="3"/>
      <c r="K1966" s="3"/>
      <c r="L1966" s="3"/>
    </row>
    <row r="1967" spans="9:12" x14ac:dyDescent="0.25">
      <c r="I1967" s="3"/>
      <c r="J1967" s="3"/>
      <c r="K1967" s="3"/>
      <c r="L1967" s="3"/>
    </row>
    <row r="1968" spans="9:12" x14ac:dyDescent="0.25">
      <c r="I1968" s="3"/>
      <c r="J1968" s="3"/>
      <c r="K1968" s="3"/>
      <c r="L1968" s="3"/>
    </row>
    <row r="1969" spans="9:12" x14ac:dyDescent="0.25">
      <c r="I1969" s="3"/>
      <c r="J1969" s="3"/>
      <c r="K1969" s="3"/>
      <c r="L1969" s="3"/>
    </row>
    <row r="1970" spans="9:12" x14ac:dyDescent="0.25">
      <c r="I1970" s="3"/>
      <c r="J1970" s="3"/>
      <c r="K1970" s="3"/>
      <c r="L1970" s="3"/>
    </row>
    <row r="1971" spans="9:12" x14ac:dyDescent="0.25">
      <c r="I1971" s="3"/>
      <c r="J1971" s="3"/>
      <c r="K1971" s="3"/>
      <c r="L1971" s="3"/>
    </row>
    <row r="1972" spans="9:12" x14ac:dyDescent="0.25">
      <c r="I1972" s="3"/>
      <c r="J1972" s="3"/>
      <c r="K1972" s="3"/>
      <c r="L1972" s="3"/>
    </row>
    <row r="1973" spans="9:12" x14ac:dyDescent="0.25">
      <c r="I1973" s="3"/>
      <c r="J1973" s="3"/>
      <c r="K1973" s="3"/>
      <c r="L1973" s="3"/>
    </row>
    <row r="1974" spans="9:12" x14ac:dyDescent="0.25">
      <c r="I1974" s="3"/>
      <c r="J1974" s="3"/>
      <c r="K1974" s="3"/>
      <c r="L1974" s="3"/>
    </row>
    <row r="1975" spans="9:12" x14ac:dyDescent="0.25">
      <c r="I1975" s="3"/>
      <c r="J1975" s="3"/>
      <c r="K1975" s="3"/>
      <c r="L1975" s="3"/>
    </row>
    <row r="1976" spans="9:12" x14ac:dyDescent="0.25">
      <c r="I1976" s="3"/>
      <c r="J1976" s="3"/>
      <c r="K1976" s="3"/>
      <c r="L1976" s="3"/>
    </row>
    <row r="1977" spans="9:12" x14ac:dyDescent="0.25">
      <c r="I1977" s="3"/>
      <c r="J1977" s="3"/>
      <c r="K1977" s="3"/>
      <c r="L1977" s="3"/>
    </row>
    <row r="1978" spans="9:12" x14ac:dyDescent="0.25">
      <c r="I1978" s="3"/>
      <c r="J1978" s="3"/>
      <c r="K1978" s="3"/>
      <c r="L1978" s="3"/>
    </row>
    <row r="1979" spans="9:12" x14ac:dyDescent="0.25">
      <c r="I1979" s="3"/>
      <c r="J1979" s="3"/>
      <c r="K1979" s="3"/>
      <c r="L1979" s="3"/>
    </row>
    <row r="1980" spans="9:12" x14ac:dyDescent="0.25">
      <c r="I1980" s="3"/>
      <c r="J1980" s="3"/>
      <c r="K1980" s="3"/>
      <c r="L1980" s="3"/>
    </row>
    <row r="1981" spans="9:12" x14ac:dyDescent="0.25">
      <c r="I1981" s="3"/>
      <c r="J1981" s="3"/>
      <c r="K1981" s="3"/>
      <c r="L1981" s="3"/>
    </row>
    <row r="1982" spans="9:12" x14ac:dyDescent="0.25">
      <c r="I1982" s="3"/>
      <c r="J1982" s="3"/>
      <c r="K1982" s="3"/>
      <c r="L1982" s="3"/>
    </row>
    <row r="1983" spans="9:12" x14ac:dyDescent="0.25">
      <c r="I1983" s="3"/>
      <c r="J1983" s="3"/>
      <c r="K1983" s="3"/>
      <c r="L1983" s="3"/>
    </row>
    <row r="1984" spans="9:12" x14ac:dyDescent="0.25">
      <c r="I1984" s="3"/>
      <c r="J1984" s="3"/>
      <c r="K1984" s="3"/>
      <c r="L1984" s="3"/>
    </row>
    <row r="1985" spans="9:12" x14ac:dyDescent="0.25">
      <c r="I1985" s="3"/>
      <c r="J1985" s="3"/>
      <c r="K1985" s="3"/>
      <c r="L1985" s="3"/>
    </row>
    <row r="1986" spans="9:12" x14ac:dyDescent="0.25">
      <c r="I1986" s="3"/>
      <c r="J1986" s="3"/>
      <c r="K1986" s="3"/>
      <c r="L1986" s="3"/>
    </row>
    <row r="1987" spans="9:12" x14ac:dyDescent="0.25">
      <c r="I1987" s="3"/>
      <c r="J1987" s="3"/>
      <c r="K1987" s="3"/>
      <c r="L1987" s="3"/>
    </row>
    <row r="1988" spans="9:12" x14ac:dyDescent="0.25">
      <c r="I1988" s="3"/>
      <c r="J1988" s="3"/>
      <c r="K1988" s="3"/>
      <c r="L1988" s="3"/>
    </row>
    <row r="1989" spans="9:12" x14ac:dyDescent="0.25">
      <c r="I1989" s="3"/>
      <c r="J1989" s="3"/>
      <c r="K1989" s="3"/>
      <c r="L1989" s="3"/>
    </row>
    <row r="1990" spans="9:12" x14ac:dyDescent="0.25">
      <c r="I1990" s="3"/>
      <c r="J1990" s="3"/>
      <c r="K1990" s="3"/>
      <c r="L1990" s="3"/>
    </row>
    <row r="1991" spans="9:12" x14ac:dyDescent="0.25">
      <c r="I1991" s="3"/>
      <c r="J1991" s="3"/>
      <c r="K1991" s="3"/>
      <c r="L1991" s="3"/>
    </row>
    <row r="1992" spans="9:12" x14ac:dyDescent="0.25">
      <c r="I1992" s="3"/>
      <c r="J1992" s="3"/>
      <c r="K1992" s="3"/>
      <c r="L1992" s="3"/>
    </row>
    <row r="1993" spans="9:12" x14ac:dyDescent="0.25">
      <c r="I1993" s="3"/>
      <c r="J1993" s="3"/>
      <c r="K1993" s="3"/>
      <c r="L1993" s="3"/>
    </row>
    <row r="1994" spans="9:12" x14ac:dyDescent="0.25">
      <c r="I1994" s="3"/>
      <c r="J1994" s="3"/>
      <c r="K1994" s="3"/>
      <c r="L1994" s="3"/>
    </row>
    <row r="1995" spans="9:12" x14ac:dyDescent="0.25">
      <c r="I1995" s="3"/>
      <c r="J1995" s="3"/>
      <c r="K1995" s="3"/>
      <c r="L1995" s="3"/>
    </row>
    <row r="1996" spans="9:12" x14ac:dyDescent="0.25">
      <c r="I1996" s="3"/>
      <c r="J1996" s="3"/>
      <c r="K1996" s="3"/>
      <c r="L1996" s="3"/>
    </row>
    <row r="1997" spans="9:12" x14ac:dyDescent="0.25">
      <c r="I1997" s="3"/>
      <c r="J1997" s="3"/>
      <c r="K1997" s="3"/>
      <c r="L1997" s="3"/>
    </row>
    <row r="1998" spans="9:12" x14ac:dyDescent="0.25">
      <c r="I1998" s="3"/>
      <c r="J1998" s="3"/>
      <c r="K1998" s="3"/>
      <c r="L1998" s="3"/>
    </row>
    <row r="1999" spans="9:12" x14ac:dyDescent="0.25">
      <c r="I1999" s="3"/>
      <c r="J1999" s="3"/>
      <c r="K1999" s="3"/>
      <c r="L1999" s="3"/>
    </row>
    <row r="2000" spans="9:12" x14ac:dyDescent="0.25">
      <c r="I2000" s="3"/>
      <c r="J2000" s="3"/>
      <c r="K2000" s="3"/>
      <c r="L2000" s="3"/>
    </row>
    <row r="2001" spans="9:12" x14ac:dyDescent="0.25">
      <c r="I2001" s="3"/>
      <c r="J2001" s="3"/>
      <c r="K2001" s="3"/>
      <c r="L2001" s="3"/>
    </row>
    <row r="2002" spans="9:12" x14ac:dyDescent="0.25">
      <c r="I2002" s="3"/>
      <c r="J2002" s="3"/>
      <c r="K2002" s="3"/>
      <c r="L2002" s="3"/>
    </row>
    <row r="2003" spans="9:12" x14ac:dyDescent="0.25">
      <c r="I2003" s="3"/>
      <c r="J2003" s="3"/>
      <c r="K2003" s="3"/>
      <c r="L2003" s="3"/>
    </row>
    <row r="2004" spans="9:12" x14ac:dyDescent="0.25">
      <c r="I2004" s="3"/>
      <c r="J2004" s="3"/>
      <c r="K2004" s="3"/>
      <c r="L2004" s="3"/>
    </row>
    <row r="2005" spans="9:12" x14ac:dyDescent="0.25">
      <c r="I2005" s="3"/>
      <c r="J2005" s="3"/>
      <c r="K2005" s="3"/>
      <c r="L2005" s="3"/>
    </row>
    <row r="2006" spans="9:12" x14ac:dyDescent="0.25">
      <c r="I2006" s="3"/>
      <c r="J2006" s="3"/>
      <c r="K2006" s="3"/>
      <c r="L2006" s="3"/>
    </row>
    <row r="2007" spans="9:12" x14ac:dyDescent="0.25">
      <c r="I2007" s="3"/>
      <c r="J2007" s="3"/>
      <c r="K2007" s="3"/>
      <c r="L2007" s="3"/>
    </row>
    <row r="2008" spans="9:12" x14ac:dyDescent="0.25">
      <c r="I2008" s="3"/>
      <c r="J2008" s="3"/>
      <c r="K2008" s="3"/>
      <c r="L2008" s="3"/>
    </row>
    <row r="2009" spans="9:12" x14ac:dyDescent="0.25">
      <c r="I2009" s="3"/>
      <c r="J2009" s="3"/>
      <c r="K2009" s="3"/>
      <c r="L2009" s="3"/>
    </row>
    <row r="2010" spans="9:12" x14ac:dyDescent="0.25">
      <c r="I2010" s="3"/>
      <c r="J2010" s="3"/>
      <c r="K2010" s="3"/>
      <c r="L2010" s="3"/>
    </row>
    <row r="2011" spans="9:12" x14ac:dyDescent="0.25">
      <c r="I2011" s="3"/>
      <c r="J2011" s="3"/>
      <c r="K2011" s="3"/>
      <c r="L2011" s="3"/>
    </row>
    <row r="2012" spans="9:12" x14ac:dyDescent="0.25">
      <c r="I2012" s="3"/>
      <c r="J2012" s="3"/>
      <c r="K2012" s="3"/>
      <c r="L2012" s="3"/>
    </row>
    <row r="2013" spans="9:12" x14ac:dyDescent="0.25">
      <c r="I2013" s="3"/>
      <c r="J2013" s="3"/>
      <c r="K2013" s="3"/>
      <c r="L2013" s="3"/>
    </row>
    <row r="2014" spans="9:12" x14ac:dyDescent="0.25">
      <c r="I2014" s="3"/>
      <c r="J2014" s="3"/>
      <c r="K2014" s="3"/>
      <c r="L2014" s="3"/>
    </row>
    <row r="2015" spans="9:12" x14ac:dyDescent="0.25">
      <c r="I2015" s="3"/>
      <c r="J2015" s="3"/>
      <c r="K2015" s="3"/>
      <c r="L2015" s="3"/>
    </row>
    <row r="2016" spans="9:12" x14ac:dyDescent="0.25">
      <c r="I2016" s="3"/>
      <c r="J2016" s="3"/>
      <c r="K2016" s="3"/>
      <c r="L2016" s="3"/>
    </row>
    <row r="2017" spans="9:12" x14ac:dyDescent="0.25">
      <c r="I2017" s="3"/>
      <c r="J2017" s="3"/>
      <c r="K2017" s="3"/>
      <c r="L2017" s="3"/>
    </row>
    <row r="2018" spans="9:12" x14ac:dyDescent="0.25">
      <c r="I2018" s="5"/>
      <c r="J2018" s="5"/>
      <c r="K2018" s="5"/>
      <c r="L2018" s="5"/>
    </row>
    <row r="2019" spans="9:12" x14ac:dyDescent="0.25">
      <c r="I2019" s="5"/>
      <c r="J2019" s="5"/>
      <c r="K2019" s="5"/>
      <c r="L2019" s="5"/>
    </row>
    <row r="2020" spans="9:12" x14ac:dyDescent="0.25">
      <c r="I2020" s="5"/>
      <c r="J2020" s="5"/>
      <c r="K2020" s="5"/>
      <c r="L2020" s="5"/>
    </row>
    <row r="2021" spans="9:12" x14ac:dyDescent="0.25">
      <c r="I2021" s="5"/>
      <c r="J2021" s="5"/>
      <c r="K2021" s="5"/>
      <c r="L2021" s="5"/>
    </row>
    <row r="2022" spans="9:12" x14ac:dyDescent="0.25">
      <c r="I2022" s="5"/>
      <c r="J2022" s="5"/>
      <c r="K2022" s="5"/>
      <c r="L2022" s="5"/>
    </row>
    <row r="2023" spans="9:12" x14ac:dyDescent="0.25">
      <c r="I2023" s="5"/>
      <c r="J2023" s="5"/>
      <c r="K2023" s="5"/>
      <c r="L2023" s="5"/>
    </row>
    <row r="2024" spans="9:12" x14ac:dyDescent="0.25">
      <c r="I2024" s="5"/>
      <c r="J2024" s="5"/>
      <c r="K2024" s="5"/>
      <c r="L2024" s="5"/>
    </row>
    <row r="2025" spans="9:12" x14ac:dyDescent="0.25">
      <c r="I2025" s="3"/>
      <c r="J2025" s="3"/>
      <c r="K2025" s="3"/>
      <c r="L2025" s="3"/>
    </row>
    <row r="2026" spans="9:12" x14ac:dyDescent="0.25">
      <c r="I2026" s="3"/>
      <c r="J2026" s="3"/>
      <c r="K2026" s="3"/>
      <c r="L2026" s="3"/>
    </row>
    <row r="2027" spans="9:12" x14ac:dyDescent="0.25">
      <c r="I2027" s="3"/>
      <c r="J2027" s="3"/>
      <c r="K2027" s="3"/>
      <c r="L2027" s="3"/>
    </row>
    <row r="2028" spans="9:12" x14ac:dyDescent="0.25">
      <c r="I2028" s="3"/>
      <c r="J2028" s="3"/>
      <c r="K2028" s="3"/>
      <c r="L2028" s="3"/>
    </row>
    <row r="2029" spans="9:12" x14ac:dyDescent="0.25">
      <c r="I2029" s="3"/>
      <c r="J2029" s="3"/>
      <c r="K2029" s="3"/>
      <c r="L2029" s="3"/>
    </row>
    <row r="2030" spans="9:12" x14ac:dyDescent="0.25">
      <c r="I2030" s="3"/>
      <c r="J2030" s="3"/>
      <c r="K2030" s="3"/>
      <c r="L2030" s="3"/>
    </row>
    <row r="2031" spans="9:12" x14ac:dyDescent="0.25">
      <c r="I2031" s="3"/>
      <c r="J2031" s="3"/>
      <c r="K2031" s="3"/>
      <c r="L2031" s="3"/>
    </row>
    <row r="2032" spans="9:12" x14ac:dyDescent="0.25">
      <c r="I2032" s="3"/>
      <c r="J2032" s="3"/>
      <c r="K2032" s="3"/>
      <c r="L2032" s="3"/>
    </row>
    <row r="2033" spans="9:12" x14ac:dyDescent="0.25">
      <c r="I2033" s="3"/>
      <c r="J2033" s="3"/>
      <c r="K2033" s="3"/>
      <c r="L2033" s="3"/>
    </row>
    <row r="2034" spans="9:12" x14ac:dyDescent="0.25">
      <c r="I2034" s="3"/>
      <c r="J2034" s="3"/>
      <c r="K2034" s="3"/>
      <c r="L2034" s="3"/>
    </row>
    <row r="2035" spans="9:12" x14ac:dyDescent="0.25">
      <c r="I2035" s="3"/>
      <c r="J2035" s="3"/>
      <c r="K2035" s="3"/>
      <c r="L2035" s="3"/>
    </row>
    <row r="2036" spans="9:12" x14ac:dyDescent="0.25">
      <c r="I2036" s="3"/>
      <c r="J2036" s="3"/>
      <c r="K2036" s="3"/>
      <c r="L2036" s="3"/>
    </row>
    <row r="2037" spans="9:12" x14ac:dyDescent="0.25">
      <c r="I2037" s="3"/>
      <c r="J2037" s="3"/>
      <c r="K2037" s="3"/>
      <c r="L2037" s="3"/>
    </row>
    <row r="2038" spans="9:12" x14ac:dyDescent="0.25">
      <c r="I2038" s="5"/>
      <c r="J2038" s="5"/>
      <c r="K2038" s="5"/>
      <c r="L2038" s="5"/>
    </row>
    <row r="2039" spans="9:12" x14ac:dyDescent="0.25">
      <c r="I2039" s="3"/>
      <c r="J2039" s="3"/>
      <c r="K2039" s="3"/>
      <c r="L2039" s="3"/>
    </row>
    <row r="2040" spans="9:12" x14ac:dyDescent="0.25">
      <c r="I2040" s="3"/>
      <c r="J2040" s="3"/>
      <c r="K2040" s="3"/>
      <c r="L2040" s="3"/>
    </row>
    <row r="2041" spans="9:12" x14ac:dyDescent="0.25">
      <c r="I2041" s="3"/>
      <c r="J2041" s="3"/>
      <c r="K2041" s="3"/>
      <c r="L2041" s="3"/>
    </row>
    <row r="2042" spans="9:12" x14ac:dyDescent="0.25">
      <c r="I2042" s="3"/>
      <c r="J2042" s="3"/>
      <c r="K2042" s="3"/>
      <c r="L2042" s="3"/>
    </row>
    <row r="2043" spans="9:12" x14ac:dyDescent="0.25">
      <c r="I2043" s="3"/>
      <c r="J2043" s="3"/>
      <c r="K2043" s="3"/>
      <c r="L2043" s="3"/>
    </row>
    <row r="2044" spans="9:12" x14ac:dyDescent="0.25">
      <c r="I2044" s="3"/>
      <c r="J2044" s="3"/>
      <c r="K2044" s="3"/>
      <c r="L2044" s="3"/>
    </row>
    <row r="2045" spans="9:12" x14ac:dyDescent="0.25">
      <c r="I2045" s="3"/>
      <c r="J2045" s="3"/>
      <c r="K2045" s="3"/>
      <c r="L2045" s="3"/>
    </row>
    <row r="2046" spans="9:12" x14ac:dyDescent="0.25">
      <c r="I2046" s="3"/>
      <c r="J2046" s="3"/>
      <c r="K2046" s="3"/>
      <c r="L2046" s="3"/>
    </row>
    <row r="2047" spans="9:12" x14ac:dyDescent="0.25">
      <c r="I2047" s="3"/>
      <c r="J2047" s="3"/>
      <c r="K2047" s="3"/>
      <c r="L2047" s="3"/>
    </row>
    <row r="2048" spans="9:12" x14ac:dyDescent="0.25">
      <c r="I2048" s="3"/>
      <c r="J2048" s="3"/>
      <c r="K2048" s="3"/>
      <c r="L2048" s="3"/>
    </row>
    <row r="2049" spans="9:12" x14ac:dyDescent="0.25">
      <c r="I2049" s="3"/>
      <c r="J2049" s="3"/>
      <c r="K2049" s="3"/>
      <c r="L2049" s="3"/>
    </row>
    <row r="2050" spans="9:12" x14ac:dyDescent="0.25">
      <c r="I2050" s="3"/>
      <c r="J2050" s="3"/>
      <c r="K2050" s="3"/>
      <c r="L2050" s="3"/>
    </row>
    <row r="2051" spans="9:12" x14ac:dyDescent="0.25">
      <c r="I2051" s="3"/>
      <c r="J2051" s="3"/>
      <c r="K2051" s="3"/>
      <c r="L2051" s="3"/>
    </row>
    <row r="2052" spans="9:12" x14ac:dyDescent="0.25">
      <c r="I2052" s="3"/>
      <c r="J2052" s="3"/>
      <c r="K2052" s="3"/>
      <c r="L2052" s="3"/>
    </row>
    <row r="2053" spans="9:12" x14ac:dyDescent="0.25">
      <c r="I2053" s="3"/>
      <c r="J2053" s="3"/>
      <c r="K2053" s="3"/>
      <c r="L2053" s="3"/>
    </row>
    <row r="2054" spans="9:12" x14ac:dyDescent="0.25">
      <c r="I2054" s="3"/>
      <c r="J2054" s="3"/>
      <c r="K2054" s="3"/>
      <c r="L2054" s="3"/>
    </row>
    <row r="2055" spans="9:12" x14ac:dyDescent="0.25">
      <c r="I2055" s="3"/>
      <c r="J2055" s="3"/>
      <c r="K2055" s="3"/>
      <c r="L2055" s="3"/>
    </row>
    <row r="2056" spans="9:12" x14ac:dyDescent="0.25">
      <c r="I2056" s="3"/>
      <c r="J2056" s="3"/>
      <c r="K2056" s="3"/>
      <c r="L2056" s="3"/>
    </row>
    <row r="2057" spans="9:12" x14ac:dyDescent="0.25">
      <c r="I2057" s="3"/>
      <c r="J2057" s="3"/>
      <c r="K2057" s="3"/>
      <c r="L2057" s="3"/>
    </row>
    <row r="2058" spans="9:12" x14ac:dyDescent="0.25">
      <c r="I2058" s="3"/>
      <c r="J2058" s="3"/>
      <c r="K2058" s="3"/>
      <c r="L2058" s="3"/>
    </row>
    <row r="2059" spans="9:12" x14ac:dyDescent="0.25">
      <c r="I2059" s="3"/>
      <c r="J2059" s="3"/>
      <c r="K2059" s="3"/>
      <c r="L2059" s="3"/>
    </row>
    <row r="2060" spans="9:12" x14ac:dyDescent="0.25">
      <c r="I2060" s="3"/>
      <c r="J2060" s="3"/>
      <c r="K2060" s="3"/>
      <c r="L2060" s="3"/>
    </row>
    <row r="2061" spans="9:12" x14ac:dyDescent="0.25">
      <c r="I2061" s="3"/>
      <c r="J2061" s="3"/>
      <c r="K2061" s="3"/>
      <c r="L2061" s="3"/>
    </row>
    <row r="2062" spans="9:12" x14ac:dyDescent="0.25">
      <c r="I2062" s="3"/>
      <c r="J2062" s="3"/>
      <c r="K2062" s="3"/>
      <c r="L2062" s="3"/>
    </row>
    <row r="2063" spans="9:12" x14ac:dyDescent="0.25">
      <c r="I2063" s="3"/>
      <c r="J2063" s="3"/>
      <c r="K2063" s="3"/>
      <c r="L2063" s="3"/>
    </row>
    <row r="2064" spans="9:12" x14ac:dyDescent="0.25">
      <c r="I2064" s="3"/>
      <c r="J2064" s="3"/>
      <c r="K2064" s="3"/>
      <c r="L2064" s="3"/>
    </row>
    <row r="2065" spans="9:12" x14ac:dyDescent="0.25">
      <c r="I2065" s="3"/>
      <c r="J2065" s="3"/>
      <c r="K2065" s="3"/>
      <c r="L2065" s="3"/>
    </row>
    <row r="2066" spans="9:12" x14ac:dyDescent="0.25">
      <c r="I2066" s="3"/>
      <c r="J2066" s="3"/>
      <c r="K2066" s="3"/>
      <c r="L2066" s="3"/>
    </row>
    <row r="2067" spans="9:12" x14ac:dyDescent="0.25">
      <c r="I2067" s="3"/>
      <c r="J2067" s="3"/>
      <c r="K2067" s="3"/>
      <c r="L2067" s="3"/>
    </row>
    <row r="2068" spans="9:12" x14ac:dyDescent="0.25">
      <c r="I2068" s="3"/>
      <c r="J2068" s="3"/>
      <c r="K2068" s="3"/>
      <c r="L2068" s="3"/>
    </row>
    <row r="2069" spans="9:12" x14ac:dyDescent="0.25">
      <c r="I2069" s="3"/>
      <c r="J2069" s="3"/>
      <c r="K2069" s="3"/>
      <c r="L2069" s="3"/>
    </row>
    <row r="2070" spans="9:12" x14ac:dyDescent="0.25">
      <c r="I2070" s="3"/>
      <c r="J2070" s="3"/>
      <c r="K2070" s="3"/>
      <c r="L2070" s="3"/>
    </row>
    <row r="2071" spans="9:12" x14ac:dyDescent="0.25">
      <c r="I2071" s="3"/>
      <c r="J2071" s="3"/>
      <c r="K2071" s="3"/>
      <c r="L2071" s="3"/>
    </row>
    <row r="2072" spans="9:12" x14ac:dyDescent="0.25">
      <c r="I2072" s="3"/>
      <c r="J2072" s="3"/>
      <c r="K2072" s="3"/>
      <c r="L2072" s="3"/>
    </row>
    <row r="2073" spans="9:12" x14ac:dyDescent="0.25">
      <c r="I2073" s="3"/>
      <c r="J2073" s="3"/>
      <c r="K2073" s="3"/>
      <c r="L2073" s="3"/>
    </row>
    <row r="2074" spans="9:12" x14ac:dyDescent="0.25">
      <c r="I2074" s="3"/>
      <c r="J2074" s="3"/>
      <c r="K2074" s="3"/>
      <c r="L2074" s="3"/>
    </row>
    <row r="2075" spans="9:12" x14ac:dyDescent="0.25">
      <c r="I2075" s="3"/>
      <c r="J2075" s="3"/>
      <c r="K2075" s="3"/>
      <c r="L2075" s="3"/>
    </row>
    <row r="2076" spans="9:12" x14ac:dyDescent="0.25">
      <c r="I2076" s="3"/>
      <c r="J2076" s="3"/>
      <c r="K2076" s="3"/>
      <c r="L2076" s="3"/>
    </row>
    <row r="2077" spans="9:12" x14ac:dyDescent="0.25">
      <c r="I2077" s="3"/>
      <c r="J2077" s="3"/>
      <c r="K2077" s="3"/>
      <c r="L2077" s="3"/>
    </row>
    <row r="2078" spans="9:12" x14ac:dyDescent="0.25">
      <c r="I2078" s="3"/>
      <c r="J2078" s="3"/>
      <c r="K2078" s="3"/>
      <c r="L2078" s="3"/>
    </row>
    <row r="2079" spans="9:12" x14ac:dyDescent="0.25">
      <c r="I2079" s="3"/>
      <c r="J2079" s="3"/>
      <c r="K2079" s="3"/>
      <c r="L2079" s="3"/>
    </row>
    <row r="2080" spans="9:12" x14ac:dyDescent="0.25">
      <c r="I2080" s="3"/>
      <c r="J2080" s="3"/>
      <c r="K2080" s="3"/>
      <c r="L2080" s="3"/>
    </row>
    <row r="2081" spans="9:12" x14ac:dyDescent="0.25">
      <c r="I2081" s="3"/>
      <c r="J2081" s="3"/>
      <c r="K2081" s="3"/>
      <c r="L2081" s="3"/>
    </row>
    <row r="2082" spans="9:12" x14ac:dyDescent="0.25">
      <c r="I2082" s="3"/>
      <c r="J2082" s="3"/>
      <c r="K2082" s="3"/>
      <c r="L2082" s="3"/>
    </row>
    <row r="2083" spans="9:12" x14ac:dyDescent="0.25">
      <c r="I2083" s="3"/>
      <c r="J2083" s="3"/>
      <c r="K2083" s="3"/>
      <c r="L2083" s="3"/>
    </row>
    <row r="2084" spans="9:12" x14ac:dyDescent="0.25">
      <c r="I2084" s="3"/>
      <c r="J2084" s="3"/>
      <c r="K2084" s="3"/>
      <c r="L2084" s="3"/>
    </row>
    <row r="2085" spans="9:12" x14ac:dyDescent="0.25">
      <c r="I2085" s="3"/>
      <c r="J2085" s="3"/>
      <c r="K2085" s="3"/>
      <c r="L2085" s="3"/>
    </row>
    <row r="2086" spans="9:12" x14ac:dyDescent="0.25">
      <c r="I2086" s="3"/>
      <c r="J2086" s="3"/>
      <c r="K2086" s="3"/>
      <c r="L2086" s="3"/>
    </row>
    <row r="2087" spans="9:12" x14ac:dyDescent="0.25">
      <c r="I2087" s="3"/>
      <c r="J2087" s="3"/>
      <c r="K2087" s="3"/>
      <c r="L2087" s="3"/>
    </row>
    <row r="2088" spans="9:12" x14ac:dyDescent="0.25">
      <c r="I2088" s="3"/>
      <c r="J2088" s="3"/>
      <c r="K2088" s="3"/>
      <c r="L2088" s="3"/>
    </row>
    <row r="2089" spans="9:12" x14ac:dyDescent="0.25">
      <c r="I2089" s="3"/>
      <c r="J2089" s="3"/>
      <c r="K2089" s="3"/>
      <c r="L2089" s="3"/>
    </row>
    <row r="2090" spans="9:12" x14ac:dyDescent="0.25">
      <c r="I2090" s="3"/>
      <c r="J2090" s="3"/>
      <c r="K2090" s="3"/>
      <c r="L2090" s="3"/>
    </row>
    <row r="2091" spans="9:12" x14ac:dyDescent="0.25">
      <c r="I2091" s="3"/>
      <c r="J2091" s="3"/>
      <c r="K2091" s="3"/>
      <c r="L2091" s="3"/>
    </row>
    <row r="2092" spans="9:12" x14ac:dyDescent="0.25">
      <c r="I2092" s="3"/>
      <c r="J2092" s="3"/>
      <c r="K2092" s="3"/>
      <c r="L2092" s="3"/>
    </row>
    <row r="2093" spans="9:12" x14ac:dyDescent="0.25">
      <c r="I2093" s="3"/>
      <c r="J2093" s="3"/>
      <c r="K2093" s="3"/>
      <c r="L2093" s="3"/>
    </row>
    <row r="2094" spans="9:12" x14ac:dyDescent="0.25">
      <c r="I2094" s="4"/>
      <c r="J2094" s="4"/>
      <c r="K2094" s="4"/>
      <c r="L2094" s="4"/>
    </row>
    <row r="2095" spans="9:12" x14ac:dyDescent="0.25">
      <c r="I2095" s="3"/>
      <c r="J2095" s="3"/>
      <c r="K2095" s="3"/>
      <c r="L2095" s="3"/>
    </row>
    <row r="2096" spans="9:12" x14ac:dyDescent="0.25">
      <c r="I2096" s="3"/>
      <c r="J2096" s="3"/>
      <c r="K2096" s="3"/>
      <c r="L2096" s="3"/>
    </row>
    <row r="2097" spans="9:12" x14ac:dyDescent="0.25">
      <c r="I2097" s="4"/>
      <c r="J2097" s="4"/>
      <c r="K2097" s="4"/>
      <c r="L2097" s="4"/>
    </row>
    <row r="2098" spans="9:12" x14ac:dyDescent="0.25">
      <c r="I2098" s="4"/>
      <c r="J2098" s="4"/>
      <c r="K2098" s="4"/>
      <c r="L2098" s="4"/>
    </row>
    <row r="2099" spans="9:12" x14ac:dyDescent="0.25">
      <c r="I2099" s="4"/>
      <c r="J2099" s="4"/>
      <c r="K2099" s="4"/>
      <c r="L2099" s="4"/>
    </row>
    <row r="2100" spans="9:12" x14ac:dyDescent="0.25">
      <c r="I2100" s="4"/>
      <c r="J2100" s="4"/>
      <c r="K2100" s="4"/>
      <c r="L2100" s="4"/>
    </row>
    <row r="2101" spans="9:12" x14ac:dyDescent="0.25">
      <c r="I2101" s="4"/>
      <c r="J2101" s="4"/>
      <c r="K2101" s="4"/>
      <c r="L2101" s="4"/>
    </row>
    <row r="2102" spans="9:12" x14ac:dyDescent="0.25">
      <c r="I2102" s="3"/>
      <c r="J2102" s="3"/>
      <c r="K2102" s="3"/>
      <c r="L2102" s="3"/>
    </row>
    <row r="2103" spans="9:12" x14ac:dyDescent="0.25">
      <c r="I2103" s="3"/>
      <c r="J2103" s="3"/>
      <c r="K2103" s="3"/>
      <c r="L2103" s="3"/>
    </row>
    <row r="2104" spans="9:12" x14ac:dyDescent="0.25">
      <c r="I2104" s="3"/>
      <c r="J2104" s="3"/>
      <c r="K2104" s="3"/>
      <c r="L2104" s="3"/>
    </row>
    <row r="2105" spans="9:12" x14ac:dyDescent="0.25">
      <c r="I2105" s="3"/>
      <c r="J2105" s="3"/>
      <c r="K2105" s="3"/>
      <c r="L2105" s="3"/>
    </row>
    <row r="2106" spans="9:12" x14ac:dyDescent="0.25">
      <c r="I2106" s="3"/>
      <c r="J2106" s="3"/>
      <c r="K2106" s="3"/>
      <c r="L2106" s="3"/>
    </row>
    <row r="2107" spans="9:12" x14ac:dyDescent="0.25">
      <c r="I2107" s="3"/>
      <c r="J2107" s="3"/>
      <c r="K2107" s="3"/>
      <c r="L2107" s="3"/>
    </row>
    <row r="2108" spans="9:12" x14ac:dyDescent="0.25">
      <c r="I2108" s="3"/>
      <c r="J2108" s="3"/>
      <c r="K2108" s="3"/>
      <c r="L2108" s="3"/>
    </row>
    <row r="2109" spans="9:12" x14ac:dyDescent="0.25">
      <c r="I2109" s="3"/>
      <c r="J2109" s="3"/>
      <c r="K2109" s="3"/>
      <c r="L2109" s="3"/>
    </row>
    <row r="2110" spans="9:12" x14ac:dyDescent="0.25">
      <c r="I2110" s="3"/>
      <c r="J2110" s="3"/>
      <c r="K2110" s="3"/>
      <c r="L2110" s="3"/>
    </row>
    <row r="2111" spans="9:12" x14ac:dyDescent="0.25">
      <c r="I2111" s="3"/>
      <c r="J2111" s="3"/>
      <c r="K2111" s="3"/>
      <c r="L2111" s="3"/>
    </row>
    <row r="2112" spans="9:12" x14ac:dyDescent="0.25">
      <c r="I2112" s="3"/>
      <c r="J2112" s="3"/>
      <c r="K2112" s="3"/>
      <c r="L2112" s="3"/>
    </row>
    <row r="2113" spans="9:12" x14ac:dyDescent="0.25">
      <c r="I2113" s="3"/>
      <c r="J2113" s="3"/>
      <c r="K2113" s="3"/>
      <c r="L2113" s="3"/>
    </row>
    <row r="2114" spans="9:12" x14ac:dyDescent="0.25">
      <c r="I2114" s="3"/>
      <c r="J2114" s="3"/>
      <c r="K2114" s="3"/>
      <c r="L2114" s="3"/>
    </row>
    <row r="2115" spans="9:12" x14ac:dyDescent="0.25">
      <c r="I2115" s="3"/>
      <c r="J2115" s="3"/>
      <c r="K2115" s="3"/>
      <c r="L2115" s="3"/>
    </row>
    <row r="2116" spans="9:12" x14ac:dyDescent="0.25">
      <c r="I2116" s="3"/>
      <c r="J2116" s="3"/>
      <c r="K2116" s="3"/>
      <c r="L2116" s="3"/>
    </row>
    <row r="2117" spans="9:12" x14ac:dyDescent="0.25">
      <c r="I2117" s="3"/>
      <c r="J2117" s="3"/>
      <c r="K2117" s="3"/>
      <c r="L2117" s="3"/>
    </row>
    <row r="2118" spans="9:12" x14ac:dyDescent="0.25">
      <c r="I2118" s="3"/>
      <c r="J2118" s="3"/>
      <c r="K2118" s="3"/>
      <c r="L2118" s="3"/>
    </row>
    <row r="2119" spans="9:12" x14ac:dyDescent="0.25">
      <c r="I2119" s="3"/>
      <c r="J2119" s="3"/>
      <c r="K2119" s="3"/>
      <c r="L2119" s="3"/>
    </row>
    <row r="2120" spans="9:12" x14ac:dyDescent="0.25">
      <c r="I2120" s="3"/>
      <c r="J2120" s="3"/>
      <c r="K2120" s="3"/>
      <c r="L2120" s="3"/>
    </row>
    <row r="2121" spans="9:12" x14ac:dyDescent="0.25">
      <c r="I2121" s="3"/>
      <c r="J2121" s="3"/>
      <c r="K2121" s="3"/>
      <c r="L2121" s="3"/>
    </row>
    <row r="2122" spans="9:12" x14ac:dyDescent="0.25">
      <c r="I2122" s="3"/>
      <c r="J2122" s="3"/>
      <c r="K2122" s="3"/>
      <c r="L2122" s="3"/>
    </row>
    <row r="2123" spans="9:12" x14ac:dyDescent="0.25">
      <c r="I2123" s="3"/>
      <c r="J2123" s="3"/>
      <c r="K2123" s="3"/>
      <c r="L2123" s="3"/>
    </row>
    <row r="2124" spans="9:12" x14ac:dyDescent="0.25">
      <c r="I2124" s="3"/>
      <c r="J2124" s="3"/>
      <c r="K2124" s="3"/>
      <c r="L2124" s="3"/>
    </row>
    <row r="2125" spans="9:12" x14ac:dyDescent="0.25">
      <c r="I2125" s="3"/>
      <c r="J2125" s="3"/>
      <c r="K2125" s="3"/>
      <c r="L2125" s="3"/>
    </row>
    <row r="2126" spans="9:12" x14ac:dyDescent="0.25">
      <c r="I2126" s="3"/>
      <c r="J2126" s="3"/>
      <c r="K2126" s="3"/>
      <c r="L2126" s="3"/>
    </row>
    <row r="2127" spans="9:12" x14ac:dyDescent="0.25">
      <c r="I2127" s="3"/>
      <c r="J2127" s="3"/>
      <c r="K2127" s="3"/>
      <c r="L2127" s="3"/>
    </row>
    <row r="2128" spans="9:12" x14ac:dyDescent="0.25">
      <c r="I2128" s="3"/>
      <c r="J2128" s="3"/>
      <c r="K2128" s="3"/>
      <c r="L2128" s="3"/>
    </row>
    <row r="2129" spans="9:12" x14ac:dyDescent="0.25">
      <c r="I2129" s="3"/>
      <c r="J2129" s="3"/>
      <c r="K2129" s="3"/>
      <c r="L2129" s="3"/>
    </row>
    <row r="2130" spans="9:12" x14ac:dyDescent="0.25">
      <c r="I2130" s="3"/>
      <c r="J2130" s="3"/>
      <c r="K2130" s="3"/>
      <c r="L2130" s="3"/>
    </row>
    <row r="2131" spans="9:12" x14ac:dyDescent="0.25">
      <c r="I2131" s="3"/>
      <c r="J2131" s="3"/>
      <c r="K2131" s="3"/>
      <c r="L2131" s="3"/>
    </row>
    <row r="2132" spans="9:12" x14ac:dyDescent="0.25">
      <c r="I2132" s="3"/>
      <c r="J2132" s="3"/>
      <c r="K2132" s="3"/>
      <c r="L2132" s="3"/>
    </row>
    <row r="2133" spans="9:12" x14ac:dyDescent="0.25">
      <c r="I2133" s="3"/>
      <c r="J2133" s="3"/>
      <c r="K2133" s="3"/>
      <c r="L2133" s="3"/>
    </row>
    <row r="2134" spans="9:12" x14ac:dyDescent="0.25">
      <c r="I2134" s="3"/>
      <c r="J2134" s="3"/>
      <c r="K2134" s="3"/>
      <c r="L2134" s="3"/>
    </row>
    <row r="2135" spans="9:12" x14ac:dyDescent="0.25">
      <c r="I2135" s="3"/>
      <c r="J2135" s="3"/>
      <c r="K2135" s="3"/>
      <c r="L2135" s="3"/>
    </row>
    <row r="2136" spans="9:12" x14ac:dyDescent="0.25">
      <c r="I2136" s="3"/>
      <c r="J2136" s="3"/>
      <c r="K2136" s="3"/>
      <c r="L2136" s="3"/>
    </row>
    <row r="2137" spans="9:12" x14ac:dyDescent="0.25">
      <c r="I2137" s="3"/>
      <c r="J2137" s="3"/>
      <c r="K2137" s="3"/>
      <c r="L2137" s="3"/>
    </row>
    <row r="2138" spans="9:12" x14ac:dyDescent="0.25">
      <c r="I2138" s="3"/>
      <c r="J2138" s="3"/>
      <c r="K2138" s="3"/>
      <c r="L2138" s="3"/>
    </row>
    <row r="2139" spans="9:12" x14ac:dyDescent="0.25">
      <c r="I2139" s="3"/>
      <c r="J2139" s="3"/>
      <c r="K2139" s="3"/>
      <c r="L2139" s="3"/>
    </row>
    <row r="2140" spans="9:12" x14ac:dyDescent="0.25">
      <c r="I2140" s="3"/>
      <c r="J2140" s="3"/>
      <c r="K2140" s="3"/>
      <c r="L2140" s="3"/>
    </row>
    <row r="2141" spans="9:12" x14ac:dyDescent="0.25">
      <c r="I2141" s="3"/>
      <c r="J2141" s="3"/>
      <c r="K2141" s="3"/>
      <c r="L2141" s="3"/>
    </row>
    <row r="2142" spans="9:12" x14ac:dyDescent="0.25">
      <c r="I2142" s="3"/>
      <c r="J2142" s="3"/>
      <c r="K2142" s="3"/>
      <c r="L2142" s="3"/>
    </row>
    <row r="2143" spans="9:12" x14ac:dyDescent="0.25">
      <c r="I2143" s="3"/>
      <c r="J2143" s="3"/>
      <c r="K2143" s="3"/>
      <c r="L2143" s="3"/>
    </row>
    <row r="2144" spans="9:12" x14ac:dyDescent="0.25">
      <c r="I2144" s="3"/>
      <c r="J2144" s="3"/>
      <c r="K2144" s="3"/>
      <c r="L2144" s="3"/>
    </row>
    <row r="2145" spans="9:12" x14ac:dyDescent="0.25">
      <c r="I2145" s="3"/>
      <c r="J2145" s="3"/>
      <c r="K2145" s="3"/>
      <c r="L2145" s="3"/>
    </row>
    <row r="2146" spans="9:12" x14ac:dyDescent="0.25">
      <c r="I2146" s="3"/>
      <c r="J2146" s="3"/>
      <c r="K2146" s="3"/>
      <c r="L2146" s="3"/>
    </row>
    <row r="2147" spans="9:12" x14ac:dyDescent="0.25">
      <c r="I2147" s="3"/>
      <c r="J2147" s="3"/>
      <c r="K2147" s="3"/>
      <c r="L2147" s="3"/>
    </row>
    <row r="2148" spans="9:12" x14ac:dyDescent="0.25">
      <c r="I2148" s="3"/>
      <c r="J2148" s="3"/>
      <c r="K2148" s="3"/>
      <c r="L2148" s="3"/>
    </row>
    <row r="2149" spans="9:12" x14ac:dyDescent="0.25">
      <c r="I2149" s="3"/>
      <c r="J2149" s="3"/>
      <c r="K2149" s="3"/>
      <c r="L2149" s="3"/>
    </row>
    <row r="2150" spans="9:12" x14ac:dyDescent="0.25">
      <c r="I2150" s="3"/>
      <c r="J2150" s="3"/>
      <c r="K2150" s="3"/>
      <c r="L2150" s="3"/>
    </row>
    <row r="2151" spans="9:12" x14ac:dyDescent="0.25">
      <c r="I2151" s="3"/>
      <c r="J2151" s="3"/>
      <c r="K2151" s="3"/>
      <c r="L2151" s="3"/>
    </row>
    <row r="2152" spans="9:12" x14ac:dyDescent="0.25">
      <c r="I2152" s="3"/>
      <c r="J2152" s="3"/>
      <c r="K2152" s="3"/>
      <c r="L2152" s="3"/>
    </row>
    <row r="2153" spans="9:12" x14ac:dyDescent="0.25">
      <c r="I2153" s="3"/>
      <c r="J2153" s="3"/>
      <c r="K2153" s="3"/>
      <c r="L2153" s="3"/>
    </row>
    <row r="2154" spans="9:12" x14ac:dyDescent="0.25">
      <c r="I2154" s="3"/>
      <c r="J2154" s="3"/>
      <c r="K2154" s="3"/>
      <c r="L2154" s="3"/>
    </row>
    <row r="2155" spans="9:12" x14ac:dyDescent="0.25">
      <c r="I2155" s="3"/>
      <c r="J2155" s="3"/>
      <c r="K2155" s="3"/>
      <c r="L2155" s="3"/>
    </row>
    <row r="2156" spans="9:12" x14ac:dyDescent="0.25">
      <c r="I2156" s="3"/>
      <c r="J2156" s="3"/>
      <c r="K2156" s="3"/>
      <c r="L2156" s="3"/>
    </row>
    <row r="2157" spans="9:12" x14ac:dyDescent="0.25">
      <c r="I2157" s="3"/>
      <c r="J2157" s="3"/>
      <c r="K2157" s="3"/>
      <c r="L2157" s="3"/>
    </row>
    <row r="2158" spans="9:12" x14ac:dyDescent="0.25">
      <c r="I2158" s="3"/>
      <c r="J2158" s="3"/>
      <c r="K2158" s="3"/>
      <c r="L2158" s="3"/>
    </row>
    <row r="2159" spans="9:12" x14ac:dyDescent="0.25">
      <c r="I2159" s="3"/>
      <c r="J2159" s="3"/>
      <c r="K2159" s="3"/>
      <c r="L2159" s="3"/>
    </row>
    <row r="2160" spans="9:12" x14ac:dyDescent="0.25">
      <c r="I2160" s="3"/>
      <c r="J2160" s="3"/>
      <c r="K2160" s="3"/>
      <c r="L2160" s="3"/>
    </row>
    <row r="2161" spans="9:12" x14ac:dyDescent="0.25">
      <c r="I2161" s="3"/>
      <c r="J2161" s="3"/>
      <c r="K2161" s="3"/>
      <c r="L2161" s="3"/>
    </row>
    <row r="2162" spans="9:12" x14ac:dyDescent="0.25">
      <c r="I2162" s="3"/>
      <c r="J2162" s="3"/>
      <c r="K2162" s="3"/>
      <c r="L2162" s="3"/>
    </row>
    <row r="2163" spans="9:12" x14ac:dyDescent="0.25">
      <c r="I2163" s="3"/>
      <c r="J2163" s="3"/>
      <c r="K2163" s="3"/>
      <c r="L2163" s="3"/>
    </row>
    <row r="2164" spans="9:12" x14ac:dyDescent="0.25">
      <c r="I2164" s="3"/>
      <c r="J2164" s="3"/>
      <c r="K2164" s="3"/>
      <c r="L2164" s="3"/>
    </row>
    <row r="2165" spans="9:12" x14ac:dyDescent="0.25">
      <c r="I2165" s="3"/>
      <c r="J2165" s="3"/>
      <c r="K2165" s="3"/>
      <c r="L2165" s="3"/>
    </row>
    <row r="2166" spans="9:12" x14ac:dyDescent="0.25">
      <c r="I2166" s="3"/>
      <c r="J2166" s="3"/>
      <c r="K2166" s="3"/>
      <c r="L2166" s="3"/>
    </row>
    <row r="2167" spans="9:12" x14ac:dyDescent="0.25">
      <c r="I2167" s="3"/>
      <c r="J2167" s="3"/>
      <c r="K2167" s="3"/>
      <c r="L2167" s="3"/>
    </row>
    <row r="2168" spans="9:12" x14ac:dyDescent="0.25">
      <c r="I2168" s="3"/>
      <c r="J2168" s="3"/>
      <c r="K2168" s="3"/>
      <c r="L2168" s="3"/>
    </row>
    <row r="2169" spans="9:12" x14ac:dyDescent="0.25">
      <c r="I2169" s="3"/>
      <c r="J2169" s="3"/>
      <c r="K2169" s="3"/>
      <c r="L2169" s="3"/>
    </row>
    <row r="2170" spans="9:12" x14ac:dyDescent="0.25">
      <c r="I2170" s="3"/>
      <c r="J2170" s="3"/>
      <c r="K2170" s="3"/>
      <c r="L2170" s="3"/>
    </row>
    <row r="2171" spans="9:12" x14ac:dyDescent="0.25">
      <c r="I2171" s="3"/>
      <c r="J2171" s="3"/>
      <c r="K2171" s="3"/>
      <c r="L2171" s="3"/>
    </row>
    <row r="2172" spans="9:12" x14ac:dyDescent="0.25">
      <c r="I2172" s="3"/>
      <c r="J2172" s="3"/>
      <c r="K2172" s="3"/>
      <c r="L2172" s="3"/>
    </row>
    <row r="2173" spans="9:12" x14ac:dyDescent="0.25">
      <c r="I2173" s="3"/>
      <c r="J2173" s="3"/>
      <c r="K2173" s="3"/>
      <c r="L2173" s="3"/>
    </row>
    <row r="2174" spans="9:12" x14ac:dyDescent="0.25">
      <c r="I2174" s="3"/>
      <c r="J2174" s="3"/>
      <c r="K2174" s="3"/>
      <c r="L2174" s="3"/>
    </row>
    <row r="2175" spans="9:12" x14ac:dyDescent="0.25">
      <c r="I2175" s="3"/>
      <c r="J2175" s="3"/>
      <c r="K2175" s="3"/>
      <c r="L2175" s="3"/>
    </row>
    <row r="2176" spans="9:12" x14ac:dyDescent="0.25">
      <c r="I2176" s="3"/>
      <c r="J2176" s="3"/>
      <c r="K2176" s="3"/>
      <c r="L2176" s="3"/>
    </row>
    <row r="2177" spans="9:12" x14ac:dyDescent="0.25">
      <c r="I2177" s="3"/>
      <c r="J2177" s="3"/>
      <c r="K2177" s="3"/>
      <c r="L2177" s="3"/>
    </row>
    <row r="2178" spans="9:12" x14ac:dyDescent="0.25">
      <c r="I2178" s="3"/>
      <c r="J2178" s="3"/>
      <c r="K2178" s="3"/>
      <c r="L2178" s="3"/>
    </row>
    <row r="2179" spans="9:12" x14ac:dyDescent="0.25">
      <c r="I2179" s="3"/>
      <c r="J2179" s="3"/>
      <c r="K2179" s="3"/>
      <c r="L2179" s="3"/>
    </row>
    <row r="2180" spans="9:12" x14ac:dyDescent="0.25">
      <c r="I2180" s="3"/>
      <c r="J2180" s="3"/>
      <c r="K2180" s="3"/>
      <c r="L2180" s="3"/>
    </row>
    <row r="2181" spans="9:12" x14ac:dyDescent="0.25">
      <c r="I2181" s="3"/>
      <c r="J2181" s="3"/>
      <c r="K2181" s="3"/>
      <c r="L2181" s="3"/>
    </row>
    <row r="2182" spans="9:12" x14ac:dyDescent="0.25">
      <c r="I2182" s="3"/>
      <c r="J2182" s="3"/>
      <c r="K2182" s="3"/>
      <c r="L2182" s="3"/>
    </row>
    <row r="2183" spans="9:12" x14ac:dyDescent="0.25">
      <c r="I2183" s="3"/>
      <c r="J2183" s="3"/>
      <c r="K2183" s="3"/>
      <c r="L2183" s="3"/>
    </row>
    <row r="2184" spans="9:12" x14ac:dyDescent="0.25">
      <c r="I2184" s="3"/>
      <c r="J2184" s="3"/>
      <c r="K2184" s="3"/>
      <c r="L2184" s="3"/>
    </row>
    <row r="2185" spans="9:12" x14ac:dyDescent="0.25">
      <c r="I2185" s="3"/>
      <c r="J2185" s="3"/>
      <c r="K2185" s="3"/>
      <c r="L2185" s="3"/>
    </row>
    <row r="2186" spans="9:12" x14ac:dyDescent="0.25">
      <c r="I2186" s="3"/>
      <c r="J2186" s="3"/>
      <c r="K2186" s="3"/>
      <c r="L2186" s="3"/>
    </row>
    <row r="2187" spans="9:12" x14ac:dyDescent="0.25">
      <c r="I2187" s="3"/>
      <c r="J2187" s="3"/>
      <c r="K2187" s="3"/>
      <c r="L2187" s="3"/>
    </row>
    <row r="2188" spans="9:12" x14ac:dyDescent="0.25">
      <c r="I2188" s="3"/>
      <c r="J2188" s="3"/>
      <c r="K2188" s="3"/>
      <c r="L2188" s="3"/>
    </row>
    <row r="2189" spans="9:12" x14ac:dyDescent="0.25">
      <c r="I2189" s="3"/>
      <c r="J2189" s="3"/>
      <c r="K2189" s="3"/>
      <c r="L2189" s="3"/>
    </row>
    <row r="2190" spans="9:12" x14ac:dyDescent="0.25">
      <c r="I2190" s="3"/>
      <c r="J2190" s="3"/>
      <c r="K2190" s="3"/>
      <c r="L2190" s="3"/>
    </row>
    <row r="2191" spans="9:12" x14ac:dyDescent="0.25">
      <c r="I2191" s="3"/>
      <c r="J2191" s="3"/>
      <c r="K2191" s="3"/>
      <c r="L2191" s="3"/>
    </row>
    <row r="2192" spans="9:12" x14ac:dyDescent="0.25">
      <c r="I2192" s="3"/>
      <c r="J2192" s="3"/>
      <c r="K2192" s="3"/>
      <c r="L2192" s="3"/>
    </row>
    <row r="2193" spans="9:12" x14ac:dyDescent="0.25">
      <c r="I2193" s="3"/>
      <c r="J2193" s="3"/>
      <c r="K2193" s="3"/>
      <c r="L2193" s="3"/>
    </row>
    <row r="2194" spans="9:12" x14ac:dyDescent="0.25">
      <c r="I2194" s="3"/>
      <c r="J2194" s="3"/>
      <c r="K2194" s="3"/>
      <c r="L2194" s="3"/>
    </row>
    <row r="2195" spans="9:12" x14ac:dyDescent="0.25">
      <c r="I2195" s="3"/>
      <c r="J2195" s="3"/>
      <c r="K2195" s="3"/>
      <c r="L2195" s="3"/>
    </row>
    <row r="2196" spans="9:12" x14ac:dyDescent="0.25">
      <c r="I2196" s="3"/>
      <c r="J2196" s="3"/>
      <c r="K2196" s="3"/>
      <c r="L2196" s="3"/>
    </row>
    <row r="2197" spans="9:12" x14ac:dyDescent="0.25">
      <c r="I2197" s="3"/>
      <c r="J2197" s="3"/>
      <c r="K2197" s="3"/>
      <c r="L2197" s="3"/>
    </row>
    <row r="2198" spans="9:12" x14ac:dyDescent="0.25">
      <c r="I2198" s="3"/>
      <c r="J2198" s="3"/>
      <c r="K2198" s="3"/>
      <c r="L2198" s="3"/>
    </row>
    <row r="2199" spans="9:12" x14ac:dyDescent="0.25">
      <c r="I2199" s="3"/>
      <c r="J2199" s="3"/>
      <c r="K2199" s="3"/>
      <c r="L2199" s="3"/>
    </row>
    <row r="2200" spans="9:12" x14ac:dyDescent="0.25">
      <c r="I2200" s="3"/>
      <c r="J2200" s="3"/>
      <c r="K2200" s="3"/>
      <c r="L2200" s="3"/>
    </row>
    <row r="2201" spans="9:12" x14ac:dyDescent="0.25">
      <c r="I2201" s="3"/>
      <c r="J2201" s="3"/>
      <c r="K2201" s="3"/>
      <c r="L2201" s="3"/>
    </row>
    <row r="2202" spans="9:12" x14ac:dyDescent="0.25">
      <c r="I2202" s="3"/>
      <c r="J2202" s="3"/>
      <c r="K2202" s="3"/>
      <c r="L2202" s="3"/>
    </row>
    <row r="2203" spans="9:12" x14ac:dyDescent="0.25">
      <c r="I2203" s="3"/>
      <c r="J2203" s="3"/>
      <c r="K2203" s="3"/>
      <c r="L2203" s="3"/>
    </row>
    <row r="2204" spans="9:12" x14ac:dyDescent="0.25">
      <c r="I2204" s="3"/>
      <c r="J2204" s="3"/>
      <c r="K2204" s="3"/>
      <c r="L2204" s="3"/>
    </row>
    <row r="2205" spans="9:12" x14ac:dyDescent="0.25">
      <c r="I2205" s="3"/>
      <c r="J2205" s="3"/>
      <c r="K2205" s="3"/>
      <c r="L2205" s="3"/>
    </row>
    <row r="2206" spans="9:12" x14ac:dyDescent="0.25">
      <c r="I2206" s="3"/>
      <c r="J2206" s="3"/>
      <c r="K2206" s="3"/>
      <c r="L2206" s="3"/>
    </row>
    <row r="2207" spans="9:12" x14ac:dyDescent="0.25">
      <c r="I2207" s="3"/>
      <c r="J2207" s="3"/>
      <c r="K2207" s="3"/>
      <c r="L2207" s="3"/>
    </row>
    <row r="2208" spans="9:12" x14ac:dyDescent="0.25">
      <c r="I2208" s="3"/>
      <c r="J2208" s="3"/>
      <c r="K2208" s="3"/>
      <c r="L2208" s="3"/>
    </row>
    <row r="2209" spans="9:12" x14ac:dyDescent="0.25">
      <c r="I2209" s="3"/>
      <c r="J2209" s="3"/>
      <c r="K2209" s="3"/>
      <c r="L2209" s="3"/>
    </row>
    <row r="2210" spans="9:12" x14ac:dyDescent="0.25">
      <c r="I2210" s="3"/>
      <c r="J2210" s="3"/>
      <c r="K2210" s="3"/>
      <c r="L2210" s="3"/>
    </row>
    <row r="2211" spans="9:12" x14ac:dyDescent="0.25">
      <c r="I2211" s="3"/>
      <c r="J2211" s="3"/>
      <c r="K2211" s="3"/>
      <c r="L2211" s="3"/>
    </row>
    <row r="2212" spans="9:12" x14ac:dyDescent="0.25">
      <c r="I2212" s="3"/>
      <c r="J2212" s="3"/>
      <c r="K2212" s="3"/>
      <c r="L2212" s="3"/>
    </row>
    <row r="2213" spans="9:12" x14ac:dyDescent="0.25">
      <c r="I2213" s="3"/>
      <c r="J2213" s="3"/>
      <c r="K2213" s="3"/>
      <c r="L2213" s="3"/>
    </row>
    <row r="2214" spans="9:12" x14ac:dyDescent="0.25">
      <c r="I2214" s="3"/>
      <c r="J2214" s="3"/>
      <c r="K2214" s="3"/>
      <c r="L2214" s="3"/>
    </row>
    <row r="2215" spans="9:12" x14ac:dyDescent="0.25">
      <c r="I2215" s="3"/>
      <c r="J2215" s="3"/>
      <c r="K2215" s="3"/>
      <c r="L2215" s="3"/>
    </row>
    <row r="2216" spans="9:12" x14ac:dyDescent="0.25">
      <c r="I2216" s="3"/>
      <c r="J2216" s="3"/>
      <c r="K2216" s="3"/>
      <c r="L2216" s="3"/>
    </row>
    <row r="2217" spans="9:12" x14ac:dyDescent="0.25">
      <c r="I2217" s="3"/>
      <c r="J2217" s="3"/>
      <c r="K2217" s="3"/>
      <c r="L2217" s="3"/>
    </row>
    <row r="2218" spans="9:12" x14ac:dyDescent="0.25">
      <c r="I2218" s="3"/>
      <c r="J2218" s="3"/>
      <c r="K2218" s="3"/>
      <c r="L2218" s="3"/>
    </row>
    <row r="2219" spans="9:12" x14ac:dyDescent="0.25">
      <c r="I2219" s="3"/>
      <c r="J2219" s="3"/>
      <c r="K2219" s="3"/>
      <c r="L2219" s="3"/>
    </row>
    <row r="2220" spans="9:12" x14ac:dyDescent="0.25">
      <c r="I2220" s="3"/>
      <c r="J2220" s="3"/>
      <c r="K2220" s="3"/>
      <c r="L2220" s="3"/>
    </row>
    <row r="2221" spans="9:12" x14ac:dyDescent="0.25">
      <c r="I2221" s="3"/>
      <c r="J2221" s="3"/>
      <c r="K2221" s="3"/>
      <c r="L2221" s="3"/>
    </row>
    <row r="2222" spans="9:12" x14ac:dyDescent="0.25">
      <c r="I2222" s="3"/>
      <c r="J2222" s="3"/>
      <c r="K2222" s="3"/>
      <c r="L2222" s="3"/>
    </row>
    <row r="2223" spans="9:12" x14ac:dyDescent="0.25">
      <c r="I2223" s="3"/>
      <c r="J2223" s="3"/>
      <c r="K2223" s="3"/>
      <c r="L2223" s="3"/>
    </row>
    <row r="2224" spans="9:12" x14ac:dyDescent="0.25">
      <c r="I2224" s="3"/>
      <c r="J2224" s="3"/>
      <c r="K2224" s="3"/>
      <c r="L2224" s="3"/>
    </row>
    <row r="2225" spans="9:12" x14ac:dyDescent="0.25">
      <c r="I2225" s="3"/>
      <c r="J2225" s="3"/>
      <c r="K2225" s="3"/>
      <c r="L2225" s="3"/>
    </row>
    <row r="2226" spans="9:12" x14ac:dyDescent="0.25">
      <c r="I2226" s="3"/>
      <c r="J2226" s="3"/>
      <c r="K2226" s="3"/>
      <c r="L2226" s="3"/>
    </row>
    <row r="2227" spans="9:12" x14ac:dyDescent="0.25">
      <c r="I2227" s="3"/>
      <c r="J2227" s="3"/>
      <c r="K2227" s="3"/>
      <c r="L2227" s="3"/>
    </row>
    <row r="2228" spans="9:12" x14ac:dyDescent="0.25">
      <c r="I2228" s="3"/>
      <c r="J2228" s="3"/>
      <c r="K2228" s="3"/>
      <c r="L2228" s="3"/>
    </row>
    <row r="2229" spans="9:12" x14ac:dyDescent="0.25">
      <c r="I2229" s="3"/>
      <c r="J2229" s="3"/>
      <c r="K2229" s="3"/>
      <c r="L2229" s="3"/>
    </row>
    <row r="2230" spans="9:12" x14ac:dyDescent="0.25">
      <c r="I2230" s="3"/>
      <c r="J2230" s="3"/>
      <c r="K2230" s="3"/>
      <c r="L2230" s="3"/>
    </row>
    <row r="2231" spans="9:12" x14ac:dyDescent="0.25">
      <c r="I2231" s="3"/>
      <c r="J2231" s="3"/>
      <c r="K2231" s="3"/>
      <c r="L2231" s="3"/>
    </row>
    <row r="2232" spans="9:12" x14ac:dyDescent="0.25">
      <c r="I2232" s="3"/>
      <c r="J2232" s="3"/>
      <c r="K2232" s="3"/>
      <c r="L2232" s="3"/>
    </row>
    <row r="2233" spans="9:12" x14ac:dyDescent="0.25">
      <c r="I2233" s="4"/>
      <c r="J2233" s="4"/>
      <c r="K2233" s="4"/>
      <c r="L2233" s="4"/>
    </row>
    <row r="2234" spans="9:12" x14ac:dyDescent="0.25">
      <c r="I2234" s="4"/>
      <c r="J2234" s="4"/>
      <c r="K2234" s="4"/>
      <c r="L2234" s="4"/>
    </row>
    <row r="2235" spans="9:12" x14ac:dyDescent="0.25">
      <c r="I2235" s="3"/>
      <c r="J2235" s="3"/>
      <c r="K2235" s="3"/>
      <c r="L2235" s="3"/>
    </row>
    <row r="2236" spans="9:12" x14ac:dyDescent="0.25">
      <c r="I2236" s="3"/>
      <c r="J2236" s="3"/>
      <c r="K2236" s="3"/>
      <c r="L2236" s="3"/>
    </row>
    <row r="2237" spans="9:12" x14ac:dyDescent="0.25">
      <c r="I2237" s="3"/>
      <c r="J2237" s="3"/>
      <c r="K2237" s="3"/>
      <c r="L2237" s="3"/>
    </row>
    <row r="2238" spans="9:12" x14ac:dyDescent="0.25">
      <c r="I2238" s="3"/>
      <c r="J2238" s="3"/>
      <c r="K2238" s="3"/>
      <c r="L2238" s="3"/>
    </row>
    <row r="2239" spans="9:12" x14ac:dyDescent="0.25">
      <c r="I2239" s="3"/>
      <c r="J2239" s="3"/>
      <c r="K2239" s="3"/>
      <c r="L2239" s="3"/>
    </row>
    <row r="2240" spans="9:12" x14ac:dyDescent="0.25">
      <c r="I2240" s="3"/>
      <c r="J2240" s="3"/>
      <c r="K2240" s="3"/>
      <c r="L2240" s="3"/>
    </row>
    <row r="2241" spans="9:12" x14ac:dyDescent="0.25">
      <c r="I2241" s="3"/>
      <c r="J2241" s="3"/>
      <c r="K2241" s="3"/>
      <c r="L2241" s="3"/>
    </row>
    <row r="2242" spans="9:12" x14ac:dyDescent="0.25">
      <c r="I2242" s="3"/>
      <c r="J2242" s="3"/>
      <c r="K2242" s="3"/>
      <c r="L2242" s="3"/>
    </row>
    <row r="2243" spans="9:12" x14ac:dyDescent="0.25">
      <c r="I2243" s="3"/>
      <c r="J2243" s="3"/>
      <c r="K2243" s="3"/>
      <c r="L2243" s="3"/>
    </row>
    <row r="2244" spans="9:12" x14ac:dyDescent="0.25">
      <c r="I2244" s="3"/>
      <c r="J2244" s="3"/>
      <c r="K2244" s="3"/>
      <c r="L2244" s="3"/>
    </row>
    <row r="2245" spans="9:12" x14ac:dyDescent="0.25">
      <c r="I2245" s="3"/>
      <c r="J2245" s="3"/>
      <c r="K2245" s="3"/>
      <c r="L2245" s="3"/>
    </row>
    <row r="2246" spans="9:12" x14ac:dyDescent="0.25">
      <c r="I2246" s="3"/>
      <c r="J2246" s="3"/>
      <c r="K2246" s="3"/>
      <c r="L2246" s="3"/>
    </row>
    <row r="2247" spans="9:12" x14ac:dyDescent="0.25">
      <c r="I2247" s="3"/>
      <c r="J2247" s="3"/>
      <c r="K2247" s="3"/>
      <c r="L2247" s="3"/>
    </row>
    <row r="2248" spans="9:12" x14ac:dyDescent="0.25">
      <c r="I2248" s="3"/>
      <c r="J2248" s="3"/>
      <c r="K2248" s="3"/>
      <c r="L2248" s="3"/>
    </row>
    <row r="2249" spans="9:12" x14ac:dyDescent="0.25">
      <c r="I2249" s="3"/>
      <c r="J2249" s="3"/>
      <c r="K2249" s="3"/>
      <c r="L2249" s="3"/>
    </row>
    <row r="2250" spans="9:12" x14ac:dyDescent="0.25">
      <c r="I2250" s="3"/>
      <c r="J2250" s="3"/>
      <c r="K2250" s="3"/>
      <c r="L2250" s="3"/>
    </row>
    <row r="2251" spans="9:12" x14ac:dyDescent="0.25">
      <c r="I2251" s="3"/>
      <c r="J2251" s="3"/>
      <c r="K2251" s="3"/>
      <c r="L2251" s="3"/>
    </row>
    <row r="2252" spans="9:12" x14ac:dyDescent="0.25">
      <c r="I2252" s="3"/>
      <c r="J2252" s="3"/>
      <c r="K2252" s="3"/>
      <c r="L2252" s="3"/>
    </row>
    <row r="2253" spans="9:12" x14ac:dyDescent="0.25">
      <c r="I2253" s="3"/>
      <c r="J2253" s="3"/>
      <c r="K2253" s="3"/>
      <c r="L2253" s="3"/>
    </row>
    <row r="2254" spans="9:12" x14ac:dyDescent="0.25">
      <c r="I2254" s="3"/>
      <c r="J2254" s="3"/>
      <c r="K2254" s="3"/>
      <c r="L2254" s="3"/>
    </row>
    <row r="2255" spans="9:12" x14ac:dyDescent="0.25">
      <c r="I2255" s="3"/>
      <c r="J2255" s="3"/>
      <c r="K2255" s="3"/>
      <c r="L2255" s="3"/>
    </row>
    <row r="2256" spans="9:12" x14ac:dyDescent="0.25">
      <c r="I2256" s="3"/>
      <c r="J2256" s="3"/>
      <c r="K2256" s="3"/>
      <c r="L2256" s="3"/>
    </row>
    <row r="2257" spans="9:12" x14ac:dyDescent="0.25">
      <c r="I2257" s="3"/>
      <c r="J2257" s="3"/>
      <c r="K2257" s="3"/>
      <c r="L2257" s="3"/>
    </row>
    <row r="2258" spans="9:12" x14ac:dyDescent="0.25">
      <c r="I2258" s="3"/>
      <c r="J2258" s="3"/>
      <c r="K2258" s="3"/>
      <c r="L2258" s="3"/>
    </row>
    <row r="2259" spans="9:12" x14ac:dyDescent="0.25">
      <c r="I2259" s="3"/>
      <c r="J2259" s="3"/>
      <c r="K2259" s="3"/>
      <c r="L2259" s="3"/>
    </row>
    <row r="2260" spans="9:12" x14ac:dyDescent="0.25">
      <c r="I2260" s="3"/>
      <c r="J2260" s="3"/>
      <c r="K2260" s="3"/>
      <c r="L2260" s="3"/>
    </row>
    <row r="2261" spans="9:12" x14ac:dyDescent="0.25">
      <c r="I2261" s="3"/>
      <c r="J2261" s="3"/>
      <c r="K2261" s="3"/>
      <c r="L2261" s="3"/>
    </row>
    <row r="2262" spans="9:12" x14ac:dyDescent="0.25">
      <c r="I2262" s="3"/>
      <c r="J2262" s="3"/>
      <c r="K2262" s="3"/>
      <c r="L2262" s="3"/>
    </row>
    <row r="2263" spans="9:12" x14ac:dyDescent="0.25">
      <c r="I2263" s="3"/>
      <c r="J2263" s="3"/>
      <c r="K2263" s="3"/>
      <c r="L2263" s="3"/>
    </row>
    <row r="2264" spans="9:12" x14ac:dyDescent="0.25">
      <c r="I2264" s="3"/>
      <c r="J2264" s="3"/>
      <c r="K2264" s="3"/>
      <c r="L2264" s="3"/>
    </row>
    <row r="2265" spans="9:12" x14ac:dyDescent="0.25">
      <c r="I2265" s="3"/>
      <c r="J2265" s="3"/>
      <c r="K2265" s="3"/>
      <c r="L2265" s="3"/>
    </row>
    <row r="2266" spans="9:12" x14ac:dyDescent="0.25">
      <c r="I2266" s="3"/>
      <c r="J2266" s="3"/>
      <c r="K2266" s="3"/>
      <c r="L2266" s="3"/>
    </row>
    <row r="2267" spans="9:12" x14ac:dyDescent="0.25">
      <c r="I2267" s="3"/>
      <c r="J2267" s="3"/>
      <c r="K2267" s="3"/>
      <c r="L2267" s="3"/>
    </row>
    <row r="2268" spans="9:12" x14ac:dyDescent="0.25">
      <c r="I2268" s="3"/>
      <c r="J2268" s="3"/>
      <c r="K2268" s="3"/>
      <c r="L2268" s="3"/>
    </row>
    <row r="2269" spans="9:12" x14ac:dyDescent="0.25">
      <c r="I2269" s="3"/>
      <c r="J2269" s="3"/>
      <c r="K2269" s="3"/>
      <c r="L2269" s="3"/>
    </row>
    <row r="2270" spans="9:12" x14ac:dyDescent="0.25">
      <c r="I2270" s="3"/>
      <c r="J2270" s="3"/>
      <c r="K2270" s="3"/>
      <c r="L2270" s="3"/>
    </row>
    <row r="2271" spans="9:12" x14ac:dyDescent="0.25">
      <c r="I2271" s="3"/>
      <c r="J2271" s="3"/>
      <c r="K2271" s="3"/>
      <c r="L2271" s="3"/>
    </row>
    <row r="2272" spans="9:12" x14ac:dyDescent="0.25">
      <c r="I2272" s="3"/>
      <c r="J2272" s="3"/>
      <c r="K2272" s="3"/>
      <c r="L2272" s="3"/>
    </row>
    <row r="2273" spans="9:12" x14ac:dyDescent="0.25">
      <c r="I2273" s="3"/>
      <c r="J2273" s="3"/>
      <c r="K2273" s="3"/>
      <c r="L2273" s="3"/>
    </row>
    <row r="2274" spans="9:12" x14ac:dyDescent="0.25">
      <c r="I2274" s="3"/>
      <c r="J2274" s="3"/>
      <c r="K2274" s="3"/>
      <c r="L2274" s="3"/>
    </row>
    <row r="2275" spans="9:12" x14ac:dyDescent="0.25">
      <c r="I2275" s="3"/>
      <c r="J2275" s="3"/>
      <c r="K2275" s="3"/>
      <c r="L2275" s="3"/>
    </row>
    <row r="2276" spans="9:12" x14ac:dyDescent="0.25">
      <c r="I2276" s="4"/>
      <c r="J2276" s="4"/>
      <c r="K2276" s="4"/>
      <c r="L2276" s="4"/>
    </row>
    <row r="2277" spans="9:12" x14ac:dyDescent="0.25">
      <c r="I2277" s="3"/>
      <c r="J2277" s="3"/>
      <c r="K2277" s="3"/>
      <c r="L2277" s="3"/>
    </row>
    <row r="2278" spans="9:12" x14ac:dyDescent="0.25">
      <c r="I2278" s="3"/>
      <c r="J2278" s="3"/>
      <c r="K2278" s="3"/>
      <c r="L2278" s="3"/>
    </row>
    <row r="2279" spans="9:12" x14ac:dyDescent="0.25">
      <c r="I2279" s="3"/>
      <c r="J2279" s="3"/>
      <c r="K2279" s="3"/>
      <c r="L2279" s="3"/>
    </row>
    <row r="2280" spans="9:12" x14ac:dyDescent="0.25">
      <c r="I2280" s="3"/>
      <c r="J2280" s="3"/>
      <c r="K2280" s="3"/>
      <c r="L2280" s="3"/>
    </row>
    <row r="2281" spans="9:12" x14ac:dyDescent="0.25">
      <c r="I2281" s="3"/>
      <c r="J2281" s="3"/>
      <c r="K2281" s="3"/>
      <c r="L2281" s="3"/>
    </row>
    <row r="2282" spans="9:12" x14ac:dyDescent="0.25">
      <c r="I2282" s="3"/>
      <c r="J2282" s="3"/>
      <c r="K2282" s="3"/>
      <c r="L2282" s="3"/>
    </row>
    <row r="2283" spans="9:12" x14ac:dyDescent="0.25">
      <c r="I2283" s="3"/>
      <c r="J2283" s="3"/>
      <c r="K2283" s="3"/>
      <c r="L2283" s="3"/>
    </row>
    <row r="2284" spans="9:12" x14ac:dyDescent="0.25">
      <c r="I2284" s="3"/>
      <c r="J2284" s="3"/>
      <c r="K2284" s="3"/>
      <c r="L2284" s="3"/>
    </row>
    <row r="2285" spans="9:12" x14ac:dyDescent="0.25">
      <c r="I2285" s="3"/>
      <c r="J2285" s="3"/>
      <c r="K2285" s="3"/>
      <c r="L2285" s="3"/>
    </row>
    <row r="2286" spans="9:12" x14ac:dyDescent="0.25">
      <c r="I2286" s="3"/>
      <c r="J2286" s="3"/>
      <c r="K2286" s="3"/>
      <c r="L2286" s="3"/>
    </row>
    <row r="2287" spans="9:12" x14ac:dyDescent="0.25">
      <c r="I2287" s="3"/>
      <c r="J2287" s="3"/>
      <c r="K2287" s="3"/>
      <c r="L2287" s="3"/>
    </row>
    <row r="2288" spans="9:12" x14ac:dyDescent="0.25">
      <c r="I2288" s="3"/>
      <c r="J2288" s="3"/>
      <c r="K2288" s="3"/>
      <c r="L2288" s="3"/>
    </row>
    <row r="2289" spans="9:12" x14ac:dyDescent="0.25">
      <c r="I2289" s="3"/>
      <c r="J2289" s="3"/>
      <c r="K2289" s="3"/>
      <c r="L2289" s="3"/>
    </row>
    <row r="2290" spans="9:12" x14ac:dyDescent="0.25">
      <c r="I2290" s="3"/>
      <c r="J2290" s="3"/>
      <c r="K2290" s="3"/>
      <c r="L2290" s="3"/>
    </row>
    <row r="2291" spans="9:12" x14ac:dyDescent="0.25">
      <c r="I2291" s="3"/>
      <c r="J2291" s="3"/>
      <c r="K2291" s="3"/>
      <c r="L2291" s="3"/>
    </row>
    <row r="2292" spans="9:12" x14ac:dyDescent="0.25">
      <c r="I2292" s="3"/>
      <c r="J2292" s="3"/>
      <c r="K2292" s="3"/>
      <c r="L2292" s="3"/>
    </row>
    <row r="2293" spans="9:12" x14ac:dyDescent="0.25">
      <c r="I2293" s="3"/>
      <c r="J2293" s="3"/>
      <c r="K2293" s="3"/>
      <c r="L2293" s="3"/>
    </row>
    <row r="2294" spans="9:12" x14ac:dyDescent="0.25">
      <c r="I2294" s="3"/>
      <c r="J2294" s="3"/>
      <c r="K2294" s="3"/>
      <c r="L2294" s="3"/>
    </row>
    <row r="2295" spans="9:12" x14ac:dyDescent="0.25">
      <c r="I2295" s="3"/>
      <c r="J2295" s="3"/>
      <c r="K2295" s="3"/>
      <c r="L2295" s="3"/>
    </row>
    <row r="2296" spans="9:12" x14ac:dyDescent="0.25">
      <c r="I2296" s="3"/>
      <c r="J2296" s="3"/>
      <c r="K2296" s="3"/>
      <c r="L2296" s="3"/>
    </row>
    <row r="2297" spans="9:12" x14ac:dyDescent="0.25">
      <c r="I2297" s="3"/>
      <c r="J2297" s="3"/>
      <c r="K2297" s="3"/>
      <c r="L2297" s="3"/>
    </row>
    <row r="2298" spans="9:12" x14ac:dyDescent="0.25">
      <c r="I2298" s="3"/>
      <c r="J2298" s="3"/>
      <c r="K2298" s="3"/>
      <c r="L2298" s="3"/>
    </row>
    <row r="2299" spans="9:12" x14ac:dyDescent="0.25">
      <c r="I2299" s="3"/>
      <c r="J2299" s="3"/>
      <c r="K2299" s="3"/>
      <c r="L2299" s="3"/>
    </row>
    <row r="2300" spans="9:12" x14ac:dyDescent="0.25">
      <c r="I2300" s="3"/>
      <c r="J2300" s="3"/>
      <c r="K2300" s="3"/>
      <c r="L2300" s="3"/>
    </row>
    <row r="2301" spans="9:12" x14ac:dyDescent="0.25">
      <c r="I2301" s="3"/>
      <c r="J2301" s="3"/>
      <c r="K2301" s="3"/>
      <c r="L2301" s="3"/>
    </row>
    <row r="2302" spans="9:12" x14ac:dyDescent="0.25">
      <c r="I2302" s="3"/>
      <c r="J2302" s="3"/>
      <c r="K2302" s="3"/>
      <c r="L2302" s="3"/>
    </row>
    <row r="2303" spans="9:12" x14ac:dyDescent="0.25">
      <c r="I2303" s="3"/>
      <c r="J2303" s="3"/>
      <c r="K2303" s="3"/>
      <c r="L2303" s="3"/>
    </row>
    <row r="2304" spans="9:12" x14ac:dyDescent="0.25">
      <c r="I2304" s="3"/>
      <c r="J2304" s="3"/>
      <c r="K2304" s="3"/>
      <c r="L2304" s="3"/>
    </row>
    <row r="2305" spans="9:12" x14ac:dyDescent="0.25">
      <c r="I2305" s="3"/>
      <c r="J2305" s="3"/>
      <c r="K2305" s="3"/>
      <c r="L2305" s="3"/>
    </row>
    <row r="2306" spans="9:12" x14ac:dyDescent="0.25">
      <c r="I2306" s="3"/>
      <c r="J2306" s="3"/>
      <c r="K2306" s="3"/>
      <c r="L2306" s="3"/>
    </row>
    <row r="2307" spans="9:12" x14ac:dyDescent="0.25">
      <c r="I2307" s="3"/>
      <c r="J2307" s="3"/>
      <c r="K2307" s="3"/>
      <c r="L2307" s="3"/>
    </row>
    <row r="2308" spans="9:12" x14ac:dyDescent="0.25">
      <c r="I2308" s="3"/>
      <c r="J2308" s="3"/>
      <c r="K2308" s="3"/>
      <c r="L2308" s="3"/>
    </row>
    <row r="2309" spans="9:12" x14ac:dyDescent="0.25">
      <c r="I2309" s="3"/>
      <c r="J2309" s="3"/>
      <c r="K2309" s="3"/>
      <c r="L2309" s="3"/>
    </row>
    <row r="2310" spans="9:12" x14ac:dyDescent="0.25">
      <c r="I2310" s="3"/>
      <c r="J2310" s="3"/>
      <c r="K2310" s="3"/>
      <c r="L2310" s="3"/>
    </row>
    <row r="2311" spans="9:12" x14ac:dyDescent="0.25">
      <c r="I2311" s="3"/>
      <c r="J2311" s="3"/>
      <c r="K2311" s="3"/>
      <c r="L2311" s="3"/>
    </row>
    <row r="2312" spans="9:12" x14ac:dyDescent="0.25">
      <c r="I2312" s="3"/>
      <c r="J2312" s="3"/>
      <c r="K2312" s="3"/>
      <c r="L2312" s="3"/>
    </row>
    <row r="2313" spans="9:12" x14ac:dyDescent="0.25">
      <c r="I2313" s="3"/>
      <c r="J2313" s="3"/>
      <c r="K2313" s="3"/>
      <c r="L2313" s="3"/>
    </row>
    <row r="2314" spans="9:12" x14ac:dyDescent="0.25">
      <c r="I2314" s="3"/>
      <c r="J2314" s="3"/>
      <c r="K2314" s="3"/>
      <c r="L2314" s="3"/>
    </row>
    <row r="2315" spans="9:12" x14ac:dyDescent="0.25">
      <c r="I2315" s="3"/>
      <c r="J2315" s="3"/>
      <c r="K2315" s="3"/>
      <c r="L2315" s="3"/>
    </row>
    <row r="2316" spans="9:12" x14ac:dyDescent="0.25">
      <c r="I2316" s="3"/>
      <c r="J2316" s="3"/>
      <c r="K2316" s="3"/>
      <c r="L2316" s="3"/>
    </row>
    <row r="2317" spans="9:12" x14ac:dyDescent="0.25">
      <c r="I2317" s="3"/>
      <c r="J2317" s="3"/>
      <c r="K2317" s="3"/>
      <c r="L2317" s="3"/>
    </row>
    <row r="2318" spans="9:12" x14ac:dyDescent="0.25">
      <c r="I2318" s="3"/>
      <c r="J2318" s="3"/>
      <c r="K2318" s="3"/>
      <c r="L2318" s="3"/>
    </row>
    <row r="2319" spans="9:12" x14ac:dyDescent="0.25">
      <c r="I2319" s="3"/>
      <c r="J2319" s="3"/>
      <c r="K2319" s="3"/>
      <c r="L2319" s="3"/>
    </row>
    <row r="2320" spans="9:12" x14ac:dyDescent="0.25">
      <c r="I2320" s="3"/>
      <c r="J2320" s="3"/>
      <c r="K2320" s="3"/>
      <c r="L2320" s="3"/>
    </row>
    <row r="2321" spans="9:12" x14ac:dyDescent="0.25">
      <c r="I2321" s="3"/>
      <c r="J2321" s="3"/>
      <c r="K2321" s="3"/>
      <c r="L2321" s="3"/>
    </row>
    <row r="2322" spans="9:12" x14ac:dyDescent="0.25">
      <c r="I2322" s="3"/>
      <c r="J2322" s="3"/>
      <c r="K2322" s="3"/>
      <c r="L2322" s="3"/>
    </row>
    <row r="2323" spans="9:12" x14ac:dyDescent="0.25">
      <c r="I2323" s="3"/>
      <c r="J2323" s="3"/>
      <c r="K2323" s="3"/>
      <c r="L2323" s="3"/>
    </row>
    <row r="2324" spans="9:12" x14ac:dyDescent="0.25">
      <c r="I2324" s="3"/>
      <c r="J2324" s="3"/>
      <c r="K2324" s="3"/>
      <c r="L2324" s="3"/>
    </row>
    <row r="2325" spans="9:12" x14ac:dyDescent="0.25">
      <c r="I2325" s="3"/>
      <c r="J2325" s="3"/>
      <c r="K2325" s="3"/>
      <c r="L2325" s="3"/>
    </row>
    <row r="2326" spans="9:12" x14ac:dyDescent="0.25">
      <c r="I2326" s="3"/>
      <c r="J2326" s="3"/>
      <c r="K2326" s="3"/>
      <c r="L2326" s="3"/>
    </row>
    <row r="2327" spans="9:12" x14ac:dyDescent="0.25">
      <c r="I2327" s="3"/>
      <c r="J2327" s="3"/>
      <c r="K2327" s="3"/>
      <c r="L2327" s="3"/>
    </row>
    <row r="2328" spans="9:12" x14ac:dyDescent="0.25">
      <c r="I2328" s="3"/>
      <c r="J2328" s="3"/>
      <c r="K2328" s="3"/>
      <c r="L2328" s="3"/>
    </row>
    <row r="2329" spans="9:12" x14ac:dyDescent="0.25">
      <c r="I2329" s="3"/>
      <c r="J2329" s="3"/>
      <c r="K2329" s="3"/>
      <c r="L2329" s="3"/>
    </row>
    <row r="2330" spans="9:12" x14ac:dyDescent="0.25">
      <c r="I2330" s="3"/>
      <c r="J2330" s="3"/>
      <c r="K2330" s="3"/>
      <c r="L2330" s="3"/>
    </row>
    <row r="2331" spans="9:12" x14ac:dyDescent="0.25">
      <c r="I2331" s="3"/>
      <c r="J2331" s="3"/>
      <c r="K2331" s="3"/>
      <c r="L2331" s="3"/>
    </row>
    <row r="2332" spans="9:12" x14ac:dyDescent="0.25">
      <c r="I2332" s="3"/>
      <c r="J2332" s="3"/>
      <c r="K2332" s="3"/>
      <c r="L2332" s="3"/>
    </row>
    <row r="2333" spans="9:12" x14ac:dyDescent="0.25">
      <c r="I2333" s="3"/>
      <c r="J2333" s="3"/>
      <c r="K2333" s="3"/>
      <c r="L2333" s="3"/>
    </row>
    <row r="2334" spans="9:12" x14ac:dyDescent="0.25">
      <c r="I2334" s="3"/>
      <c r="J2334" s="3"/>
      <c r="K2334" s="3"/>
      <c r="L2334" s="3"/>
    </row>
    <row r="2335" spans="9:12" x14ac:dyDescent="0.25">
      <c r="I2335" s="3"/>
      <c r="J2335" s="3"/>
      <c r="K2335" s="3"/>
      <c r="L2335" s="3"/>
    </row>
    <row r="2336" spans="9:12" x14ac:dyDescent="0.25">
      <c r="I2336" s="3"/>
      <c r="J2336" s="3"/>
      <c r="K2336" s="3"/>
      <c r="L2336" s="3"/>
    </row>
    <row r="2337" spans="9:12" x14ac:dyDescent="0.25">
      <c r="I2337" s="3"/>
      <c r="J2337" s="3"/>
      <c r="K2337" s="3"/>
      <c r="L2337" s="3"/>
    </row>
    <row r="2338" spans="9:12" x14ac:dyDescent="0.25">
      <c r="I2338" s="3"/>
      <c r="J2338" s="3"/>
      <c r="K2338" s="3"/>
      <c r="L2338" s="3"/>
    </row>
    <row r="2339" spans="9:12" x14ac:dyDescent="0.25">
      <c r="I2339" s="3"/>
      <c r="J2339" s="3"/>
      <c r="K2339" s="3"/>
      <c r="L2339" s="3"/>
    </row>
    <row r="2340" spans="9:12" x14ac:dyDescent="0.25">
      <c r="I2340" s="3"/>
      <c r="J2340" s="3"/>
      <c r="K2340" s="3"/>
      <c r="L2340" s="3"/>
    </row>
    <row r="2341" spans="9:12" x14ac:dyDescent="0.25">
      <c r="I2341" s="3"/>
      <c r="J2341" s="3"/>
      <c r="K2341" s="3"/>
      <c r="L2341" s="3"/>
    </row>
    <row r="2342" spans="9:12" x14ac:dyDescent="0.25">
      <c r="I2342" s="3"/>
      <c r="J2342" s="3"/>
      <c r="K2342" s="3"/>
      <c r="L2342" s="3"/>
    </row>
    <row r="2343" spans="9:12" x14ac:dyDescent="0.25">
      <c r="I2343" s="3"/>
      <c r="J2343" s="3"/>
      <c r="K2343" s="3"/>
      <c r="L2343" s="3"/>
    </row>
    <row r="2344" spans="9:12" x14ac:dyDescent="0.25">
      <c r="I2344" s="3"/>
      <c r="J2344" s="3"/>
      <c r="K2344" s="3"/>
      <c r="L2344" s="3"/>
    </row>
    <row r="2345" spans="9:12" x14ac:dyDescent="0.25">
      <c r="I2345" s="3"/>
      <c r="J2345" s="3"/>
      <c r="K2345" s="3"/>
      <c r="L2345" s="3"/>
    </row>
    <row r="2346" spans="9:12" x14ac:dyDescent="0.25">
      <c r="I2346" s="3"/>
      <c r="J2346" s="3"/>
      <c r="K2346" s="3"/>
      <c r="L2346" s="3"/>
    </row>
    <row r="2347" spans="9:12" x14ac:dyDescent="0.25">
      <c r="I2347" s="3"/>
      <c r="J2347" s="3"/>
      <c r="K2347" s="3"/>
      <c r="L2347" s="3"/>
    </row>
    <row r="2348" spans="9:12" x14ac:dyDescent="0.25">
      <c r="I2348" s="3"/>
      <c r="J2348" s="3"/>
      <c r="K2348" s="3"/>
      <c r="L2348" s="3"/>
    </row>
    <row r="2349" spans="9:12" x14ac:dyDescent="0.25">
      <c r="I2349" s="3"/>
      <c r="J2349" s="3"/>
      <c r="K2349" s="3"/>
      <c r="L2349" s="3"/>
    </row>
    <row r="2350" spans="9:12" x14ac:dyDescent="0.25">
      <c r="I2350" s="3"/>
      <c r="J2350" s="3"/>
      <c r="K2350" s="3"/>
      <c r="L2350" s="3"/>
    </row>
    <row r="2351" spans="9:12" x14ac:dyDescent="0.25">
      <c r="I2351" s="3"/>
      <c r="J2351" s="3"/>
      <c r="K2351" s="3"/>
      <c r="L2351" s="3"/>
    </row>
    <row r="2352" spans="9:12" x14ac:dyDescent="0.25">
      <c r="I2352" s="3"/>
      <c r="J2352" s="3"/>
      <c r="K2352" s="3"/>
      <c r="L2352" s="3"/>
    </row>
    <row r="2353" spans="9:12" x14ac:dyDescent="0.25">
      <c r="I2353" s="3"/>
      <c r="J2353" s="3"/>
      <c r="K2353" s="3"/>
      <c r="L2353" s="3"/>
    </row>
    <row r="2354" spans="9:12" x14ac:dyDescent="0.25">
      <c r="I2354" s="3"/>
      <c r="J2354" s="3"/>
      <c r="K2354" s="3"/>
      <c r="L2354" s="3"/>
    </row>
    <row r="2355" spans="9:12" x14ac:dyDescent="0.25">
      <c r="I2355" s="3"/>
      <c r="J2355" s="3"/>
      <c r="K2355" s="3"/>
      <c r="L2355" s="3"/>
    </row>
    <row r="2356" spans="9:12" x14ac:dyDescent="0.25">
      <c r="I2356" s="3"/>
      <c r="J2356" s="3"/>
      <c r="K2356" s="3"/>
      <c r="L2356" s="3"/>
    </row>
    <row r="2357" spans="9:12" x14ac:dyDescent="0.25">
      <c r="I2357" s="3"/>
      <c r="J2357" s="3"/>
      <c r="K2357" s="3"/>
      <c r="L2357" s="3"/>
    </row>
    <row r="2358" spans="9:12" x14ac:dyDescent="0.25">
      <c r="I2358" s="3"/>
      <c r="J2358" s="3"/>
      <c r="K2358" s="3"/>
      <c r="L2358" s="3"/>
    </row>
    <row r="2359" spans="9:12" x14ac:dyDescent="0.25">
      <c r="I2359" s="3"/>
      <c r="J2359" s="3"/>
      <c r="K2359" s="3"/>
      <c r="L2359" s="3"/>
    </row>
    <row r="2360" spans="9:12" x14ac:dyDescent="0.25">
      <c r="I2360" s="3"/>
      <c r="J2360" s="3"/>
      <c r="K2360" s="3"/>
      <c r="L2360" s="3"/>
    </row>
    <row r="2361" spans="9:12" x14ac:dyDescent="0.25">
      <c r="I2361" s="3"/>
      <c r="J2361" s="3"/>
      <c r="K2361" s="3"/>
      <c r="L2361" s="3"/>
    </row>
    <row r="2362" spans="9:12" x14ac:dyDescent="0.25">
      <c r="I2362" s="3"/>
      <c r="J2362" s="3"/>
      <c r="K2362" s="3"/>
      <c r="L2362" s="3"/>
    </row>
    <row r="2363" spans="9:12" x14ac:dyDescent="0.25">
      <c r="I2363" s="3"/>
      <c r="J2363" s="3"/>
      <c r="K2363" s="3"/>
      <c r="L2363" s="3"/>
    </row>
    <row r="2364" spans="9:12" x14ac:dyDescent="0.25">
      <c r="I2364" s="3"/>
      <c r="J2364" s="3"/>
      <c r="K2364" s="3"/>
      <c r="L2364" s="3"/>
    </row>
    <row r="2365" spans="9:12" x14ac:dyDescent="0.25">
      <c r="I2365" s="3"/>
      <c r="J2365" s="3"/>
      <c r="K2365" s="3"/>
      <c r="L2365" s="3"/>
    </row>
    <row r="2366" spans="9:12" x14ac:dyDescent="0.25">
      <c r="I2366" s="3"/>
      <c r="J2366" s="3"/>
      <c r="K2366" s="3"/>
      <c r="L2366" s="3"/>
    </row>
    <row r="2367" spans="9:12" x14ac:dyDescent="0.25">
      <c r="I2367" s="3"/>
      <c r="J2367" s="3"/>
      <c r="K2367" s="3"/>
      <c r="L2367" s="3"/>
    </row>
    <row r="2368" spans="9:12" x14ac:dyDescent="0.25">
      <c r="I2368" s="3"/>
      <c r="J2368" s="3"/>
      <c r="K2368" s="3"/>
      <c r="L2368" s="3"/>
    </row>
    <row r="2369" spans="9:12" x14ac:dyDescent="0.25">
      <c r="I2369" s="3"/>
      <c r="J2369" s="3"/>
      <c r="K2369" s="3"/>
      <c r="L2369" s="3"/>
    </row>
    <row r="2370" spans="9:12" x14ac:dyDescent="0.25">
      <c r="I2370" s="3"/>
      <c r="J2370" s="3"/>
      <c r="K2370" s="3"/>
      <c r="L2370" s="3"/>
    </row>
    <row r="2371" spans="9:12" x14ac:dyDescent="0.25">
      <c r="I2371" s="3"/>
      <c r="J2371" s="3"/>
      <c r="K2371" s="3"/>
      <c r="L2371" s="3"/>
    </row>
    <row r="2372" spans="9:12" x14ac:dyDescent="0.25">
      <c r="I2372" s="3"/>
      <c r="J2372" s="3"/>
      <c r="K2372" s="3"/>
      <c r="L2372" s="3"/>
    </row>
    <row r="2373" spans="9:12" x14ac:dyDescent="0.25">
      <c r="I2373" s="3"/>
      <c r="J2373" s="3"/>
      <c r="K2373" s="3"/>
      <c r="L2373" s="3"/>
    </row>
    <row r="2374" spans="9:12" x14ac:dyDescent="0.25">
      <c r="I2374" s="3"/>
      <c r="J2374" s="3"/>
      <c r="K2374" s="3"/>
      <c r="L2374" s="3"/>
    </row>
    <row r="2375" spans="9:12" x14ac:dyDescent="0.25">
      <c r="I2375" s="3"/>
      <c r="J2375" s="3"/>
      <c r="K2375" s="3"/>
      <c r="L2375" s="3"/>
    </row>
    <row r="2376" spans="9:12" x14ac:dyDescent="0.25">
      <c r="I2376" s="3"/>
      <c r="J2376" s="3"/>
      <c r="K2376" s="3"/>
      <c r="L2376" s="3"/>
    </row>
    <row r="2377" spans="9:12" x14ac:dyDescent="0.25">
      <c r="I2377" s="3"/>
      <c r="J2377" s="3"/>
      <c r="K2377" s="3"/>
      <c r="L2377" s="3"/>
    </row>
    <row r="2378" spans="9:12" x14ac:dyDescent="0.25">
      <c r="I2378" s="3"/>
      <c r="J2378" s="3"/>
      <c r="K2378" s="3"/>
      <c r="L2378" s="3"/>
    </row>
    <row r="2379" spans="9:12" x14ac:dyDescent="0.25">
      <c r="I2379" s="3"/>
      <c r="J2379" s="3"/>
      <c r="K2379" s="3"/>
      <c r="L2379" s="3"/>
    </row>
    <row r="2380" spans="9:12" x14ac:dyDescent="0.25">
      <c r="I2380" s="3"/>
      <c r="J2380" s="3"/>
      <c r="K2380" s="3"/>
      <c r="L2380" s="3"/>
    </row>
    <row r="2381" spans="9:12" x14ac:dyDescent="0.25">
      <c r="I2381" s="3"/>
      <c r="J2381" s="3"/>
      <c r="K2381" s="3"/>
      <c r="L2381" s="3"/>
    </row>
    <row r="2382" spans="9:12" x14ac:dyDescent="0.25">
      <c r="I2382" s="3"/>
      <c r="J2382" s="3"/>
      <c r="K2382" s="3"/>
      <c r="L2382" s="3"/>
    </row>
    <row r="2383" spans="9:12" x14ac:dyDescent="0.25">
      <c r="I2383" s="3"/>
      <c r="J2383" s="3"/>
      <c r="K2383" s="3"/>
      <c r="L2383" s="3"/>
    </row>
    <row r="2384" spans="9:12" x14ac:dyDescent="0.25">
      <c r="I2384" s="3"/>
      <c r="J2384" s="3"/>
      <c r="K2384" s="3"/>
      <c r="L2384" s="3"/>
    </row>
    <row r="2385" spans="9:12" x14ac:dyDescent="0.25">
      <c r="I2385" s="3"/>
      <c r="J2385" s="3"/>
      <c r="K2385" s="3"/>
      <c r="L2385" s="3"/>
    </row>
    <row r="2386" spans="9:12" x14ac:dyDescent="0.25">
      <c r="I2386" s="3"/>
      <c r="J2386" s="3"/>
      <c r="K2386" s="3"/>
      <c r="L2386" s="3"/>
    </row>
    <row r="2387" spans="9:12" x14ac:dyDescent="0.25">
      <c r="I2387" s="3"/>
      <c r="J2387" s="3"/>
      <c r="K2387" s="3"/>
      <c r="L2387" s="3"/>
    </row>
    <row r="2388" spans="9:12" x14ac:dyDescent="0.25">
      <c r="I2388" s="3"/>
      <c r="J2388" s="3"/>
      <c r="K2388" s="3"/>
      <c r="L2388" s="3"/>
    </row>
    <row r="2389" spans="9:12" x14ac:dyDescent="0.25">
      <c r="I2389" s="3"/>
      <c r="J2389" s="3"/>
      <c r="K2389" s="3"/>
      <c r="L2389" s="3"/>
    </row>
    <row r="2390" spans="9:12" x14ac:dyDescent="0.25">
      <c r="I2390" s="3"/>
      <c r="J2390" s="3"/>
      <c r="K2390" s="3"/>
      <c r="L2390" s="3"/>
    </row>
    <row r="2391" spans="9:12" x14ac:dyDescent="0.25">
      <c r="I2391" s="3"/>
      <c r="J2391" s="3"/>
      <c r="K2391" s="3"/>
      <c r="L2391" s="3"/>
    </row>
    <row r="2392" spans="9:12" x14ac:dyDescent="0.25">
      <c r="I2392" s="3"/>
      <c r="J2392" s="3"/>
      <c r="K2392" s="3"/>
      <c r="L2392" s="3"/>
    </row>
    <row r="2393" spans="9:12" x14ac:dyDescent="0.25">
      <c r="I2393" s="3"/>
      <c r="J2393" s="3"/>
      <c r="K2393" s="3"/>
      <c r="L2393" s="3"/>
    </row>
    <row r="2394" spans="9:12" x14ac:dyDescent="0.25">
      <c r="I2394" s="3"/>
      <c r="J2394" s="3"/>
      <c r="K2394" s="3"/>
      <c r="L2394" s="3"/>
    </row>
    <row r="2395" spans="9:12" x14ac:dyDescent="0.25">
      <c r="I2395" s="3"/>
      <c r="J2395" s="3"/>
      <c r="K2395" s="3"/>
      <c r="L2395" s="3"/>
    </row>
    <row r="2396" spans="9:12" x14ac:dyDescent="0.25">
      <c r="I2396" s="3"/>
      <c r="J2396" s="3"/>
      <c r="K2396" s="3"/>
      <c r="L2396" s="3"/>
    </row>
    <row r="2397" spans="9:12" x14ac:dyDescent="0.25">
      <c r="I2397" s="3"/>
      <c r="J2397" s="3"/>
      <c r="K2397" s="3"/>
      <c r="L2397" s="3"/>
    </row>
    <row r="2398" spans="9:12" x14ac:dyDescent="0.25">
      <c r="I2398" s="3"/>
      <c r="J2398" s="3"/>
      <c r="K2398" s="3"/>
      <c r="L2398" s="3"/>
    </row>
    <row r="2399" spans="9:12" x14ac:dyDescent="0.25">
      <c r="I2399" s="3"/>
      <c r="J2399" s="3"/>
      <c r="K2399" s="3"/>
      <c r="L2399" s="3"/>
    </row>
    <row r="2400" spans="9:12" x14ac:dyDescent="0.25">
      <c r="I2400" s="3"/>
      <c r="J2400" s="3"/>
      <c r="K2400" s="3"/>
      <c r="L2400" s="3"/>
    </row>
    <row r="2401" spans="9:12" x14ac:dyDescent="0.25">
      <c r="I2401" s="3"/>
      <c r="J2401" s="3"/>
      <c r="K2401" s="3"/>
      <c r="L2401" s="3"/>
    </row>
    <row r="2402" spans="9:12" x14ac:dyDescent="0.25">
      <c r="I2402" s="3"/>
      <c r="J2402" s="3"/>
      <c r="K2402" s="3"/>
      <c r="L2402" s="3"/>
    </row>
    <row r="2403" spans="9:12" x14ac:dyDescent="0.25">
      <c r="I2403" s="3"/>
      <c r="J2403" s="3"/>
      <c r="K2403" s="3"/>
      <c r="L2403" s="3"/>
    </row>
    <row r="2404" spans="9:12" x14ac:dyDescent="0.25">
      <c r="I2404" s="3"/>
      <c r="J2404" s="3"/>
      <c r="K2404" s="3"/>
      <c r="L2404" s="3"/>
    </row>
    <row r="2405" spans="9:12" x14ac:dyDescent="0.25">
      <c r="I2405" s="3"/>
      <c r="J2405" s="3"/>
      <c r="K2405" s="3"/>
      <c r="L2405" s="3"/>
    </row>
    <row r="2406" spans="9:12" x14ac:dyDescent="0.25">
      <c r="I2406" s="3"/>
      <c r="J2406" s="3"/>
      <c r="K2406" s="3"/>
      <c r="L2406" s="3"/>
    </row>
    <row r="2407" spans="9:12" x14ac:dyDescent="0.25">
      <c r="I2407" s="3"/>
      <c r="J2407" s="3"/>
      <c r="K2407" s="3"/>
      <c r="L2407" s="3"/>
    </row>
    <row r="2408" spans="9:12" x14ac:dyDescent="0.25">
      <c r="I2408" s="3"/>
      <c r="J2408" s="3"/>
      <c r="K2408" s="3"/>
      <c r="L2408" s="3"/>
    </row>
    <row r="2409" spans="9:12" x14ac:dyDescent="0.25">
      <c r="I2409" s="3"/>
      <c r="J2409" s="3"/>
      <c r="K2409" s="3"/>
      <c r="L2409" s="3"/>
    </row>
    <row r="2410" spans="9:12" x14ac:dyDescent="0.25">
      <c r="I2410" s="3"/>
      <c r="J2410" s="3"/>
      <c r="K2410" s="3"/>
      <c r="L2410" s="3"/>
    </row>
    <row r="2411" spans="9:12" x14ac:dyDescent="0.25">
      <c r="I2411" s="3"/>
      <c r="J2411" s="3"/>
      <c r="K2411" s="3"/>
      <c r="L2411" s="3"/>
    </row>
    <row r="2412" spans="9:12" x14ac:dyDescent="0.25">
      <c r="I2412" s="3"/>
      <c r="J2412" s="3"/>
      <c r="K2412" s="3"/>
      <c r="L2412" s="3"/>
    </row>
    <row r="2413" spans="9:12" x14ac:dyDescent="0.25">
      <c r="I2413" s="3"/>
      <c r="J2413" s="3"/>
      <c r="K2413" s="3"/>
      <c r="L2413" s="3"/>
    </row>
    <row r="2414" spans="9:12" x14ac:dyDescent="0.25">
      <c r="I2414" s="3"/>
      <c r="J2414" s="3"/>
      <c r="K2414" s="3"/>
      <c r="L2414" s="3"/>
    </row>
    <row r="2415" spans="9:12" x14ac:dyDescent="0.25">
      <c r="I2415" s="3"/>
      <c r="J2415" s="3"/>
      <c r="K2415" s="3"/>
      <c r="L2415" s="3"/>
    </row>
    <row r="2416" spans="9:12" x14ac:dyDescent="0.25">
      <c r="I2416" s="3"/>
      <c r="J2416" s="3"/>
      <c r="K2416" s="3"/>
      <c r="L2416" s="3"/>
    </row>
    <row r="2417" spans="9:12" x14ac:dyDescent="0.25">
      <c r="I2417" s="3"/>
      <c r="J2417" s="3"/>
      <c r="K2417" s="3"/>
      <c r="L2417" s="3"/>
    </row>
    <row r="2418" spans="9:12" x14ac:dyDescent="0.25">
      <c r="I2418" s="3"/>
      <c r="J2418" s="3"/>
      <c r="K2418" s="3"/>
      <c r="L2418" s="3"/>
    </row>
    <row r="2419" spans="9:12" x14ac:dyDescent="0.25">
      <c r="I2419" s="3"/>
      <c r="J2419" s="3"/>
      <c r="K2419" s="3"/>
      <c r="L2419" s="3"/>
    </row>
    <row r="2420" spans="9:12" x14ac:dyDescent="0.25">
      <c r="I2420" s="3"/>
      <c r="J2420" s="3"/>
      <c r="K2420" s="3"/>
      <c r="L2420" s="3"/>
    </row>
    <row r="2421" spans="9:12" x14ac:dyDescent="0.25">
      <c r="I2421" s="3"/>
      <c r="J2421" s="3"/>
      <c r="K2421" s="3"/>
      <c r="L2421" s="3"/>
    </row>
    <row r="2422" spans="9:12" x14ac:dyDescent="0.25">
      <c r="I2422" s="3"/>
      <c r="J2422" s="3"/>
      <c r="K2422" s="3"/>
      <c r="L2422" s="3"/>
    </row>
    <row r="2423" spans="9:12" x14ac:dyDescent="0.25">
      <c r="I2423" s="3"/>
      <c r="J2423" s="3"/>
      <c r="K2423" s="3"/>
      <c r="L2423" s="3"/>
    </row>
    <row r="2424" spans="9:12" x14ac:dyDescent="0.25">
      <c r="I2424" s="3"/>
      <c r="J2424" s="3"/>
      <c r="K2424" s="3"/>
      <c r="L2424" s="3"/>
    </row>
    <row r="2425" spans="9:12" x14ac:dyDescent="0.25">
      <c r="I2425" s="3"/>
      <c r="J2425" s="3"/>
      <c r="K2425" s="3"/>
      <c r="L2425" s="3"/>
    </row>
    <row r="2426" spans="9:12" x14ac:dyDescent="0.25">
      <c r="I2426" s="3"/>
      <c r="J2426" s="3"/>
      <c r="K2426" s="3"/>
      <c r="L2426" s="3"/>
    </row>
    <row r="2427" spans="9:12" x14ac:dyDescent="0.25">
      <c r="I2427" s="3"/>
      <c r="J2427" s="3"/>
      <c r="K2427" s="3"/>
      <c r="L2427" s="3"/>
    </row>
    <row r="2428" spans="9:12" x14ac:dyDescent="0.25">
      <c r="I2428" s="3"/>
      <c r="J2428" s="3"/>
      <c r="K2428" s="3"/>
      <c r="L2428" s="3"/>
    </row>
    <row r="2429" spans="9:12" x14ac:dyDescent="0.25">
      <c r="I2429" s="3"/>
      <c r="J2429" s="3"/>
      <c r="K2429" s="3"/>
      <c r="L2429" s="3"/>
    </row>
    <row r="2430" spans="9:12" x14ac:dyDescent="0.25">
      <c r="I2430" s="3"/>
      <c r="J2430" s="3"/>
      <c r="K2430" s="3"/>
      <c r="L2430" s="3"/>
    </row>
    <row r="2431" spans="9:12" x14ac:dyDescent="0.25">
      <c r="I2431" s="3"/>
      <c r="J2431" s="3"/>
      <c r="K2431" s="3"/>
      <c r="L2431" s="3"/>
    </row>
    <row r="2432" spans="9:12" x14ac:dyDescent="0.25">
      <c r="I2432" s="3"/>
      <c r="J2432" s="3"/>
      <c r="K2432" s="3"/>
      <c r="L2432" s="3"/>
    </row>
    <row r="2433" spans="9:12" x14ac:dyDescent="0.25">
      <c r="I2433" s="3"/>
      <c r="J2433" s="3"/>
      <c r="K2433" s="3"/>
      <c r="L2433" s="3"/>
    </row>
    <row r="2434" spans="9:12" x14ac:dyDescent="0.25">
      <c r="I2434" s="3"/>
      <c r="J2434" s="3"/>
      <c r="K2434" s="3"/>
      <c r="L2434" s="3"/>
    </row>
    <row r="2435" spans="9:12" x14ac:dyDescent="0.25">
      <c r="I2435" s="3"/>
      <c r="J2435" s="3"/>
      <c r="K2435" s="3"/>
      <c r="L2435" s="3"/>
    </row>
    <row r="2436" spans="9:12" x14ac:dyDescent="0.25">
      <c r="I2436" s="3"/>
      <c r="J2436" s="3"/>
      <c r="K2436" s="3"/>
      <c r="L2436" s="3"/>
    </row>
    <row r="2437" spans="9:12" x14ac:dyDescent="0.25">
      <c r="I2437" s="3"/>
      <c r="J2437" s="3"/>
      <c r="K2437" s="3"/>
      <c r="L2437" s="3"/>
    </row>
    <row r="2438" spans="9:12" x14ac:dyDescent="0.25">
      <c r="I2438" s="3"/>
      <c r="J2438" s="3"/>
      <c r="K2438" s="3"/>
      <c r="L2438" s="3"/>
    </row>
    <row r="2439" spans="9:12" x14ac:dyDescent="0.25">
      <c r="I2439" s="3"/>
      <c r="J2439" s="3"/>
      <c r="K2439" s="3"/>
      <c r="L2439" s="3"/>
    </row>
    <row r="2440" spans="9:12" x14ac:dyDescent="0.25">
      <c r="I2440" s="3"/>
      <c r="J2440" s="3"/>
      <c r="K2440" s="3"/>
      <c r="L2440" s="3"/>
    </row>
    <row r="2441" spans="9:12" x14ac:dyDescent="0.25">
      <c r="I2441" s="3"/>
      <c r="J2441" s="3"/>
      <c r="K2441" s="3"/>
      <c r="L2441" s="3"/>
    </row>
    <row r="2442" spans="9:12" x14ac:dyDescent="0.25">
      <c r="I2442" s="3"/>
      <c r="J2442" s="3"/>
      <c r="K2442" s="3"/>
      <c r="L2442" s="3"/>
    </row>
    <row r="2443" spans="9:12" x14ac:dyDescent="0.25">
      <c r="I2443" s="3"/>
      <c r="J2443" s="3"/>
      <c r="K2443" s="3"/>
      <c r="L2443" s="3"/>
    </row>
    <row r="2444" spans="9:12" x14ac:dyDescent="0.25">
      <c r="I2444" s="3"/>
      <c r="J2444" s="3"/>
      <c r="K2444" s="3"/>
      <c r="L2444" s="3"/>
    </row>
    <row r="2445" spans="9:12" x14ac:dyDescent="0.25">
      <c r="I2445" s="3"/>
      <c r="J2445" s="3"/>
      <c r="K2445" s="3"/>
      <c r="L2445" s="3"/>
    </row>
    <row r="2446" spans="9:12" x14ac:dyDescent="0.25">
      <c r="I2446" s="3"/>
      <c r="J2446" s="3"/>
      <c r="K2446" s="3"/>
      <c r="L2446" s="3"/>
    </row>
    <row r="2447" spans="9:12" x14ac:dyDescent="0.25">
      <c r="I2447" s="3"/>
      <c r="J2447" s="3"/>
      <c r="K2447" s="3"/>
      <c r="L2447" s="3"/>
    </row>
    <row r="2448" spans="9:12" x14ac:dyDescent="0.25">
      <c r="I2448" s="3"/>
      <c r="J2448" s="3"/>
      <c r="K2448" s="3"/>
      <c r="L2448" s="3"/>
    </row>
    <row r="2449" spans="9:12" x14ac:dyDescent="0.25">
      <c r="I2449" s="3"/>
      <c r="J2449" s="3"/>
      <c r="K2449" s="3"/>
      <c r="L2449" s="3"/>
    </row>
    <row r="2450" spans="9:12" x14ac:dyDescent="0.25">
      <c r="I2450" s="3"/>
      <c r="J2450" s="3"/>
      <c r="K2450" s="3"/>
      <c r="L2450" s="3"/>
    </row>
    <row r="2451" spans="9:12" x14ac:dyDescent="0.25">
      <c r="I2451" s="3"/>
      <c r="J2451" s="3"/>
      <c r="K2451" s="3"/>
      <c r="L2451" s="3"/>
    </row>
    <row r="2452" spans="9:12" x14ac:dyDescent="0.25">
      <c r="I2452" s="3"/>
      <c r="J2452" s="3"/>
      <c r="K2452" s="3"/>
      <c r="L2452" s="3"/>
    </row>
    <row r="2453" spans="9:12" x14ac:dyDescent="0.25">
      <c r="I2453" s="3"/>
      <c r="J2453" s="3"/>
      <c r="K2453" s="3"/>
      <c r="L2453" s="3"/>
    </row>
    <row r="2454" spans="9:12" x14ac:dyDescent="0.25">
      <c r="I2454" s="3"/>
      <c r="J2454" s="3"/>
      <c r="K2454" s="3"/>
      <c r="L2454" s="3"/>
    </row>
    <row r="2455" spans="9:12" x14ac:dyDescent="0.25">
      <c r="I2455" s="3"/>
      <c r="J2455" s="3"/>
      <c r="K2455" s="3"/>
      <c r="L2455" s="3"/>
    </row>
    <row r="2456" spans="9:12" x14ac:dyDescent="0.25">
      <c r="I2456" s="3"/>
      <c r="J2456" s="3"/>
      <c r="K2456" s="3"/>
      <c r="L2456" s="3"/>
    </row>
    <row r="2457" spans="9:12" x14ac:dyDescent="0.25">
      <c r="I2457" s="3"/>
      <c r="J2457" s="3"/>
      <c r="K2457" s="3"/>
      <c r="L2457" s="3"/>
    </row>
    <row r="2458" spans="9:12" x14ac:dyDescent="0.25">
      <c r="I2458" s="3"/>
      <c r="J2458" s="3"/>
      <c r="K2458" s="3"/>
      <c r="L2458" s="3"/>
    </row>
    <row r="2459" spans="9:12" x14ac:dyDescent="0.25">
      <c r="I2459" s="3"/>
      <c r="J2459" s="3"/>
      <c r="K2459" s="3"/>
      <c r="L2459" s="3"/>
    </row>
    <row r="2460" spans="9:12" x14ac:dyDescent="0.25">
      <c r="I2460" s="3"/>
      <c r="J2460" s="3"/>
      <c r="K2460" s="3"/>
      <c r="L2460" s="3"/>
    </row>
    <row r="2461" spans="9:12" x14ac:dyDescent="0.25">
      <c r="I2461" s="3"/>
      <c r="J2461" s="3"/>
      <c r="K2461" s="3"/>
      <c r="L2461" s="3"/>
    </row>
    <row r="2462" spans="9:12" x14ac:dyDescent="0.25">
      <c r="I2462" s="3"/>
      <c r="J2462" s="3"/>
      <c r="K2462" s="3"/>
      <c r="L2462" s="3"/>
    </row>
    <row r="2463" spans="9:12" x14ac:dyDescent="0.25">
      <c r="I2463" s="3"/>
      <c r="J2463" s="3"/>
      <c r="K2463" s="3"/>
      <c r="L2463" s="3"/>
    </row>
    <row r="2464" spans="9:12" x14ac:dyDescent="0.25">
      <c r="I2464" s="3"/>
      <c r="J2464" s="3"/>
      <c r="K2464" s="3"/>
      <c r="L2464" s="3"/>
    </row>
    <row r="2465" spans="9:12" x14ac:dyDescent="0.25">
      <c r="I2465" s="3"/>
      <c r="J2465" s="3"/>
      <c r="K2465" s="3"/>
      <c r="L2465" s="3"/>
    </row>
    <row r="2466" spans="9:12" x14ac:dyDescent="0.25">
      <c r="I2466" s="3"/>
      <c r="J2466" s="3"/>
      <c r="K2466" s="3"/>
      <c r="L2466" s="3"/>
    </row>
    <row r="2467" spans="9:12" x14ac:dyDescent="0.25">
      <c r="I2467" s="3"/>
      <c r="J2467" s="3"/>
      <c r="K2467" s="3"/>
      <c r="L2467" s="3"/>
    </row>
    <row r="2468" spans="9:12" x14ac:dyDescent="0.25">
      <c r="I2468" s="3"/>
      <c r="J2468" s="3"/>
      <c r="K2468" s="3"/>
      <c r="L2468" s="3"/>
    </row>
    <row r="2469" spans="9:12" x14ac:dyDescent="0.25">
      <c r="I2469" s="3"/>
      <c r="J2469" s="3"/>
      <c r="K2469" s="3"/>
      <c r="L2469" s="3"/>
    </row>
    <row r="2470" spans="9:12" x14ac:dyDescent="0.25">
      <c r="I2470" s="3"/>
      <c r="J2470" s="3"/>
      <c r="K2470" s="3"/>
      <c r="L2470" s="3"/>
    </row>
    <row r="2471" spans="9:12" x14ac:dyDescent="0.25">
      <c r="I2471" s="3"/>
      <c r="J2471" s="3"/>
      <c r="K2471" s="3"/>
      <c r="L2471" s="3"/>
    </row>
    <row r="2472" spans="9:12" x14ac:dyDescent="0.25">
      <c r="I2472" s="3"/>
      <c r="J2472" s="3"/>
      <c r="K2472" s="3"/>
      <c r="L2472" s="3"/>
    </row>
    <row r="2473" spans="9:12" x14ac:dyDescent="0.25">
      <c r="I2473" s="3"/>
      <c r="J2473" s="3"/>
      <c r="K2473" s="3"/>
      <c r="L2473" s="3"/>
    </row>
    <row r="2474" spans="9:12" x14ac:dyDescent="0.25">
      <c r="I2474" s="3"/>
      <c r="J2474" s="3"/>
      <c r="K2474" s="3"/>
      <c r="L2474" s="3"/>
    </row>
    <row r="2475" spans="9:12" x14ac:dyDescent="0.25">
      <c r="I2475" s="3"/>
      <c r="J2475" s="3"/>
      <c r="K2475" s="3"/>
      <c r="L2475" s="3"/>
    </row>
    <row r="2476" spans="9:12" x14ac:dyDescent="0.25">
      <c r="I2476" s="3"/>
      <c r="J2476" s="3"/>
      <c r="K2476" s="3"/>
      <c r="L2476" s="3"/>
    </row>
    <row r="2477" spans="9:12" x14ac:dyDescent="0.25">
      <c r="I2477" s="3"/>
      <c r="J2477" s="3"/>
      <c r="K2477" s="3"/>
      <c r="L2477" s="3"/>
    </row>
    <row r="2478" spans="9:12" x14ac:dyDescent="0.25">
      <c r="I2478" s="3"/>
      <c r="J2478" s="3"/>
      <c r="K2478" s="3"/>
      <c r="L2478" s="3"/>
    </row>
    <row r="2479" spans="9:12" x14ac:dyDescent="0.25">
      <c r="I2479" s="3"/>
      <c r="J2479" s="3"/>
      <c r="K2479" s="3"/>
      <c r="L2479" s="3"/>
    </row>
    <row r="2480" spans="9:12" x14ac:dyDescent="0.25">
      <c r="I2480" s="3"/>
      <c r="J2480" s="3"/>
      <c r="K2480" s="3"/>
      <c r="L2480" s="3"/>
    </row>
    <row r="2481" spans="9:12" x14ac:dyDescent="0.25">
      <c r="I2481" s="3"/>
      <c r="J2481" s="3"/>
      <c r="K2481" s="3"/>
      <c r="L2481" s="3"/>
    </row>
    <row r="2482" spans="9:12" x14ac:dyDescent="0.25">
      <c r="I2482" s="3"/>
      <c r="J2482" s="3"/>
      <c r="K2482" s="3"/>
      <c r="L2482" s="3"/>
    </row>
    <row r="2483" spans="9:12" x14ac:dyDescent="0.25">
      <c r="I2483" s="3"/>
      <c r="J2483" s="3"/>
      <c r="K2483" s="3"/>
      <c r="L2483" s="3"/>
    </row>
    <row r="2484" spans="9:12" x14ac:dyDescent="0.25">
      <c r="I2484" s="3"/>
      <c r="J2484" s="3"/>
      <c r="K2484" s="3"/>
      <c r="L2484" s="3"/>
    </row>
    <row r="2485" spans="9:12" x14ac:dyDescent="0.25">
      <c r="I2485" s="3"/>
      <c r="J2485" s="3"/>
      <c r="K2485" s="3"/>
      <c r="L2485" s="3"/>
    </row>
    <row r="2486" spans="9:12" x14ac:dyDescent="0.25">
      <c r="I2486" s="3"/>
      <c r="J2486" s="3"/>
      <c r="K2486" s="3"/>
      <c r="L2486" s="3"/>
    </row>
    <row r="2487" spans="9:12" x14ac:dyDescent="0.25">
      <c r="I2487" s="3"/>
      <c r="J2487" s="3"/>
      <c r="K2487" s="3"/>
      <c r="L2487" s="3"/>
    </row>
    <row r="2488" spans="9:12" x14ac:dyDescent="0.25">
      <c r="I2488" s="3"/>
      <c r="J2488" s="3"/>
      <c r="K2488" s="3"/>
      <c r="L2488" s="3"/>
    </row>
    <row r="2489" spans="9:12" x14ac:dyDescent="0.25">
      <c r="I2489" s="3"/>
      <c r="J2489" s="3"/>
      <c r="K2489" s="3"/>
      <c r="L2489" s="3"/>
    </row>
    <row r="2490" spans="9:12" x14ac:dyDescent="0.25">
      <c r="I2490" s="3"/>
      <c r="J2490" s="3"/>
      <c r="K2490" s="3"/>
      <c r="L2490" s="3"/>
    </row>
    <row r="2491" spans="9:12" x14ac:dyDescent="0.25">
      <c r="I2491" s="3"/>
      <c r="J2491" s="3"/>
      <c r="K2491" s="3"/>
      <c r="L2491" s="3"/>
    </row>
    <row r="2492" spans="9:12" x14ac:dyDescent="0.25">
      <c r="I2492" s="3"/>
      <c r="J2492" s="3"/>
      <c r="K2492" s="3"/>
      <c r="L2492" s="3"/>
    </row>
    <row r="2493" spans="9:12" x14ac:dyDescent="0.25">
      <c r="I2493" s="3"/>
      <c r="J2493" s="3"/>
      <c r="K2493" s="3"/>
      <c r="L2493" s="3"/>
    </row>
    <row r="2494" spans="9:12" x14ac:dyDescent="0.25">
      <c r="I2494" s="3"/>
      <c r="J2494" s="3"/>
      <c r="K2494" s="3"/>
      <c r="L2494" s="3"/>
    </row>
    <row r="2495" spans="9:12" x14ac:dyDescent="0.25">
      <c r="I2495" s="3"/>
      <c r="J2495" s="3"/>
      <c r="K2495" s="3"/>
      <c r="L2495" s="3"/>
    </row>
    <row r="2496" spans="9:12" x14ac:dyDescent="0.25">
      <c r="I2496" s="3"/>
      <c r="J2496" s="3"/>
      <c r="K2496" s="3"/>
      <c r="L2496" s="3"/>
    </row>
    <row r="2497" spans="9:12" x14ac:dyDescent="0.25">
      <c r="I2497" s="3"/>
      <c r="J2497" s="3"/>
      <c r="K2497" s="3"/>
      <c r="L2497" s="3"/>
    </row>
    <row r="2498" spans="9:12" x14ac:dyDescent="0.25">
      <c r="I2498" s="3"/>
      <c r="J2498" s="3"/>
      <c r="K2498" s="3"/>
      <c r="L2498" s="3"/>
    </row>
    <row r="2499" spans="9:12" x14ac:dyDescent="0.25">
      <c r="I2499" s="3"/>
      <c r="J2499" s="3"/>
      <c r="K2499" s="3"/>
      <c r="L2499" s="3"/>
    </row>
    <row r="2500" spans="9:12" x14ac:dyDescent="0.25">
      <c r="I2500" s="3"/>
      <c r="J2500" s="3"/>
      <c r="K2500" s="3"/>
      <c r="L2500" s="3"/>
    </row>
    <row r="2501" spans="9:12" x14ac:dyDescent="0.25">
      <c r="I2501" s="3"/>
      <c r="J2501" s="3"/>
      <c r="K2501" s="3"/>
      <c r="L2501" s="3"/>
    </row>
    <row r="2502" spans="9:12" x14ac:dyDescent="0.25">
      <c r="I2502" s="3"/>
      <c r="J2502" s="3"/>
      <c r="K2502" s="3"/>
      <c r="L2502" s="3"/>
    </row>
    <row r="2503" spans="9:12" x14ac:dyDescent="0.25">
      <c r="I2503" s="3"/>
      <c r="J2503" s="3"/>
      <c r="K2503" s="3"/>
      <c r="L2503" s="3"/>
    </row>
    <row r="2504" spans="9:12" x14ac:dyDescent="0.25">
      <c r="I2504" s="3"/>
      <c r="J2504" s="3"/>
      <c r="K2504" s="3"/>
      <c r="L2504" s="3"/>
    </row>
    <row r="2505" spans="9:12" x14ac:dyDescent="0.25">
      <c r="I2505" s="3"/>
      <c r="J2505" s="3"/>
      <c r="K2505" s="3"/>
      <c r="L2505" s="3"/>
    </row>
    <row r="2506" spans="9:12" x14ac:dyDescent="0.25">
      <c r="I2506" s="3"/>
      <c r="J2506" s="3"/>
      <c r="K2506" s="3"/>
      <c r="L2506" s="3"/>
    </row>
    <row r="2507" spans="9:12" x14ac:dyDescent="0.25">
      <c r="I2507" s="3"/>
      <c r="J2507" s="3"/>
      <c r="K2507" s="3"/>
      <c r="L2507" s="3"/>
    </row>
    <row r="2508" spans="9:12" x14ac:dyDescent="0.25">
      <c r="I2508" s="3"/>
      <c r="J2508" s="3"/>
      <c r="K2508" s="3"/>
      <c r="L2508" s="3"/>
    </row>
    <row r="2509" spans="9:12" x14ac:dyDescent="0.25">
      <c r="I2509" s="3"/>
      <c r="J2509" s="3"/>
      <c r="K2509" s="3"/>
      <c r="L2509" s="3"/>
    </row>
    <row r="2510" spans="9:12" x14ac:dyDescent="0.25">
      <c r="I2510" s="3"/>
      <c r="J2510" s="3"/>
      <c r="K2510" s="3"/>
      <c r="L2510" s="3"/>
    </row>
    <row r="2511" spans="9:12" x14ac:dyDescent="0.25">
      <c r="I2511" s="4"/>
      <c r="J2511" s="4"/>
      <c r="K2511" s="4"/>
      <c r="L2511" s="4"/>
    </row>
    <row r="2512" spans="9:12" x14ac:dyDescent="0.25">
      <c r="I2512" s="4"/>
      <c r="J2512" s="4"/>
      <c r="K2512" s="4"/>
      <c r="L2512" s="4"/>
    </row>
    <row r="2513" spans="9:12" x14ac:dyDescent="0.25">
      <c r="I2513" s="4"/>
      <c r="J2513" s="4"/>
      <c r="K2513" s="4"/>
      <c r="L2513" s="4"/>
    </row>
    <row r="2514" spans="9:12" x14ac:dyDescent="0.25">
      <c r="I2514" s="4"/>
      <c r="J2514" s="4"/>
      <c r="K2514" s="4"/>
      <c r="L2514" s="4"/>
    </row>
    <row r="2515" spans="9:12" x14ac:dyDescent="0.25">
      <c r="I2515" s="3"/>
      <c r="J2515" s="3"/>
      <c r="K2515" s="3"/>
      <c r="L2515" s="3"/>
    </row>
    <row r="2516" spans="9:12" x14ac:dyDescent="0.25">
      <c r="I2516" s="3"/>
      <c r="J2516" s="3"/>
      <c r="K2516" s="3"/>
      <c r="L2516" s="3"/>
    </row>
    <row r="2517" spans="9:12" x14ac:dyDescent="0.25">
      <c r="I2517" s="3"/>
      <c r="J2517" s="3"/>
      <c r="K2517" s="3"/>
      <c r="L2517" s="3"/>
    </row>
    <row r="2518" spans="9:12" x14ac:dyDescent="0.25">
      <c r="I2518" s="3"/>
      <c r="J2518" s="3"/>
      <c r="K2518" s="3"/>
      <c r="L2518" s="3"/>
    </row>
    <row r="2519" spans="9:12" x14ac:dyDescent="0.25">
      <c r="I2519" s="3"/>
      <c r="J2519" s="3"/>
      <c r="K2519" s="3"/>
      <c r="L2519" s="3"/>
    </row>
    <row r="2520" spans="9:12" x14ac:dyDescent="0.25">
      <c r="I2520" s="3"/>
      <c r="J2520" s="3"/>
      <c r="K2520" s="3"/>
      <c r="L2520" s="3"/>
    </row>
    <row r="2521" spans="9:12" x14ac:dyDescent="0.25">
      <c r="I2521" s="3"/>
      <c r="J2521" s="3"/>
      <c r="K2521" s="3"/>
      <c r="L2521" s="3"/>
    </row>
    <row r="2522" spans="9:12" x14ac:dyDescent="0.25">
      <c r="I2522" s="3"/>
      <c r="J2522" s="3"/>
      <c r="K2522" s="3"/>
      <c r="L2522" s="3"/>
    </row>
    <row r="2523" spans="9:12" x14ac:dyDescent="0.25">
      <c r="I2523" s="3"/>
      <c r="J2523" s="3"/>
      <c r="K2523" s="3"/>
      <c r="L2523" s="3"/>
    </row>
    <row r="2524" spans="9:12" x14ac:dyDescent="0.25">
      <c r="I2524" s="3"/>
      <c r="J2524" s="3"/>
      <c r="K2524" s="3"/>
      <c r="L2524" s="3"/>
    </row>
    <row r="2525" spans="9:12" x14ac:dyDescent="0.25">
      <c r="I2525" s="3"/>
      <c r="J2525" s="3"/>
      <c r="K2525" s="3"/>
      <c r="L2525" s="3"/>
    </row>
    <row r="2526" spans="9:12" x14ac:dyDescent="0.25">
      <c r="I2526" s="3"/>
      <c r="J2526" s="3"/>
      <c r="K2526" s="3"/>
      <c r="L2526" s="3"/>
    </row>
    <row r="2527" spans="9:12" x14ac:dyDescent="0.25">
      <c r="I2527" s="3"/>
      <c r="J2527" s="3"/>
      <c r="K2527" s="3"/>
      <c r="L2527" s="3"/>
    </row>
    <row r="2528" spans="9:12" x14ac:dyDescent="0.25">
      <c r="I2528" s="3"/>
      <c r="J2528" s="3"/>
      <c r="K2528" s="3"/>
      <c r="L2528" s="3"/>
    </row>
    <row r="2529" spans="9:12" x14ac:dyDescent="0.25">
      <c r="I2529" s="3"/>
      <c r="J2529" s="3"/>
      <c r="K2529" s="3"/>
      <c r="L2529" s="3"/>
    </row>
    <row r="2530" spans="9:12" x14ac:dyDescent="0.25">
      <c r="I2530" s="3"/>
      <c r="J2530" s="3"/>
      <c r="K2530" s="3"/>
      <c r="L2530" s="3"/>
    </row>
    <row r="2531" spans="9:12" x14ac:dyDescent="0.25">
      <c r="I2531" s="3"/>
      <c r="J2531" s="3"/>
      <c r="K2531" s="3"/>
      <c r="L2531" s="3"/>
    </row>
    <row r="2532" spans="9:12" x14ac:dyDescent="0.25">
      <c r="I2532" s="3"/>
      <c r="J2532" s="3"/>
      <c r="K2532" s="3"/>
      <c r="L2532" s="3"/>
    </row>
    <row r="2533" spans="9:12" x14ac:dyDescent="0.25">
      <c r="I2533" s="3"/>
      <c r="J2533" s="3"/>
      <c r="K2533" s="3"/>
      <c r="L2533" s="3"/>
    </row>
    <row r="2534" spans="9:12" x14ac:dyDescent="0.25">
      <c r="I2534" s="3"/>
      <c r="J2534" s="3"/>
      <c r="K2534" s="3"/>
      <c r="L2534" s="3"/>
    </row>
    <row r="2535" spans="9:12" x14ac:dyDescent="0.25">
      <c r="I2535" s="3"/>
      <c r="J2535" s="3"/>
      <c r="K2535" s="3"/>
      <c r="L2535" s="3"/>
    </row>
    <row r="2536" spans="9:12" x14ac:dyDescent="0.25">
      <c r="I2536" s="3"/>
      <c r="J2536" s="3"/>
      <c r="K2536" s="3"/>
      <c r="L2536" s="3"/>
    </row>
    <row r="2537" spans="9:12" x14ac:dyDescent="0.25">
      <c r="I2537" s="3"/>
      <c r="J2537" s="3"/>
      <c r="K2537" s="3"/>
      <c r="L2537" s="3"/>
    </row>
    <row r="2538" spans="9:12" x14ac:dyDescent="0.25">
      <c r="I2538" s="3"/>
      <c r="J2538" s="3"/>
      <c r="K2538" s="3"/>
      <c r="L2538" s="3"/>
    </row>
    <row r="2539" spans="9:12" x14ac:dyDescent="0.25">
      <c r="I2539" s="3"/>
      <c r="J2539" s="3"/>
      <c r="K2539" s="3"/>
      <c r="L2539" s="3"/>
    </row>
    <row r="2540" spans="9:12" x14ac:dyDescent="0.25">
      <c r="I2540" s="3"/>
      <c r="J2540" s="3"/>
      <c r="K2540" s="3"/>
      <c r="L2540" s="3"/>
    </row>
    <row r="2541" spans="9:12" x14ac:dyDescent="0.25">
      <c r="I2541" s="3"/>
      <c r="J2541" s="3"/>
      <c r="K2541" s="3"/>
      <c r="L2541" s="3"/>
    </row>
    <row r="2542" spans="9:12" x14ac:dyDescent="0.25">
      <c r="I2542" s="3"/>
      <c r="J2542" s="3"/>
      <c r="K2542" s="3"/>
      <c r="L2542" s="3"/>
    </row>
    <row r="2543" spans="9:12" x14ac:dyDescent="0.25">
      <c r="I2543" s="3"/>
      <c r="J2543" s="3"/>
      <c r="K2543" s="3"/>
      <c r="L2543" s="3"/>
    </row>
    <row r="2544" spans="9:12" x14ac:dyDescent="0.25">
      <c r="I2544" s="3"/>
      <c r="J2544" s="3"/>
      <c r="K2544" s="3"/>
      <c r="L2544" s="3"/>
    </row>
    <row r="2545" spans="9:12" x14ac:dyDescent="0.25">
      <c r="I2545" s="3"/>
      <c r="J2545" s="3"/>
      <c r="K2545" s="3"/>
      <c r="L2545" s="3"/>
    </row>
    <row r="2546" spans="9:12" x14ac:dyDescent="0.25">
      <c r="I2546" s="3"/>
      <c r="J2546" s="3"/>
      <c r="K2546" s="3"/>
      <c r="L2546" s="3"/>
    </row>
    <row r="2547" spans="9:12" x14ac:dyDescent="0.25">
      <c r="I2547" s="3"/>
      <c r="J2547" s="3"/>
      <c r="K2547" s="3"/>
      <c r="L2547" s="3"/>
    </row>
    <row r="2548" spans="9:12" x14ac:dyDescent="0.25">
      <c r="I2548" s="3"/>
      <c r="J2548" s="3"/>
      <c r="K2548" s="3"/>
      <c r="L2548" s="3"/>
    </row>
    <row r="2549" spans="9:12" x14ac:dyDescent="0.25">
      <c r="I2549" s="3"/>
      <c r="J2549" s="3"/>
      <c r="K2549" s="3"/>
      <c r="L2549" s="3"/>
    </row>
    <row r="2550" spans="9:12" x14ac:dyDescent="0.25">
      <c r="I2550" s="3"/>
      <c r="J2550" s="3"/>
      <c r="K2550" s="3"/>
      <c r="L2550" s="3"/>
    </row>
    <row r="2551" spans="9:12" x14ac:dyDescent="0.25">
      <c r="I2551" s="3"/>
      <c r="J2551" s="3"/>
      <c r="K2551" s="3"/>
      <c r="L2551" s="3"/>
    </row>
    <row r="2552" spans="9:12" x14ac:dyDescent="0.25">
      <c r="I2552" s="3"/>
      <c r="J2552" s="3"/>
      <c r="K2552" s="3"/>
      <c r="L2552" s="3"/>
    </row>
    <row r="2553" spans="9:12" x14ac:dyDescent="0.25">
      <c r="I2553" s="3"/>
      <c r="J2553" s="3"/>
      <c r="K2553" s="3"/>
      <c r="L2553" s="3"/>
    </row>
    <row r="2554" spans="9:12" x14ac:dyDescent="0.25">
      <c r="I2554" s="3"/>
      <c r="J2554" s="3"/>
      <c r="K2554" s="3"/>
      <c r="L2554" s="3"/>
    </row>
    <row r="2555" spans="9:12" x14ac:dyDescent="0.25">
      <c r="I2555" s="3"/>
      <c r="J2555" s="3"/>
      <c r="K2555" s="3"/>
      <c r="L2555" s="3"/>
    </row>
    <row r="2556" spans="9:12" x14ac:dyDescent="0.25">
      <c r="I2556" s="3"/>
      <c r="J2556" s="3"/>
      <c r="K2556" s="3"/>
      <c r="L2556" s="3"/>
    </row>
    <row r="2557" spans="9:12" x14ac:dyDescent="0.25">
      <c r="I2557" s="3"/>
      <c r="J2557" s="3"/>
      <c r="K2557" s="3"/>
      <c r="L2557" s="3"/>
    </row>
    <row r="2558" spans="9:12" x14ac:dyDescent="0.25">
      <c r="I2558" s="3"/>
      <c r="J2558" s="3"/>
      <c r="K2558" s="3"/>
      <c r="L2558" s="3"/>
    </row>
    <row r="2559" spans="9:12" x14ac:dyDescent="0.25">
      <c r="I2559" s="3"/>
      <c r="J2559" s="3"/>
      <c r="K2559" s="3"/>
      <c r="L2559" s="3"/>
    </row>
    <row r="2560" spans="9:12" x14ac:dyDescent="0.25">
      <c r="I2560" s="3"/>
      <c r="J2560" s="3"/>
      <c r="K2560" s="3"/>
      <c r="L2560" s="3"/>
    </row>
    <row r="2561" spans="9:12" x14ac:dyDescent="0.25">
      <c r="I2561" s="3"/>
      <c r="J2561" s="3"/>
      <c r="K2561" s="3"/>
      <c r="L2561" s="3"/>
    </row>
    <row r="2562" spans="9:12" x14ac:dyDescent="0.25">
      <c r="I2562" s="3"/>
      <c r="J2562" s="3"/>
      <c r="K2562" s="3"/>
      <c r="L2562" s="3"/>
    </row>
    <row r="2563" spans="9:12" x14ac:dyDescent="0.25">
      <c r="I2563" s="3"/>
      <c r="J2563" s="3"/>
      <c r="K2563" s="3"/>
      <c r="L2563" s="3"/>
    </row>
    <row r="2564" spans="9:12" x14ac:dyDescent="0.25">
      <c r="I2564" s="3"/>
      <c r="J2564" s="3"/>
      <c r="K2564" s="3"/>
      <c r="L2564" s="3"/>
    </row>
    <row r="2565" spans="9:12" x14ac:dyDescent="0.25">
      <c r="I2565" s="3"/>
      <c r="J2565" s="3"/>
      <c r="K2565" s="3"/>
      <c r="L2565" s="3"/>
    </row>
    <row r="2566" spans="9:12" x14ac:dyDescent="0.25">
      <c r="I2566" s="3"/>
      <c r="J2566" s="3"/>
      <c r="K2566" s="3"/>
      <c r="L2566" s="3"/>
    </row>
    <row r="2567" spans="9:12" x14ac:dyDescent="0.25">
      <c r="I2567" s="3"/>
      <c r="J2567" s="3"/>
      <c r="K2567" s="3"/>
      <c r="L2567" s="3"/>
    </row>
    <row r="2568" spans="9:12" x14ac:dyDescent="0.25">
      <c r="I2568" s="3"/>
      <c r="J2568" s="3"/>
      <c r="K2568" s="3"/>
      <c r="L2568" s="3"/>
    </row>
    <row r="2569" spans="9:12" x14ac:dyDescent="0.25">
      <c r="I2569" s="3"/>
      <c r="J2569" s="3"/>
      <c r="K2569" s="3"/>
      <c r="L2569" s="3"/>
    </row>
    <row r="2570" spans="9:12" x14ac:dyDescent="0.25">
      <c r="I2570" s="3"/>
      <c r="J2570" s="3"/>
      <c r="K2570" s="3"/>
      <c r="L2570" s="3"/>
    </row>
    <row r="2571" spans="9:12" x14ac:dyDescent="0.25">
      <c r="I2571" s="3"/>
      <c r="J2571" s="3"/>
      <c r="K2571" s="3"/>
      <c r="L2571" s="3"/>
    </row>
    <row r="2572" spans="9:12" x14ac:dyDescent="0.25">
      <c r="I2572" s="3"/>
      <c r="J2572" s="3"/>
      <c r="K2572" s="3"/>
      <c r="L2572" s="3"/>
    </row>
    <row r="2573" spans="9:12" x14ac:dyDescent="0.25">
      <c r="I2573" s="3"/>
      <c r="J2573" s="3"/>
      <c r="K2573" s="3"/>
      <c r="L2573" s="3"/>
    </row>
    <row r="2574" spans="9:12" x14ac:dyDescent="0.25">
      <c r="I2574" s="3"/>
      <c r="J2574" s="3"/>
      <c r="K2574" s="3"/>
      <c r="L2574" s="3"/>
    </row>
    <row r="2575" spans="9:12" x14ac:dyDescent="0.25">
      <c r="I2575" s="3"/>
      <c r="J2575" s="3"/>
      <c r="K2575" s="3"/>
      <c r="L2575" s="3"/>
    </row>
    <row r="2576" spans="9:12" x14ac:dyDescent="0.25">
      <c r="I2576" s="3"/>
      <c r="J2576" s="3"/>
      <c r="K2576" s="3"/>
      <c r="L2576" s="3"/>
    </row>
    <row r="2577" spans="9:12" x14ac:dyDescent="0.25">
      <c r="I2577" s="3"/>
      <c r="J2577" s="3"/>
      <c r="K2577" s="3"/>
      <c r="L2577" s="3"/>
    </row>
    <row r="2578" spans="9:12" x14ac:dyDescent="0.25">
      <c r="I2578" s="3"/>
      <c r="J2578" s="3"/>
      <c r="K2578" s="3"/>
      <c r="L2578" s="3"/>
    </row>
    <row r="2579" spans="9:12" x14ac:dyDescent="0.25">
      <c r="I2579" s="3"/>
      <c r="J2579" s="3"/>
      <c r="K2579" s="3"/>
      <c r="L2579" s="3"/>
    </row>
    <row r="2580" spans="9:12" x14ac:dyDescent="0.25">
      <c r="I2580" s="3"/>
      <c r="J2580" s="3"/>
      <c r="K2580" s="3"/>
      <c r="L2580" s="3"/>
    </row>
    <row r="2581" spans="9:12" x14ac:dyDescent="0.25">
      <c r="I2581" s="3"/>
      <c r="J2581" s="3"/>
      <c r="K2581" s="3"/>
      <c r="L2581" s="3"/>
    </row>
    <row r="2582" spans="9:12" x14ac:dyDescent="0.25">
      <c r="I2582" s="3"/>
      <c r="J2582" s="3"/>
      <c r="K2582" s="3"/>
      <c r="L2582" s="3"/>
    </row>
    <row r="2583" spans="9:12" x14ac:dyDescent="0.25">
      <c r="I2583" s="3"/>
      <c r="J2583" s="3"/>
      <c r="K2583" s="3"/>
      <c r="L2583" s="3"/>
    </row>
    <row r="2584" spans="9:12" x14ac:dyDescent="0.25">
      <c r="I2584" s="3"/>
      <c r="J2584" s="3"/>
      <c r="K2584" s="3"/>
      <c r="L2584" s="3"/>
    </row>
    <row r="2585" spans="9:12" x14ac:dyDescent="0.25">
      <c r="I2585" s="3"/>
      <c r="J2585" s="3"/>
      <c r="K2585" s="3"/>
      <c r="L2585" s="3"/>
    </row>
    <row r="2586" spans="9:12" x14ac:dyDescent="0.25">
      <c r="I2586" s="3"/>
      <c r="J2586" s="3"/>
      <c r="K2586" s="3"/>
      <c r="L2586" s="3"/>
    </row>
    <row r="2587" spans="9:12" x14ac:dyDescent="0.25">
      <c r="I2587" s="3"/>
      <c r="J2587" s="3"/>
      <c r="K2587" s="3"/>
      <c r="L2587" s="3"/>
    </row>
    <row r="2588" spans="9:12" x14ac:dyDescent="0.25">
      <c r="I2588" s="3"/>
      <c r="J2588" s="3"/>
      <c r="K2588" s="3"/>
      <c r="L2588" s="3"/>
    </row>
    <row r="2589" spans="9:12" x14ac:dyDescent="0.25">
      <c r="I2589" s="3"/>
      <c r="J2589" s="3"/>
      <c r="K2589" s="3"/>
      <c r="L2589" s="3"/>
    </row>
    <row r="2590" spans="9:12" x14ac:dyDescent="0.25">
      <c r="I2590" s="3"/>
      <c r="J2590" s="3"/>
      <c r="K2590" s="3"/>
      <c r="L2590" s="3"/>
    </row>
    <row r="2591" spans="9:12" x14ac:dyDescent="0.25">
      <c r="I2591" s="3"/>
      <c r="J2591" s="3"/>
      <c r="K2591" s="3"/>
      <c r="L2591" s="3"/>
    </row>
    <row r="2592" spans="9:12" x14ac:dyDescent="0.25">
      <c r="I2592" s="3"/>
      <c r="J2592" s="3"/>
      <c r="K2592" s="3"/>
      <c r="L2592" s="3"/>
    </row>
    <row r="2593" spans="9:12" x14ac:dyDescent="0.25">
      <c r="I2593" s="3"/>
      <c r="J2593" s="3"/>
      <c r="K2593" s="3"/>
      <c r="L2593" s="3"/>
    </row>
    <row r="2594" spans="9:12" x14ac:dyDescent="0.25">
      <c r="I2594" s="3"/>
      <c r="J2594" s="3"/>
      <c r="K2594" s="3"/>
      <c r="L2594" s="3"/>
    </row>
    <row r="2595" spans="9:12" x14ac:dyDescent="0.25">
      <c r="I2595" s="3"/>
      <c r="J2595" s="3"/>
      <c r="K2595" s="3"/>
      <c r="L2595" s="3"/>
    </row>
    <row r="2596" spans="9:12" x14ac:dyDescent="0.25">
      <c r="I2596" s="3"/>
      <c r="J2596" s="3"/>
      <c r="K2596" s="3"/>
      <c r="L2596" s="3"/>
    </row>
    <row r="2597" spans="9:12" x14ac:dyDescent="0.25">
      <c r="I2597" s="3"/>
      <c r="J2597" s="3"/>
      <c r="K2597" s="3"/>
      <c r="L2597" s="3"/>
    </row>
    <row r="2598" spans="9:12" x14ac:dyDescent="0.25">
      <c r="I2598" s="3"/>
      <c r="J2598" s="3"/>
      <c r="K2598" s="3"/>
      <c r="L2598" s="3"/>
    </row>
    <row r="2599" spans="9:12" x14ac:dyDescent="0.25">
      <c r="I2599" s="3"/>
      <c r="J2599" s="3"/>
      <c r="K2599" s="3"/>
      <c r="L2599" s="3"/>
    </row>
    <row r="2600" spans="9:12" x14ac:dyDescent="0.25">
      <c r="I2600" s="3"/>
      <c r="J2600" s="3"/>
      <c r="K2600" s="3"/>
      <c r="L2600" s="3"/>
    </row>
    <row r="2601" spans="9:12" x14ac:dyDescent="0.25">
      <c r="I2601" s="3"/>
      <c r="J2601" s="3"/>
      <c r="K2601" s="3"/>
      <c r="L2601" s="3"/>
    </row>
    <row r="2602" spans="9:12" x14ac:dyDescent="0.25">
      <c r="I2602" s="3"/>
      <c r="J2602" s="3"/>
      <c r="K2602" s="3"/>
      <c r="L2602" s="3"/>
    </row>
    <row r="2603" spans="9:12" x14ac:dyDescent="0.25">
      <c r="I2603" s="3"/>
      <c r="J2603" s="3"/>
      <c r="K2603" s="3"/>
      <c r="L2603" s="3"/>
    </row>
    <row r="2604" spans="9:12" x14ac:dyDescent="0.25">
      <c r="I2604" s="3"/>
      <c r="J2604" s="3"/>
      <c r="K2604" s="3"/>
      <c r="L2604" s="3"/>
    </row>
    <row r="2605" spans="9:12" x14ac:dyDescent="0.25">
      <c r="I2605" s="3"/>
      <c r="J2605" s="3"/>
      <c r="K2605" s="3"/>
      <c r="L2605" s="3"/>
    </row>
    <row r="2606" spans="9:12" x14ac:dyDescent="0.25">
      <c r="I2606" s="3"/>
      <c r="J2606" s="3"/>
      <c r="K2606" s="3"/>
      <c r="L2606" s="3"/>
    </row>
    <row r="2607" spans="9:12" x14ac:dyDescent="0.25">
      <c r="I2607" s="3"/>
      <c r="J2607" s="3"/>
      <c r="K2607" s="3"/>
      <c r="L2607" s="3"/>
    </row>
    <row r="2608" spans="9:12" x14ac:dyDescent="0.25">
      <c r="I2608" s="3"/>
      <c r="J2608" s="3"/>
      <c r="K2608" s="3"/>
      <c r="L2608" s="3"/>
    </row>
    <row r="2609" spans="9:12" x14ac:dyDescent="0.25">
      <c r="I2609" s="3"/>
      <c r="J2609" s="3"/>
      <c r="K2609" s="3"/>
      <c r="L2609" s="3"/>
    </row>
    <row r="2610" spans="9:12" x14ac:dyDescent="0.25">
      <c r="I2610" s="3"/>
      <c r="J2610" s="3"/>
      <c r="K2610" s="3"/>
      <c r="L2610" s="3"/>
    </row>
    <row r="2611" spans="9:12" x14ac:dyDescent="0.25">
      <c r="I2611" s="3"/>
      <c r="J2611" s="3"/>
      <c r="K2611" s="3"/>
      <c r="L2611" s="3"/>
    </row>
    <row r="2612" spans="9:12" x14ac:dyDescent="0.25">
      <c r="I2612" s="3"/>
      <c r="J2612" s="3"/>
      <c r="K2612" s="3"/>
      <c r="L2612" s="3"/>
    </row>
    <row r="2613" spans="9:12" x14ac:dyDescent="0.25">
      <c r="I2613" s="3"/>
      <c r="J2613" s="3"/>
      <c r="K2613" s="3"/>
      <c r="L2613" s="3"/>
    </row>
    <row r="2614" spans="9:12" x14ac:dyDescent="0.25">
      <c r="I2614" s="3"/>
      <c r="J2614" s="3"/>
      <c r="K2614" s="3"/>
      <c r="L2614" s="3"/>
    </row>
    <row r="2615" spans="9:12" x14ac:dyDescent="0.25">
      <c r="I2615" s="3"/>
      <c r="J2615" s="3"/>
      <c r="K2615" s="3"/>
      <c r="L2615" s="3"/>
    </row>
    <row r="2616" spans="9:12" x14ac:dyDescent="0.25">
      <c r="I2616" s="3"/>
      <c r="J2616" s="3"/>
      <c r="K2616" s="3"/>
      <c r="L2616" s="3"/>
    </row>
    <row r="2617" spans="9:12" x14ac:dyDescent="0.25">
      <c r="I2617" s="3"/>
      <c r="J2617" s="3"/>
      <c r="K2617" s="3"/>
      <c r="L2617" s="3"/>
    </row>
    <row r="2618" spans="9:12" x14ac:dyDescent="0.25">
      <c r="I2618" s="3"/>
      <c r="J2618" s="3"/>
      <c r="K2618" s="3"/>
      <c r="L2618" s="3"/>
    </row>
    <row r="2619" spans="9:12" x14ac:dyDescent="0.25">
      <c r="I2619" s="3"/>
      <c r="J2619" s="3"/>
      <c r="K2619" s="3"/>
      <c r="L2619" s="3"/>
    </row>
    <row r="2620" spans="9:12" x14ac:dyDescent="0.25">
      <c r="I2620" s="3"/>
      <c r="J2620" s="3"/>
      <c r="K2620" s="3"/>
      <c r="L2620" s="3"/>
    </row>
    <row r="2621" spans="9:12" x14ac:dyDescent="0.25">
      <c r="I2621" s="3"/>
      <c r="J2621" s="3"/>
      <c r="K2621" s="3"/>
      <c r="L2621" s="3"/>
    </row>
    <row r="2622" spans="9:12" x14ac:dyDescent="0.25">
      <c r="I2622" s="3"/>
      <c r="J2622" s="3"/>
      <c r="K2622" s="3"/>
      <c r="L2622" s="3"/>
    </row>
    <row r="2623" spans="9:12" x14ac:dyDescent="0.25">
      <c r="I2623" s="3"/>
      <c r="J2623" s="3"/>
      <c r="K2623" s="3"/>
      <c r="L2623" s="3"/>
    </row>
    <row r="2624" spans="9:12" x14ac:dyDescent="0.25">
      <c r="I2624" s="3"/>
      <c r="J2624" s="3"/>
      <c r="K2624" s="3"/>
      <c r="L2624" s="3"/>
    </row>
    <row r="2625" spans="9:12" x14ac:dyDescent="0.25">
      <c r="I2625" s="3"/>
      <c r="J2625" s="3"/>
      <c r="K2625" s="3"/>
      <c r="L2625" s="3"/>
    </row>
    <row r="2626" spans="9:12" x14ac:dyDescent="0.25">
      <c r="I2626" s="3"/>
      <c r="J2626" s="3"/>
      <c r="K2626" s="3"/>
      <c r="L2626" s="3"/>
    </row>
    <row r="2627" spans="9:12" x14ac:dyDescent="0.25">
      <c r="I2627" s="3"/>
      <c r="J2627" s="3"/>
      <c r="K2627" s="3"/>
      <c r="L2627" s="3"/>
    </row>
    <row r="2628" spans="9:12" x14ac:dyDescent="0.25">
      <c r="I2628" s="3"/>
      <c r="J2628" s="3"/>
      <c r="K2628" s="3"/>
      <c r="L2628" s="3"/>
    </row>
    <row r="2629" spans="9:12" x14ac:dyDescent="0.25">
      <c r="I2629" s="3"/>
      <c r="J2629" s="3"/>
      <c r="K2629" s="3"/>
      <c r="L2629" s="3"/>
    </row>
    <row r="2630" spans="9:12" x14ac:dyDescent="0.25">
      <c r="I2630" s="3"/>
      <c r="J2630" s="3"/>
      <c r="K2630" s="3"/>
      <c r="L2630" s="3"/>
    </row>
    <row r="2631" spans="9:12" x14ac:dyDescent="0.25">
      <c r="I2631" s="3"/>
      <c r="J2631" s="3"/>
      <c r="K2631" s="3"/>
      <c r="L2631" s="3"/>
    </row>
    <row r="2632" spans="9:12" x14ac:dyDescent="0.25">
      <c r="I2632" s="3"/>
      <c r="J2632" s="3"/>
      <c r="K2632" s="3"/>
      <c r="L2632" s="3"/>
    </row>
    <row r="2633" spans="9:12" x14ac:dyDescent="0.25">
      <c r="I2633" s="3"/>
      <c r="J2633" s="3"/>
      <c r="K2633" s="3"/>
      <c r="L2633" s="3"/>
    </row>
    <row r="2634" spans="9:12" x14ac:dyDescent="0.25">
      <c r="I2634" s="3"/>
      <c r="J2634" s="3"/>
      <c r="K2634" s="3"/>
      <c r="L2634" s="3"/>
    </row>
    <row r="2635" spans="9:12" x14ac:dyDescent="0.25">
      <c r="I2635" s="3"/>
      <c r="J2635" s="3"/>
      <c r="K2635" s="3"/>
      <c r="L2635" s="3"/>
    </row>
    <row r="2636" spans="9:12" x14ac:dyDescent="0.25">
      <c r="I2636" s="3"/>
      <c r="J2636" s="3"/>
      <c r="K2636" s="3"/>
      <c r="L2636" s="3"/>
    </row>
    <row r="2637" spans="9:12" x14ac:dyDescent="0.25">
      <c r="I2637" s="3"/>
      <c r="J2637" s="3"/>
      <c r="K2637" s="3"/>
      <c r="L2637" s="3"/>
    </row>
    <row r="2638" spans="9:12" x14ac:dyDescent="0.25">
      <c r="I2638" s="3"/>
      <c r="J2638" s="3"/>
      <c r="K2638" s="3"/>
      <c r="L2638" s="3"/>
    </row>
    <row r="2639" spans="9:12" x14ac:dyDescent="0.25">
      <c r="I2639" s="3"/>
      <c r="J2639" s="3"/>
      <c r="K2639" s="3"/>
      <c r="L2639" s="3"/>
    </row>
    <row r="2640" spans="9:12" x14ac:dyDescent="0.25">
      <c r="I2640" s="3"/>
      <c r="J2640" s="3"/>
      <c r="K2640" s="3"/>
      <c r="L2640" s="3"/>
    </row>
    <row r="2641" spans="9:12" x14ac:dyDescent="0.25">
      <c r="I2641" s="3"/>
      <c r="J2641" s="3"/>
      <c r="K2641" s="3"/>
      <c r="L2641" s="3"/>
    </row>
    <row r="2642" spans="9:12" x14ac:dyDescent="0.25">
      <c r="I2642" s="3"/>
      <c r="J2642" s="3"/>
      <c r="K2642" s="3"/>
      <c r="L2642" s="3"/>
    </row>
    <row r="2643" spans="9:12" x14ac:dyDescent="0.25">
      <c r="I2643" s="3"/>
      <c r="J2643" s="3"/>
      <c r="K2643" s="3"/>
      <c r="L2643" s="3"/>
    </row>
    <row r="2644" spans="9:12" x14ac:dyDescent="0.25">
      <c r="I2644" s="3"/>
      <c r="J2644" s="3"/>
      <c r="K2644" s="3"/>
      <c r="L2644" s="3"/>
    </row>
    <row r="2645" spans="9:12" x14ac:dyDescent="0.25">
      <c r="I2645" s="3"/>
      <c r="J2645" s="3"/>
      <c r="K2645" s="3"/>
      <c r="L2645" s="3"/>
    </row>
    <row r="2646" spans="9:12" x14ac:dyDescent="0.25">
      <c r="I2646" s="3"/>
      <c r="J2646" s="3"/>
      <c r="K2646" s="3"/>
      <c r="L2646" s="3"/>
    </row>
    <row r="2647" spans="9:12" x14ac:dyDescent="0.25">
      <c r="I2647" s="3"/>
      <c r="J2647" s="3"/>
      <c r="K2647" s="3"/>
      <c r="L2647" s="3"/>
    </row>
    <row r="2648" spans="9:12" x14ac:dyDescent="0.25">
      <c r="I2648" s="3"/>
      <c r="J2648" s="3"/>
      <c r="K2648" s="3"/>
      <c r="L2648" s="3"/>
    </row>
    <row r="2649" spans="9:12" x14ac:dyDescent="0.25">
      <c r="I2649" s="3"/>
      <c r="J2649" s="3"/>
      <c r="K2649" s="3"/>
      <c r="L2649" s="3"/>
    </row>
    <row r="2650" spans="9:12" x14ac:dyDescent="0.25">
      <c r="I2650" s="3"/>
      <c r="J2650" s="3"/>
      <c r="K2650" s="3"/>
      <c r="L2650" s="3"/>
    </row>
    <row r="2651" spans="9:12" x14ac:dyDescent="0.25">
      <c r="I2651" s="3"/>
      <c r="J2651" s="3"/>
      <c r="K2651" s="3"/>
      <c r="L2651" s="3"/>
    </row>
    <row r="2652" spans="9:12" x14ac:dyDescent="0.25">
      <c r="I2652" s="3"/>
      <c r="J2652" s="3"/>
      <c r="K2652" s="3"/>
      <c r="L2652" s="3"/>
    </row>
    <row r="2653" spans="9:12" x14ac:dyDescent="0.25">
      <c r="I2653" s="3"/>
      <c r="J2653" s="3"/>
      <c r="K2653" s="3"/>
      <c r="L2653" s="3"/>
    </row>
    <row r="2654" spans="9:12" x14ac:dyDescent="0.25">
      <c r="I2654" s="3"/>
      <c r="J2654" s="3"/>
      <c r="K2654" s="3"/>
      <c r="L2654" s="3"/>
    </row>
    <row r="2655" spans="9:12" x14ac:dyDescent="0.25">
      <c r="I2655" s="3"/>
      <c r="J2655" s="3"/>
      <c r="K2655" s="3"/>
      <c r="L2655" s="3"/>
    </row>
    <row r="2656" spans="9:12" x14ac:dyDescent="0.25">
      <c r="I2656" s="3"/>
      <c r="J2656" s="3"/>
      <c r="K2656" s="3"/>
      <c r="L2656" s="3"/>
    </row>
    <row r="2657" spans="9:12" x14ac:dyDescent="0.25">
      <c r="I2657" s="3"/>
      <c r="J2657" s="3"/>
      <c r="K2657" s="3"/>
      <c r="L2657" s="3"/>
    </row>
    <row r="2658" spans="9:12" x14ac:dyDescent="0.25">
      <c r="I2658" s="3"/>
      <c r="J2658" s="3"/>
      <c r="K2658" s="3"/>
      <c r="L2658" s="3"/>
    </row>
    <row r="2659" spans="9:12" x14ac:dyDescent="0.25">
      <c r="I2659" s="3"/>
      <c r="J2659" s="3"/>
      <c r="K2659" s="3"/>
      <c r="L2659" s="3"/>
    </row>
    <row r="2660" spans="9:12" x14ac:dyDescent="0.25">
      <c r="I2660" s="3"/>
      <c r="J2660" s="3"/>
      <c r="K2660" s="3"/>
      <c r="L2660" s="3"/>
    </row>
    <row r="2661" spans="9:12" x14ac:dyDescent="0.25">
      <c r="I2661" s="3"/>
      <c r="J2661" s="3"/>
      <c r="K2661" s="3"/>
      <c r="L2661" s="3"/>
    </row>
    <row r="2662" spans="9:12" x14ac:dyDescent="0.25">
      <c r="I2662" s="3"/>
      <c r="J2662" s="3"/>
      <c r="K2662" s="3"/>
      <c r="L2662" s="3"/>
    </row>
    <row r="2663" spans="9:12" x14ac:dyDescent="0.25">
      <c r="I2663" s="3"/>
      <c r="J2663" s="3"/>
      <c r="K2663" s="3"/>
      <c r="L2663" s="3"/>
    </row>
    <row r="2664" spans="9:12" x14ac:dyDescent="0.25">
      <c r="I2664" s="3"/>
      <c r="J2664" s="3"/>
      <c r="K2664" s="3"/>
      <c r="L2664" s="3"/>
    </row>
    <row r="2665" spans="9:12" x14ac:dyDescent="0.25">
      <c r="I2665" s="3"/>
      <c r="J2665" s="3"/>
      <c r="K2665" s="3"/>
      <c r="L2665" s="3"/>
    </row>
    <row r="2666" spans="9:12" x14ac:dyDescent="0.25">
      <c r="I2666" s="3"/>
      <c r="J2666" s="3"/>
      <c r="K2666" s="3"/>
      <c r="L2666" s="3"/>
    </row>
    <row r="2667" spans="9:12" x14ac:dyDescent="0.25">
      <c r="I2667" s="3"/>
      <c r="J2667" s="3"/>
      <c r="K2667" s="3"/>
      <c r="L2667" s="3"/>
    </row>
    <row r="2668" spans="9:12" x14ac:dyDescent="0.25">
      <c r="I2668" s="3"/>
      <c r="J2668" s="3"/>
      <c r="K2668" s="3"/>
      <c r="L2668" s="3"/>
    </row>
    <row r="2669" spans="9:12" x14ac:dyDescent="0.25">
      <c r="I2669" s="3"/>
      <c r="J2669" s="3"/>
      <c r="K2669" s="3"/>
      <c r="L2669" s="3"/>
    </row>
    <row r="2670" spans="9:12" x14ac:dyDescent="0.25">
      <c r="I2670" s="3"/>
      <c r="J2670" s="3"/>
      <c r="K2670" s="3"/>
      <c r="L2670" s="3"/>
    </row>
    <row r="2671" spans="9:12" x14ac:dyDescent="0.25">
      <c r="I2671" s="3"/>
      <c r="J2671" s="3"/>
      <c r="K2671" s="3"/>
      <c r="L2671" s="3"/>
    </row>
    <row r="2672" spans="9:12" x14ac:dyDescent="0.25">
      <c r="I2672" s="3"/>
      <c r="J2672" s="3"/>
      <c r="K2672" s="3"/>
      <c r="L2672" s="3"/>
    </row>
    <row r="2673" spans="9:12" x14ac:dyDescent="0.25">
      <c r="I2673" s="3"/>
      <c r="J2673" s="3"/>
      <c r="K2673" s="3"/>
      <c r="L2673" s="3"/>
    </row>
    <row r="2674" spans="9:12" x14ac:dyDescent="0.25">
      <c r="I2674" s="3"/>
      <c r="J2674" s="3"/>
      <c r="K2674" s="3"/>
      <c r="L2674" s="3"/>
    </row>
    <row r="2675" spans="9:12" x14ac:dyDescent="0.25">
      <c r="I2675" s="3"/>
      <c r="J2675" s="3"/>
      <c r="K2675" s="3"/>
      <c r="L2675" s="3"/>
    </row>
    <row r="2676" spans="9:12" x14ac:dyDescent="0.25">
      <c r="I2676" s="3"/>
      <c r="J2676" s="3"/>
      <c r="K2676" s="3"/>
      <c r="L2676" s="3"/>
    </row>
    <row r="2677" spans="9:12" x14ac:dyDescent="0.25">
      <c r="I2677" s="3"/>
      <c r="J2677" s="3"/>
      <c r="K2677" s="3"/>
      <c r="L2677" s="3"/>
    </row>
    <row r="2678" spans="9:12" x14ac:dyDescent="0.25">
      <c r="I2678" s="3"/>
      <c r="J2678" s="3"/>
      <c r="K2678" s="3"/>
      <c r="L2678" s="3"/>
    </row>
    <row r="2679" spans="9:12" x14ac:dyDescent="0.25">
      <c r="I2679" s="3"/>
      <c r="J2679" s="3"/>
      <c r="K2679" s="3"/>
      <c r="L2679" s="3"/>
    </row>
    <row r="2680" spans="9:12" x14ac:dyDescent="0.25">
      <c r="I2680" s="3"/>
      <c r="J2680" s="3"/>
      <c r="K2680" s="3"/>
      <c r="L2680" s="3"/>
    </row>
    <row r="2681" spans="9:12" x14ac:dyDescent="0.25">
      <c r="I2681" s="3"/>
      <c r="J2681" s="3"/>
      <c r="K2681" s="3"/>
      <c r="L2681" s="3"/>
    </row>
    <row r="2682" spans="9:12" x14ac:dyDescent="0.25">
      <c r="I2682" s="3"/>
      <c r="J2682" s="3"/>
      <c r="K2682" s="3"/>
      <c r="L2682" s="3"/>
    </row>
    <row r="2683" spans="9:12" x14ac:dyDescent="0.25">
      <c r="I2683" s="3"/>
      <c r="J2683" s="3"/>
      <c r="K2683" s="3"/>
      <c r="L2683" s="3"/>
    </row>
    <row r="2684" spans="9:12" x14ac:dyDescent="0.25">
      <c r="I2684" s="3"/>
      <c r="J2684" s="3"/>
      <c r="K2684" s="3"/>
      <c r="L2684" s="3"/>
    </row>
    <row r="2685" spans="9:12" x14ac:dyDescent="0.25">
      <c r="I2685" s="3"/>
      <c r="J2685" s="3"/>
      <c r="K2685" s="3"/>
      <c r="L2685" s="3"/>
    </row>
    <row r="2686" spans="9:12" x14ac:dyDescent="0.25">
      <c r="I2686" s="3"/>
      <c r="J2686" s="3"/>
      <c r="K2686" s="3"/>
      <c r="L2686" s="3"/>
    </row>
    <row r="2687" spans="9:12" x14ac:dyDescent="0.25">
      <c r="I2687" s="3"/>
      <c r="J2687" s="3"/>
      <c r="K2687" s="3"/>
      <c r="L2687" s="3"/>
    </row>
    <row r="2688" spans="9:12" x14ac:dyDescent="0.25">
      <c r="I2688" s="3"/>
      <c r="J2688" s="3"/>
      <c r="K2688" s="3"/>
      <c r="L2688" s="3"/>
    </row>
    <row r="2689" spans="9:12" x14ac:dyDescent="0.25">
      <c r="I2689" s="3"/>
      <c r="J2689" s="3"/>
      <c r="K2689" s="3"/>
      <c r="L2689" s="3"/>
    </row>
    <row r="2690" spans="9:12" x14ac:dyDescent="0.25">
      <c r="I2690" s="3"/>
      <c r="J2690" s="3"/>
      <c r="K2690" s="3"/>
      <c r="L2690" s="3"/>
    </row>
    <row r="2691" spans="9:12" x14ac:dyDescent="0.25">
      <c r="I2691" s="3"/>
      <c r="J2691" s="3"/>
      <c r="K2691" s="3"/>
      <c r="L2691" s="3"/>
    </row>
    <row r="2692" spans="9:12" x14ac:dyDescent="0.25">
      <c r="I2692" s="3"/>
      <c r="J2692" s="3"/>
      <c r="K2692" s="3"/>
      <c r="L2692" s="3"/>
    </row>
    <row r="2693" spans="9:12" x14ac:dyDescent="0.25">
      <c r="I2693" s="3"/>
      <c r="J2693" s="3"/>
      <c r="K2693" s="3"/>
      <c r="L2693" s="3"/>
    </row>
    <row r="2694" spans="9:12" x14ac:dyDescent="0.25">
      <c r="I2694" s="3"/>
      <c r="J2694" s="3"/>
      <c r="K2694" s="3"/>
      <c r="L2694" s="3"/>
    </row>
    <row r="2695" spans="9:12" x14ac:dyDescent="0.25">
      <c r="I2695" s="3"/>
      <c r="J2695" s="3"/>
      <c r="K2695" s="3"/>
      <c r="L2695" s="3"/>
    </row>
    <row r="2696" spans="9:12" x14ac:dyDescent="0.25">
      <c r="I2696" s="3"/>
      <c r="J2696" s="3"/>
      <c r="K2696" s="3"/>
      <c r="L2696" s="3"/>
    </row>
    <row r="2697" spans="9:12" x14ac:dyDescent="0.25">
      <c r="I2697" s="3"/>
      <c r="J2697" s="3"/>
      <c r="K2697" s="3"/>
      <c r="L2697" s="3"/>
    </row>
    <row r="2698" spans="9:12" x14ac:dyDescent="0.25">
      <c r="I2698" s="3"/>
      <c r="J2698" s="3"/>
      <c r="K2698" s="3"/>
      <c r="L2698" s="3"/>
    </row>
    <row r="2699" spans="9:12" x14ac:dyDescent="0.25">
      <c r="I2699" s="3"/>
      <c r="J2699" s="3"/>
      <c r="K2699" s="3"/>
      <c r="L2699" s="3"/>
    </row>
    <row r="2700" spans="9:12" x14ac:dyDescent="0.25">
      <c r="I2700" s="3"/>
      <c r="J2700" s="3"/>
      <c r="K2700" s="3"/>
      <c r="L2700" s="3"/>
    </row>
    <row r="2701" spans="9:12" x14ac:dyDescent="0.25">
      <c r="I2701" s="3"/>
      <c r="J2701" s="3"/>
      <c r="K2701" s="3"/>
      <c r="L2701" s="3"/>
    </row>
    <row r="2702" spans="9:12" x14ac:dyDescent="0.25">
      <c r="I2702" s="3"/>
      <c r="J2702" s="3"/>
      <c r="K2702" s="3"/>
      <c r="L2702" s="3"/>
    </row>
    <row r="2703" spans="9:12" x14ac:dyDescent="0.25">
      <c r="I2703" s="3"/>
      <c r="J2703" s="3"/>
      <c r="K2703" s="3"/>
      <c r="L2703" s="3"/>
    </row>
    <row r="2704" spans="9:12" x14ac:dyDescent="0.25">
      <c r="I2704" s="3"/>
      <c r="J2704" s="3"/>
      <c r="K2704" s="3"/>
      <c r="L2704" s="3"/>
    </row>
    <row r="2705" spans="9:12" x14ac:dyDescent="0.25">
      <c r="I2705" s="3"/>
      <c r="J2705" s="3"/>
      <c r="K2705" s="3"/>
      <c r="L2705" s="3"/>
    </row>
    <row r="2706" spans="9:12" x14ac:dyDescent="0.25">
      <c r="I2706" s="3"/>
      <c r="J2706" s="3"/>
      <c r="K2706" s="3"/>
      <c r="L2706" s="3"/>
    </row>
    <row r="2707" spans="9:12" x14ac:dyDescent="0.25">
      <c r="I2707" s="3"/>
      <c r="J2707" s="3"/>
      <c r="K2707" s="3"/>
      <c r="L2707" s="3"/>
    </row>
    <row r="2708" spans="9:12" x14ac:dyDescent="0.25">
      <c r="I2708" s="3"/>
      <c r="J2708" s="3"/>
      <c r="K2708" s="3"/>
      <c r="L2708" s="3"/>
    </row>
    <row r="2709" spans="9:12" x14ac:dyDescent="0.25">
      <c r="I2709" s="3"/>
      <c r="J2709" s="3"/>
      <c r="K2709" s="3"/>
      <c r="L2709" s="3"/>
    </row>
    <row r="2710" spans="9:12" x14ac:dyDescent="0.25">
      <c r="I2710" s="3"/>
      <c r="J2710" s="3"/>
      <c r="K2710" s="3"/>
      <c r="L2710" s="3"/>
    </row>
    <row r="2711" spans="9:12" x14ac:dyDescent="0.25">
      <c r="I2711" s="3"/>
      <c r="J2711" s="3"/>
      <c r="K2711" s="3"/>
      <c r="L2711" s="3"/>
    </row>
    <row r="2712" spans="9:12" x14ac:dyDescent="0.25">
      <c r="I2712" s="3"/>
      <c r="J2712" s="3"/>
      <c r="K2712" s="3"/>
      <c r="L2712" s="3"/>
    </row>
    <row r="2713" spans="9:12" x14ac:dyDescent="0.25">
      <c r="I2713" s="3"/>
      <c r="J2713" s="3"/>
      <c r="K2713" s="3"/>
      <c r="L2713" s="3"/>
    </row>
    <row r="2714" spans="9:12" x14ac:dyDescent="0.25">
      <c r="I2714" s="3"/>
      <c r="J2714" s="3"/>
      <c r="K2714" s="3"/>
      <c r="L2714" s="3"/>
    </row>
    <row r="2715" spans="9:12" x14ac:dyDescent="0.25">
      <c r="I2715" s="3"/>
      <c r="J2715" s="3"/>
      <c r="K2715" s="3"/>
      <c r="L2715" s="3"/>
    </row>
    <row r="2716" spans="9:12" x14ac:dyDescent="0.25">
      <c r="I2716" s="3"/>
      <c r="J2716" s="3"/>
      <c r="K2716" s="3"/>
      <c r="L2716" s="3"/>
    </row>
    <row r="2717" spans="9:12" x14ac:dyDescent="0.25">
      <c r="I2717" s="3"/>
      <c r="J2717" s="3"/>
      <c r="K2717" s="3"/>
      <c r="L2717" s="3"/>
    </row>
    <row r="2718" spans="9:12" x14ac:dyDescent="0.25">
      <c r="I2718" s="3"/>
      <c r="J2718" s="3"/>
      <c r="K2718" s="3"/>
      <c r="L2718" s="3"/>
    </row>
    <row r="2719" spans="9:12" x14ac:dyDescent="0.25">
      <c r="I2719" s="3"/>
      <c r="J2719" s="3"/>
      <c r="K2719" s="3"/>
      <c r="L2719" s="3"/>
    </row>
    <row r="2720" spans="9:12" x14ac:dyDescent="0.25">
      <c r="I2720" s="3"/>
      <c r="J2720" s="3"/>
      <c r="K2720" s="3"/>
      <c r="L2720" s="3"/>
    </row>
    <row r="2721" spans="9:12" x14ac:dyDescent="0.25">
      <c r="I2721" s="3"/>
      <c r="J2721" s="3"/>
      <c r="K2721" s="3"/>
      <c r="L2721" s="3"/>
    </row>
    <row r="2722" spans="9:12" x14ac:dyDescent="0.25">
      <c r="I2722" s="3"/>
      <c r="J2722" s="3"/>
      <c r="K2722" s="3"/>
      <c r="L2722" s="3"/>
    </row>
    <row r="2723" spans="9:12" x14ac:dyDescent="0.25">
      <c r="I2723" s="3"/>
      <c r="J2723" s="3"/>
      <c r="K2723" s="3"/>
      <c r="L2723" s="3"/>
    </row>
    <row r="2724" spans="9:12" x14ac:dyDescent="0.25">
      <c r="I2724" s="3"/>
      <c r="J2724" s="3"/>
      <c r="K2724" s="3"/>
      <c r="L2724" s="3"/>
    </row>
    <row r="2725" spans="9:12" x14ac:dyDescent="0.25">
      <c r="I2725" s="3"/>
      <c r="J2725" s="3"/>
      <c r="K2725" s="3"/>
      <c r="L2725" s="3"/>
    </row>
    <row r="2726" spans="9:12" x14ac:dyDescent="0.25">
      <c r="I2726" s="3"/>
      <c r="J2726" s="3"/>
      <c r="K2726" s="3"/>
      <c r="L2726" s="3"/>
    </row>
    <row r="2727" spans="9:12" x14ac:dyDescent="0.25">
      <c r="I2727" s="3"/>
      <c r="J2727" s="3"/>
      <c r="K2727" s="3"/>
      <c r="L2727" s="3"/>
    </row>
    <row r="2728" spans="9:12" x14ac:dyDescent="0.25">
      <c r="I2728" s="3"/>
      <c r="J2728" s="3"/>
      <c r="K2728" s="3"/>
      <c r="L2728" s="3"/>
    </row>
    <row r="2729" spans="9:12" x14ac:dyDescent="0.25">
      <c r="I2729" s="3"/>
      <c r="J2729" s="3"/>
      <c r="K2729" s="3"/>
      <c r="L2729" s="3"/>
    </row>
    <row r="2730" spans="9:12" x14ac:dyDescent="0.25">
      <c r="I2730" s="3"/>
      <c r="J2730" s="3"/>
      <c r="K2730" s="3"/>
      <c r="L2730" s="3"/>
    </row>
    <row r="2731" spans="9:12" x14ac:dyDescent="0.25">
      <c r="I2731" s="3"/>
      <c r="J2731" s="3"/>
      <c r="K2731" s="3"/>
      <c r="L2731" s="3"/>
    </row>
    <row r="2732" spans="9:12" x14ac:dyDescent="0.25">
      <c r="I2732" s="3"/>
      <c r="J2732" s="3"/>
      <c r="K2732" s="3"/>
      <c r="L2732" s="3"/>
    </row>
    <row r="2733" spans="9:12" x14ac:dyDescent="0.25">
      <c r="I2733" s="3"/>
      <c r="J2733" s="3"/>
      <c r="K2733" s="3"/>
      <c r="L2733" s="3"/>
    </row>
    <row r="2734" spans="9:12" x14ac:dyDescent="0.25">
      <c r="I2734" s="3"/>
      <c r="J2734" s="3"/>
      <c r="K2734" s="3"/>
      <c r="L2734" s="3"/>
    </row>
    <row r="2735" spans="9:12" x14ac:dyDescent="0.25">
      <c r="I2735" s="3"/>
      <c r="J2735" s="3"/>
      <c r="K2735" s="3"/>
      <c r="L2735" s="3"/>
    </row>
    <row r="2736" spans="9:12" x14ac:dyDescent="0.25">
      <c r="I2736" s="3"/>
      <c r="J2736" s="3"/>
      <c r="K2736" s="3"/>
      <c r="L2736" s="3"/>
    </row>
    <row r="2737" spans="9:12" x14ac:dyDescent="0.25">
      <c r="I2737" s="3"/>
      <c r="J2737" s="3"/>
      <c r="K2737" s="3"/>
      <c r="L2737" s="3"/>
    </row>
    <row r="2738" spans="9:12" x14ac:dyDescent="0.25">
      <c r="I2738" s="3"/>
      <c r="J2738" s="3"/>
      <c r="K2738" s="3"/>
      <c r="L2738" s="3"/>
    </row>
    <row r="2739" spans="9:12" x14ac:dyDescent="0.25">
      <c r="I2739" s="3"/>
      <c r="J2739" s="3"/>
      <c r="K2739" s="3"/>
      <c r="L2739" s="3"/>
    </row>
    <row r="2740" spans="9:12" x14ac:dyDescent="0.25">
      <c r="I2740" s="3"/>
      <c r="J2740" s="3"/>
      <c r="K2740" s="3"/>
      <c r="L2740" s="3"/>
    </row>
    <row r="2741" spans="9:12" x14ac:dyDescent="0.25">
      <c r="I2741" s="3"/>
      <c r="J2741" s="3"/>
      <c r="K2741" s="3"/>
      <c r="L2741" s="3"/>
    </row>
    <row r="2742" spans="9:12" x14ac:dyDescent="0.25">
      <c r="I2742" s="3"/>
      <c r="J2742" s="3"/>
      <c r="K2742" s="3"/>
      <c r="L2742" s="3"/>
    </row>
    <row r="2743" spans="9:12" x14ac:dyDescent="0.25">
      <c r="I2743" s="3"/>
      <c r="J2743" s="3"/>
      <c r="K2743" s="3"/>
      <c r="L2743" s="3"/>
    </row>
    <row r="2744" spans="9:12" x14ac:dyDescent="0.25">
      <c r="I2744" s="3"/>
      <c r="J2744" s="3"/>
      <c r="K2744" s="3"/>
      <c r="L2744" s="3"/>
    </row>
    <row r="2745" spans="9:12" x14ac:dyDescent="0.25">
      <c r="I2745" s="3"/>
      <c r="J2745" s="3"/>
      <c r="K2745" s="3"/>
      <c r="L2745" s="3"/>
    </row>
    <row r="2746" spans="9:12" x14ac:dyDescent="0.25">
      <c r="I2746" s="3"/>
      <c r="J2746" s="3"/>
      <c r="K2746" s="3"/>
      <c r="L2746" s="3"/>
    </row>
    <row r="2747" spans="9:12" x14ac:dyDescent="0.25">
      <c r="I2747" s="3"/>
      <c r="J2747" s="3"/>
      <c r="K2747" s="3"/>
      <c r="L2747" s="3"/>
    </row>
    <row r="2748" spans="9:12" x14ac:dyDescent="0.25">
      <c r="I2748" s="3"/>
      <c r="J2748" s="3"/>
      <c r="K2748" s="3"/>
      <c r="L2748" s="3"/>
    </row>
    <row r="2749" spans="9:12" x14ac:dyDescent="0.25">
      <c r="I2749" s="3"/>
      <c r="J2749" s="3"/>
      <c r="K2749" s="3"/>
      <c r="L2749" s="3"/>
    </row>
    <row r="2750" spans="9:12" x14ac:dyDescent="0.25">
      <c r="I2750" s="3"/>
      <c r="J2750" s="3"/>
      <c r="K2750" s="3"/>
      <c r="L2750" s="3"/>
    </row>
    <row r="2751" spans="9:12" x14ac:dyDescent="0.25">
      <c r="I2751" s="3"/>
      <c r="J2751" s="3"/>
      <c r="K2751" s="3"/>
      <c r="L2751" s="3"/>
    </row>
    <row r="2752" spans="9:12" x14ac:dyDescent="0.25">
      <c r="I2752" s="3"/>
      <c r="J2752" s="3"/>
      <c r="K2752" s="3"/>
      <c r="L2752" s="3"/>
    </row>
    <row r="2753" spans="9:12" x14ac:dyDescent="0.25">
      <c r="I2753" s="3"/>
      <c r="J2753" s="3"/>
      <c r="K2753" s="3"/>
      <c r="L2753" s="3"/>
    </row>
    <row r="2754" spans="9:12" x14ac:dyDescent="0.25">
      <c r="I2754" s="3"/>
      <c r="J2754" s="3"/>
      <c r="K2754" s="3"/>
      <c r="L2754" s="3"/>
    </row>
    <row r="2755" spans="9:12" x14ac:dyDescent="0.25">
      <c r="I2755" s="3"/>
      <c r="J2755" s="3"/>
      <c r="K2755" s="3"/>
      <c r="L2755" s="3"/>
    </row>
    <row r="2756" spans="9:12" x14ac:dyDescent="0.25">
      <c r="I2756" s="3"/>
      <c r="J2756" s="3"/>
      <c r="K2756" s="3"/>
      <c r="L2756" s="3"/>
    </row>
    <row r="2757" spans="9:12" x14ac:dyDescent="0.25">
      <c r="I2757" s="3"/>
      <c r="J2757" s="3"/>
      <c r="K2757" s="3"/>
      <c r="L2757" s="3"/>
    </row>
    <row r="2758" spans="9:12" x14ac:dyDescent="0.25">
      <c r="I2758" s="3"/>
      <c r="J2758" s="3"/>
      <c r="K2758" s="3"/>
      <c r="L2758" s="3"/>
    </row>
    <row r="2759" spans="9:12" x14ac:dyDescent="0.25">
      <c r="I2759" s="3"/>
      <c r="J2759" s="3"/>
      <c r="K2759" s="3"/>
      <c r="L2759" s="3"/>
    </row>
    <row r="2760" spans="9:12" x14ac:dyDescent="0.25">
      <c r="I2760" s="3"/>
      <c r="J2760" s="3"/>
      <c r="K2760" s="3"/>
      <c r="L2760" s="3"/>
    </row>
    <row r="2761" spans="9:12" x14ac:dyDescent="0.25">
      <c r="I2761" s="3"/>
      <c r="J2761" s="3"/>
      <c r="K2761" s="3"/>
      <c r="L2761" s="3"/>
    </row>
    <row r="2762" spans="9:12" x14ac:dyDescent="0.25">
      <c r="I2762" s="3"/>
      <c r="J2762" s="3"/>
      <c r="K2762" s="3"/>
      <c r="L2762" s="3"/>
    </row>
    <row r="2763" spans="9:12" x14ac:dyDescent="0.25">
      <c r="I2763" s="3"/>
      <c r="J2763" s="3"/>
      <c r="K2763" s="3"/>
      <c r="L2763" s="3"/>
    </row>
    <row r="2764" spans="9:12" x14ac:dyDescent="0.25">
      <c r="I2764" s="3"/>
      <c r="J2764" s="3"/>
      <c r="K2764" s="3"/>
      <c r="L2764" s="3"/>
    </row>
    <row r="2765" spans="9:12" x14ac:dyDescent="0.25">
      <c r="I2765" s="3"/>
      <c r="J2765" s="3"/>
      <c r="K2765" s="3"/>
      <c r="L2765" s="3"/>
    </row>
    <row r="2766" spans="9:12" x14ac:dyDescent="0.25">
      <c r="I2766" s="3"/>
      <c r="J2766" s="3"/>
      <c r="K2766" s="3"/>
      <c r="L2766" s="3"/>
    </row>
    <row r="2767" spans="9:12" x14ac:dyDescent="0.25">
      <c r="I2767" s="3"/>
      <c r="J2767" s="3"/>
      <c r="K2767" s="3"/>
      <c r="L2767" s="3"/>
    </row>
    <row r="2768" spans="9:12" x14ac:dyDescent="0.25">
      <c r="I2768" s="3"/>
      <c r="J2768" s="3"/>
      <c r="K2768" s="3"/>
      <c r="L2768" s="3"/>
    </row>
    <row r="2769" spans="9:12" x14ac:dyDescent="0.25">
      <c r="I2769" s="3"/>
      <c r="J2769" s="3"/>
      <c r="K2769" s="3"/>
      <c r="L2769" s="3"/>
    </row>
    <row r="2770" spans="9:12" x14ac:dyDescent="0.25">
      <c r="I2770" s="3"/>
      <c r="J2770" s="3"/>
      <c r="K2770" s="3"/>
      <c r="L2770" s="3"/>
    </row>
    <row r="2771" spans="9:12" x14ac:dyDescent="0.25">
      <c r="I2771" s="3"/>
      <c r="J2771" s="3"/>
      <c r="K2771" s="3"/>
      <c r="L2771" s="3"/>
    </row>
    <row r="2772" spans="9:12" x14ac:dyDescent="0.25">
      <c r="I2772" s="3"/>
      <c r="J2772" s="3"/>
      <c r="K2772" s="3"/>
      <c r="L2772" s="3"/>
    </row>
    <row r="2773" spans="9:12" x14ac:dyDescent="0.25">
      <c r="I2773" s="3"/>
      <c r="J2773" s="3"/>
      <c r="K2773" s="3"/>
      <c r="L2773" s="3"/>
    </row>
    <row r="2774" spans="9:12" x14ac:dyDescent="0.25">
      <c r="I2774" s="3"/>
      <c r="J2774" s="3"/>
      <c r="K2774" s="3"/>
      <c r="L2774" s="3"/>
    </row>
    <row r="2775" spans="9:12" x14ac:dyDescent="0.25">
      <c r="I2775" s="3"/>
      <c r="J2775" s="3"/>
      <c r="K2775" s="3"/>
      <c r="L2775" s="3"/>
    </row>
    <row r="2776" spans="9:12" x14ac:dyDescent="0.25">
      <c r="I2776" s="3"/>
      <c r="J2776" s="3"/>
      <c r="K2776" s="3"/>
      <c r="L2776" s="3"/>
    </row>
    <row r="2777" spans="9:12" x14ac:dyDescent="0.25">
      <c r="I2777" s="3"/>
      <c r="J2777" s="3"/>
      <c r="K2777" s="3"/>
      <c r="L2777" s="3"/>
    </row>
    <row r="2778" spans="9:12" x14ac:dyDescent="0.25">
      <c r="I2778" s="3"/>
      <c r="J2778" s="3"/>
      <c r="K2778" s="3"/>
      <c r="L2778" s="3"/>
    </row>
    <row r="2779" spans="9:12" x14ac:dyDescent="0.25">
      <c r="I2779" s="3"/>
      <c r="J2779" s="3"/>
      <c r="K2779" s="3"/>
      <c r="L2779" s="3"/>
    </row>
    <row r="2780" spans="9:12" x14ac:dyDescent="0.25">
      <c r="I2780" s="3"/>
      <c r="J2780" s="3"/>
      <c r="K2780" s="3"/>
      <c r="L2780" s="3"/>
    </row>
    <row r="2781" spans="9:12" x14ac:dyDescent="0.25">
      <c r="I2781" s="3"/>
      <c r="J2781" s="3"/>
      <c r="K2781" s="3"/>
      <c r="L2781" s="3"/>
    </row>
    <row r="2782" spans="9:12" x14ac:dyDescent="0.25">
      <c r="I2782" s="3"/>
      <c r="J2782" s="3"/>
      <c r="K2782" s="3"/>
      <c r="L2782" s="3"/>
    </row>
    <row r="2783" spans="9:12" x14ac:dyDescent="0.25">
      <c r="I2783" s="3"/>
      <c r="J2783" s="3"/>
      <c r="K2783" s="3"/>
      <c r="L2783" s="3"/>
    </row>
    <row r="2784" spans="9:12" x14ac:dyDescent="0.25">
      <c r="I2784" s="3"/>
      <c r="J2784" s="3"/>
      <c r="K2784" s="3"/>
      <c r="L2784" s="3"/>
    </row>
    <row r="2785" spans="9:12" x14ac:dyDescent="0.25">
      <c r="I2785" s="3"/>
      <c r="J2785" s="3"/>
      <c r="K2785" s="3"/>
      <c r="L2785" s="3"/>
    </row>
    <row r="2786" spans="9:12" x14ac:dyDescent="0.25">
      <c r="I2786" s="3"/>
      <c r="J2786" s="3"/>
      <c r="K2786" s="3"/>
      <c r="L2786" s="3"/>
    </row>
    <row r="2787" spans="9:12" x14ac:dyDescent="0.25">
      <c r="I2787" s="3"/>
      <c r="J2787" s="3"/>
      <c r="K2787" s="3"/>
      <c r="L2787" s="3"/>
    </row>
    <row r="2788" spans="9:12" x14ac:dyDescent="0.25">
      <c r="I2788" s="3"/>
      <c r="J2788" s="3"/>
      <c r="K2788" s="3"/>
      <c r="L2788" s="3"/>
    </row>
    <row r="2789" spans="9:12" x14ac:dyDescent="0.25">
      <c r="I2789" s="3"/>
      <c r="J2789" s="3"/>
      <c r="K2789" s="3"/>
      <c r="L2789" s="3"/>
    </row>
    <row r="2790" spans="9:12" x14ac:dyDescent="0.25">
      <c r="I2790" s="3"/>
      <c r="J2790" s="3"/>
      <c r="K2790" s="3"/>
      <c r="L2790" s="3"/>
    </row>
    <row r="2791" spans="9:12" x14ac:dyDescent="0.25">
      <c r="I2791" s="3"/>
      <c r="J2791" s="3"/>
      <c r="K2791" s="3"/>
      <c r="L2791" s="3"/>
    </row>
    <row r="2792" spans="9:12" x14ac:dyDescent="0.25">
      <c r="I2792" s="3"/>
      <c r="J2792" s="3"/>
      <c r="K2792" s="3"/>
      <c r="L2792" s="3"/>
    </row>
    <row r="2793" spans="9:12" x14ac:dyDescent="0.25">
      <c r="I2793" s="3"/>
      <c r="J2793" s="3"/>
      <c r="K2793" s="3"/>
      <c r="L2793" s="3"/>
    </row>
    <row r="2794" spans="9:12" x14ac:dyDescent="0.25">
      <c r="I2794" s="3"/>
      <c r="J2794" s="3"/>
      <c r="K2794" s="3"/>
      <c r="L2794" s="3"/>
    </row>
    <row r="2795" spans="9:12" x14ac:dyDescent="0.25">
      <c r="I2795" s="3"/>
      <c r="J2795" s="3"/>
      <c r="K2795" s="3"/>
      <c r="L2795" s="3"/>
    </row>
    <row r="2796" spans="9:12" x14ac:dyDescent="0.25">
      <c r="I2796" s="3"/>
      <c r="J2796" s="3"/>
      <c r="K2796" s="3"/>
      <c r="L2796" s="3"/>
    </row>
    <row r="2797" spans="9:12" x14ac:dyDescent="0.25">
      <c r="I2797" s="3"/>
      <c r="J2797" s="3"/>
      <c r="K2797" s="3"/>
      <c r="L2797" s="3"/>
    </row>
    <row r="2798" spans="9:12" x14ac:dyDescent="0.25">
      <c r="I2798" s="3"/>
      <c r="J2798" s="3"/>
      <c r="K2798" s="3"/>
      <c r="L2798" s="3"/>
    </row>
    <row r="2799" spans="9:12" x14ac:dyDescent="0.25">
      <c r="I2799" s="3"/>
      <c r="J2799" s="3"/>
      <c r="K2799" s="3"/>
      <c r="L2799" s="3"/>
    </row>
    <row r="2800" spans="9:12" x14ac:dyDescent="0.25">
      <c r="I2800" s="3"/>
      <c r="J2800" s="3"/>
      <c r="K2800" s="3"/>
      <c r="L2800" s="3"/>
    </row>
    <row r="2801" spans="9:12" x14ac:dyDescent="0.25">
      <c r="I2801" s="3"/>
      <c r="J2801" s="3"/>
      <c r="K2801" s="3"/>
      <c r="L2801" s="3"/>
    </row>
    <row r="2802" spans="9:12" x14ac:dyDescent="0.25">
      <c r="I2802" s="3"/>
      <c r="J2802" s="3"/>
      <c r="K2802" s="3"/>
      <c r="L2802" s="3"/>
    </row>
    <row r="2803" spans="9:12" x14ac:dyDescent="0.25">
      <c r="I2803" s="3"/>
      <c r="J2803" s="3"/>
      <c r="K2803" s="3"/>
      <c r="L2803" s="3"/>
    </row>
    <row r="2804" spans="9:12" x14ac:dyDescent="0.25">
      <c r="I2804" s="3"/>
      <c r="J2804" s="3"/>
      <c r="K2804" s="3"/>
      <c r="L2804" s="3"/>
    </row>
    <row r="2805" spans="9:12" x14ac:dyDescent="0.25">
      <c r="I2805" s="3"/>
      <c r="J2805" s="3"/>
      <c r="K2805" s="3"/>
      <c r="L2805" s="3"/>
    </row>
    <row r="2806" spans="9:12" x14ac:dyDescent="0.25">
      <c r="I2806" s="3"/>
      <c r="J2806" s="3"/>
      <c r="K2806" s="3"/>
      <c r="L2806" s="3"/>
    </row>
    <row r="2807" spans="9:12" x14ac:dyDescent="0.25">
      <c r="I2807" s="3"/>
      <c r="J2807" s="3"/>
      <c r="K2807" s="3"/>
      <c r="L2807" s="3"/>
    </row>
    <row r="2808" spans="9:12" x14ac:dyDescent="0.25">
      <c r="I2808" s="3"/>
      <c r="J2808" s="3"/>
      <c r="K2808" s="3"/>
      <c r="L2808" s="3"/>
    </row>
    <row r="2809" spans="9:12" x14ac:dyDescent="0.25">
      <c r="I2809" s="3"/>
      <c r="J2809" s="3"/>
      <c r="K2809" s="3"/>
      <c r="L2809" s="3"/>
    </row>
    <row r="2810" spans="9:12" x14ac:dyDescent="0.25">
      <c r="I2810" s="3"/>
      <c r="J2810" s="3"/>
      <c r="K2810" s="3"/>
      <c r="L2810" s="3"/>
    </row>
    <row r="2811" spans="9:12" x14ac:dyDescent="0.25">
      <c r="I2811" s="3"/>
      <c r="J2811" s="3"/>
      <c r="K2811" s="3"/>
      <c r="L2811" s="3"/>
    </row>
    <row r="2812" spans="9:12" x14ac:dyDescent="0.25">
      <c r="I2812" s="3"/>
      <c r="J2812" s="3"/>
      <c r="K2812" s="3"/>
      <c r="L2812" s="3"/>
    </row>
    <row r="2813" spans="9:12" x14ac:dyDescent="0.25">
      <c r="I2813" s="3"/>
      <c r="J2813" s="3"/>
      <c r="K2813" s="3"/>
      <c r="L2813" s="3"/>
    </row>
    <row r="2814" spans="9:12" x14ac:dyDescent="0.25">
      <c r="I2814" s="3"/>
      <c r="J2814" s="3"/>
      <c r="K2814" s="3"/>
      <c r="L2814" s="3"/>
    </row>
    <row r="2815" spans="9:12" x14ac:dyDescent="0.25">
      <c r="I2815" s="3"/>
      <c r="J2815" s="3"/>
      <c r="K2815" s="3"/>
      <c r="L2815" s="3"/>
    </row>
    <row r="2816" spans="9:12" x14ac:dyDescent="0.25">
      <c r="I2816" s="3"/>
      <c r="J2816" s="3"/>
      <c r="K2816" s="3"/>
      <c r="L2816" s="3"/>
    </row>
    <row r="2817" spans="9:12" x14ac:dyDescent="0.25">
      <c r="I2817" s="3"/>
      <c r="J2817" s="3"/>
      <c r="K2817" s="3"/>
      <c r="L2817" s="3"/>
    </row>
    <row r="2818" spans="9:12" x14ac:dyDescent="0.25">
      <c r="I2818" s="3"/>
      <c r="J2818" s="3"/>
      <c r="K2818" s="3"/>
      <c r="L2818" s="3"/>
    </row>
    <row r="2819" spans="9:12" x14ac:dyDescent="0.25">
      <c r="I2819" s="3"/>
      <c r="J2819" s="3"/>
      <c r="K2819" s="3"/>
      <c r="L2819" s="3"/>
    </row>
    <row r="2820" spans="9:12" x14ac:dyDescent="0.25">
      <c r="I2820" s="3"/>
      <c r="J2820" s="3"/>
      <c r="K2820" s="3"/>
      <c r="L2820" s="3"/>
    </row>
    <row r="2821" spans="9:12" x14ac:dyDescent="0.25">
      <c r="I2821" s="3"/>
      <c r="J2821" s="3"/>
      <c r="K2821" s="3"/>
      <c r="L2821" s="3"/>
    </row>
    <row r="2822" spans="9:12" x14ac:dyDescent="0.25">
      <c r="I2822" s="3"/>
      <c r="J2822" s="3"/>
      <c r="K2822" s="3"/>
      <c r="L2822" s="3"/>
    </row>
    <row r="2823" spans="9:12" x14ac:dyDescent="0.25">
      <c r="I2823" s="3"/>
      <c r="J2823" s="3"/>
      <c r="K2823" s="3"/>
      <c r="L2823" s="3"/>
    </row>
    <row r="2824" spans="9:12" x14ac:dyDescent="0.25">
      <c r="I2824" s="3"/>
      <c r="J2824" s="3"/>
      <c r="K2824" s="3"/>
      <c r="L2824" s="3"/>
    </row>
    <row r="2825" spans="9:12" x14ac:dyDescent="0.25">
      <c r="I2825" s="3"/>
      <c r="J2825" s="3"/>
      <c r="K2825" s="3"/>
      <c r="L2825" s="3"/>
    </row>
    <row r="2826" spans="9:12" x14ac:dyDescent="0.25">
      <c r="I2826" s="3"/>
      <c r="J2826" s="3"/>
      <c r="K2826" s="3"/>
      <c r="L2826" s="3"/>
    </row>
    <row r="2827" spans="9:12" x14ac:dyDescent="0.25">
      <c r="I2827" s="3"/>
      <c r="J2827" s="3"/>
      <c r="K2827" s="3"/>
      <c r="L2827" s="3"/>
    </row>
    <row r="2828" spans="9:12" x14ac:dyDescent="0.25">
      <c r="I2828" s="3"/>
      <c r="J2828" s="3"/>
      <c r="K2828" s="3"/>
      <c r="L2828" s="3"/>
    </row>
    <row r="2829" spans="9:12" x14ac:dyDescent="0.25">
      <c r="I2829" s="3"/>
      <c r="J2829" s="3"/>
      <c r="K2829" s="3"/>
      <c r="L2829" s="3"/>
    </row>
    <row r="2830" spans="9:12" x14ac:dyDescent="0.25">
      <c r="I2830" s="3"/>
      <c r="J2830" s="3"/>
      <c r="K2830" s="3"/>
      <c r="L2830" s="3"/>
    </row>
    <row r="2831" spans="9:12" x14ac:dyDescent="0.25">
      <c r="I2831" s="3"/>
      <c r="J2831" s="3"/>
      <c r="K2831" s="3"/>
      <c r="L2831" s="3"/>
    </row>
    <row r="2832" spans="9:12" x14ac:dyDescent="0.25">
      <c r="I2832" s="3"/>
      <c r="J2832" s="3"/>
      <c r="K2832" s="3"/>
      <c r="L2832" s="3"/>
    </row>
    <row r="2833" spans="9:12" x14ac:dyDescent="0.25">
      <c r="I2833" s="3"/>
      <c r="J2833" s="3"/>
      <c r="K2833" s="3"/>
      <c r="L2833" s="3"/>
    </row>
    <row r="2834" spans="9:12" x14ac:dyDescent="0.25">
      <c r="I2834" s="3"/>
      <c r="J2834" s="3"/>
      <c r="K2834" s="3"/>
      <c r="L2834" s="3"/>
    </row>
    <row r="2835" spans="9:12" x14ac:dyDescent="0.25">
      <c r="I2835" s="3"/>
      <c r="J2835" s="3"/>
      <c r="K2835" s="3"/>
      <c r="L2835" s="3"/>
    </row>
    <row r="2836" spans="9:12" x14ac:dyDescent="0.25">
      <c r="I2836" s="3"/>
      <c r="J2836" s="3"/>
      <c r="K2836" s="3"/>
      <c r="L2836" s="3"/>
    </row>
    <row r="2837" spans="9:12" x14ac:dyDescent="0.25">
      <c r="I2837" s="3"/>
      <c r="J2837" s="3"/>
      <c r="K2837" s="3"/>
      <c r="L2837" s="3"/>
    </row>
    <row r="2838" spans="9:12" x14ac:dyDescent="0.25">
      <c r="I2838" s="3"/>
      <c r="J2838" s="3"/>
      <c r="K2838" s="3"/>
      <c r="L2838" s="3"/>
    </row>
    <row r="2839" spans="9:12" x14ac:dyDescent="0.25">
      <c r="I2839" s="3"/>
      <c r="J2839" s="3"/>
      <c r="K2839" s="3"/>
      <c r="L2839" s="3"/>
    </row>
    <row r="2840" spans="9:12" x14ac:dyDescent="0.25">
      <c r="I2840" s="3"/>
      <c r="J2840" s="3"/>
      <c r="K2840" s="3"/>
      <c r="L2840" s="3"/>
    </row>
    <row r="2841" spans="9:12" x14ac:dyDescent="0.25">
      <c r="I2841" s="3"/>
      <c r="J2841" s="3"/>
      <c r="K2841" s="3"/>
      <c r="L2841" s="3"/>
    </row>
    <row r="2842" spans="9:12" x14ac:dyDescent="0.25">
      <c r="I2842" s="3"/>
      <c r="J2842" s="3"/>
      <c r="K2842" s="3"/>
      <c r="L2842" s="3"/>
    </row>
    <row r="2843" spans="9:12" x14ac:dyDescent="0.25">
      <c r="I2843" s="3"/>
      <c r="J2843" s="3"/>
      <c r="K2843" s="3"/>
      <c r="L2843" s="3"/>
    </row>
    <row r="2844" spans="9:12" x14ac:dyDescent="0.25">
      <c r="I2844" s="3"/>
      <c r="J2844" s="3"/>
      <c r="K2844" s="3"/>
      <c r="L2844" s="3"/>
    </row>
    <row r="2845" spans="9:12" x14ac:dyDescent="0.25">
      <c r="I2845" s="3"/>
      <c r="J2845" s="3"/>
      <c r="K2845" s="3"/>
      <c r="L2845" s="3"/>
    </row>
    <row r="2846" spans="9:12" x14ac:dyDescent="0.25">
      <c r="I2846" s="3"/>
      <c r="J2846" s="3"/>
      <c r="K2846" s="3"/>
      <c r="L2846" s="3"/>
    </row>
    <row r="2847" spans="9:12" x14ac:dyDescent="0.25">
      <c r="I2847" s="3"/>
      <c r="J2847" s="3"/>
      <c r="K2847" s="3"/>
      <c r="L2847" s="3"/>
    </row>
    <row r="2848" spans="9:12" x14ac:dyDescent="0.25">
      <c r="I2848" s="3"/>
      <c r="J2848" s="3"/>
      <c r="K2848" s="3"/>
      <c r="L2848" s="3"/>
    </row>
    <row r="2849" spans="9:12" x14ac:dyDescent="0.25">
      <c r="I2849" s="3"/>
      <c r="J2849" s="3"/>
      <c r="K2849" s="3"/>
      <c r="L2849" s="3"/>
    </row>
    <row r="2850" spans="9:12" x14ac:dyDescent="0.25">
      <c r="I2850" s="3"/>
      <c r="J2850" s="3"/>
      <c r="K2850" s="3"/>
      <c r="L2850" s="3"/>
    </row>
    <row r="2851" spans="9:12" x14ac:dyDescent="0.25">
      <c r="I2851" s="3"/>
      <c r="J2851" s="3"/>
      <c r="K2851" s="3"/>
      <c r="L2851" s="3"/>
    </row>
    <row r="2852" spans="9:12" x14ac:dyDescent="0.25">
      <c r="I2852" s="3"/>
      <c r="J2852" s="3"/>
      <c r="K2852" s="3"/>
      <c r="L2852" s="3"/>
    </row>
    <row r="2853" spans="9:12" x14ac:dyDescent="0.25">
      <c r="I2853" s="3"/>
      <c r="J2853" s="3"/>
      <c r="K2853" s="3"/>
      <c r="L2853" s="3"/>
    </row>
    <row r="2854" spans="9:12" x14ac:dyDescent="0.25">
      <c r="I2854" s="3"/>
      <c r="J2854" s="3"/>
      <c r="K2854" s="3"/>
      <c r="L2854" s="3"/>
    </row>
    <row r="2855" spans="9:12" x14ac:dyDescent="0.25">
      <c r="I2855" s="3"/>
      <c r="J2855" s="3"/>
      <c r="K2855" s="3"/>
      <c r="L2855" s="3"/>
    </row>
    <row r="2856" spans="9:12" x14ac:dyDescent="0.25">
      <c r="I2856" s="3"/>
      <c r="J2856" s="3"/>
      <c r="K2856" s="3"/>
      <c r="L2856" s="3"/>
    </row>
    <row r="2857" spans="9:12" x14ac:dyDescent="0.25">
      <c r="I2857" s="3"/>
      <c r="J2857" s="3"/>
      <c r="K2857" s="3"/>
      <c r="L2857" s="3"/>
    </row>
    <row r="2858" spans="9:12" x14ac:dyDescent="0.25">
      <c r="I2858" s="3"/>
      <c r="J2858" s="3"/>
      <c r="K2858" s="3"/>
      <c r="L2858" s="3"/>
    </row>
    <row r="2859" spans="9:12" x14ac:dyDescent="0.25">
      <c r="I2859" s="3"/>
      <c r="J2859" s="3"/>
      <c r="K2859" s="3"/>
      <c r="L2859" s="3"/>
    </row>
    <row r="2860" spans="9:12" x14ac:dyDescent="0.25">
      <c r="I2860" s="3"/>
      <c r="J2860" s="3"/>
      <c r="K2860" s="3"/>
      <c r="L2860" s="3"/>
    </row>
    <row r="2861" spans="9:12" x14ac:dyDescent="0.25">
      <c r="I2861" s="3"/>
      <c r="J2861" s="3"/>
      <c r="K2861" s="3"/>
      <c r="L2861" s="3"/>
    </row>
    <row r="2862" spans="9:12" x14ac:dyDescent="0.25">
      <c r="I2862" s="3"/>
      <c r="J2862" s="3"/>
      <c r="K2862" s="3"/>
      <c r="L2862" s="3"/>
    </row>
    <row r="2863" spans="9:12" x14ac:dyDescent="0.25">
      <c r="I2863" s="3"/>
      <c r="J2863" s="3"/>
      <c r="K2863" s="3"/>
      <c r="L2863" s="3"/>
    </row>
    <row r="2864" spans="9:12" x14ac:dyDescent="0.25">
      <c r="I2864" s="3"/>
      <c r="J2864" s="3"/>
      <c r="K2864" s="3"/>
      <c r="L2864" s="3"/>
    </row>
    <row r="2865" spans="9:12" x14ac:dyDescent="0.25">
      <c r="I2865" s="3"/>
      <c r="J2865" s="3"/>
      <c r="K2865" s="3"/>
      <c r="L2865" s="3"/>
    </row>
    <row r="2866" spans="9:12" x14ac:dyDescent="0.25">
      <c r="I2866" s="3"/>
      <c r="J2866" s="3"/>
      <c r="K2866" s="3"/>
      <c r="L2866" s="3"/>
    </row>
    <row r="2867" spans="9:12" x14ac:dyDescent="0.25">
      <c r="I2867" s="3"/>
      <c r="J2867" s="3"/>
      <c r="K2867" s="3"/>
      <c r="L2867" s="3"/>
    </row>
    <row r="2868" spans="9:12" x14ac:dyDescent="0.25">
      <c r="I2868" s="3"/>
      <c r="J2868" s="3"/>
      <c r="K2868" s="3"/>
      <c r="L2868" s="3"/>
    </row>
    <row r="2869" spans="9:12" x14ac:dyDescent="0.25">
      <c r="I2869" s="3"/>
      <c r="J2869" s="3"/>
      <c r="K2869" s="3"/>
      <c r="L2869" s="3"/>
    </row>
    <row r="2870" spans="9:12" x14ac:dyDescent="0.25">
      <c r="I2870" s="3"/>
      <c r="J2870" s="3"/>
      <c r="K2870" s="3"/>
      <c r="L2870" s="3"/>
    </row>
    <row r="2871" spans="9:12" x14ac:dyDescent="0.25">
      <c r="I2871" s="3"/>
      <c r="J2871" s="3"/>
      <c r="K2871" s="3"/>
      <c r="L2871" s="3"/>
    </row>
    <row r="2872" spans="9:12" x14ac:dyDescent="0.25">
      <c r="I2872" s="3"/>
      <c r="J2872" s="3"/>
      <c r="K2872" s="3"/>
      <c r="L2872" s="3"/>
    </row>
    <row r="2873" spans="9:12" x14ac:dyDescent="0.25">
      <c r="I2873" s="3"/>
      <c r="J2873" s="3"/>
      <c r="K2873" s="3"/>
      <c r="L2873" s="3"/>
    </row>
    <row r="2874" spans="9:12" x14ac:dyDescent="0.25">
      <c r="I2874" s="3"/>
      <c r="J2874" s="3"/>
      <c r="K2874" s="3"/>
      <c r="L2874" s="3"/>
    </row>
    <row r="2875" spans="9:12" x14ac:dyDescent="0.25">
      <c r="I2875" s="3"/>
      <c r="J2875" s="3"/>
      <c r="K2875" s="3"/>
      <c r="L2875" s="3"/>
    </row>
    <row r="2876" spans="9:12" x14ac:dyDescent="0.25">
      <c r="I2876" s="3"/>
      <c r="J2876" s="3"/>
      <c r="K2876" s="3"/>
      <c r="L2876" s="3"/>
    </row>
    <row r="2877" spans="9:12" x14ac:dyDescent="0.25">
      <c r="I2877" s="3"/>
      <c r="J2877" s="3"/>
      <c r="K2877" s="3"/>
      <c r="L2877" s="3"/>
    </row>
    <row r="2878" spans="9:12" x14ac:dyDescent="0.25">
      <c r="I2878" s="3"/>
      <c r="J2878" s="3"/>
      <c r="K2878" s="3"/>
      <c r="L2878" s="3"/>
    </row>
    <row r="2879" spans="9:12" x14ac:dyDescent="0.25">
      <c r="I2879" s="3"/>
      <c r="J2879" s="3"/>
      <c r="K2879" s="3"/>
      <c r="L2879" s="3"/>
    </row>
    <row r="2880" spans="9:12" x14ac:dyDescent="0.25">
      <c r="I2880" s="3"/>
      <c r="J2880" s="3"/>
      <c r="K2880" s="3"/>
      <c r="L2880" s="3"/>
    </row>
    <row r="2881" spans="9:12" x14ac:dyDescent="0.25">
      <c r="I2881" s="3"/>
      <c r="J2881" s="3"/>
      <c r="K2881" s="3"/>
      <c r="L2881" s="3"/>
    </row>
    <row r="2882" spans="9:12" x14ac:dyDescent="0.25">
      <c r="I2882" s="3"/>
      <c r="J2882" s="3"/>
      <c r="K2882" s="3"/>
      <c r="L2882" s="3"/>
    </row>
    <row r="2883" spans="9:12" x14ac:dyDescent="0.25">
      <c r="I2883" s="3"/>
      <c r="J2883" s="3"/>
      <c r="K2883" s="3"/>
      <c r="L2883" s="3"/>
    </row>
    <row r="2884" spans="9:12" x14ac:dyDescent="0.25">
      <c r="I2884" s="3"/>
      <c r="J2884" s="3"/>
      <c r="K2884" s="3"/>
      <c r="L2884" s="3"/>
    </row>
    <row r="2885" spans="9:12" x14ac:dyDescent="0.25">
      <c r="I2885" s="3"/>
      <c r="J2885" s="3"/>
      <c r="K2885" s="3"/>
      <c r="L2885" s="3"/>
    </row>
    <row r="2886" spans="9:12" x14ac:dyDescent="0.25">
      <c r="I2886" s="3"/>
      <c r="J2886" s="3"/>
      <c r="K2886" s="3"/>
      <c r="L2886" s="3"/>
    </row>
    <row r="2887" spans="9:12" x14ac:dyDescent="0.25">
      <c r="I2887" s="3"/>
      <c r="J2887" s="3"/>
      <c r="K2887" s="3"/>
      <c r="L2887" s="3"/>
    </row>
    <row r="2888" spans="9:12" x14ac:dyDescent="0.25">
      <c r="I2888" s="3"/>
      <c r="J2888" s="3"/>
      <c r="K2888" s="3"/>
      <c r="L2888" s="3"/>
    </row>
    <row r="2889" spans="9:12" x14ac:dyDescent="0.25">
      <c r="I2889" s="3"/>
      <c r="J2889" s="3"/>
      <c r="K2889" s="3"/>
      <c r="L2889" s="3"/>
    </row>
    <row r="2890" spans="9:12" x14ac:dyDescent="0.25">
      <c r="I2890" s="3"/>
      <c r="J2890" s="3"/>
      <c r="K2890" s="3"/>
      <c r="L2890" s="3"/>
    </row>
    <row r="2891" spans="9:12" x14ac:dyDescent="0.25">
      <c r="I2891" s="3"/>
      <c r="J2891" s="3"/>
      <c r="K2891" s="3"/>
      <c r="L2891" s="3"/>
    </row>
    <row r="2892" spans="9:12" x14ac:dyDescent="0.25">
      <c r="I2892" s="3"/>
      <c r="J2892" s="3"/>
      <c r="K2892" s="3"/>
      <c r="L2892" s="3"/>
    </row>
    <row r="2893" spans="9:12" x14ac:dyDescent="0.25">
      <c r="I2893" s="3"/>
      <c r="J2893" s="3"/>
      <c r="K2893" s="3"/>
      <c r="L2893" s="3"/>
    </row>
    <row r="2894" spans="9:12" x14ac:dyDescent="0.25">
      <c r="I2894" s="3"/>
      <c r="J2894" s="3"/>
      <c r="K2894" s="3"/>
      <c r="L2894" s="3"/>
    </row>
    <row r="2895" spans="9:12" x14ac:dyDescent="0.25">
      <c r="I2895" s="3"/>
      <c r="J2895" s="3"/>
      <c r="K2895" s="3"/>
      <c r="L2895" s="3"/>
    </row>
    <row r="2896" spans="9:12" x14ac:dyDescent="0.25">
      <c r="I2896" s="3"/>
      <c r="J2896" s="3"/>
      <c r="K2896" s="3"/>
      <c r="L2896" s="3"/>
    </row>
    <row r="2897" spans="9:12" x14ac:dyDescent="0.25">
      <c r="I2897" s="3"/>
      <c r="J2897" s="3"/>
      <c r="K2897" s="3"/>
      <c r="L2897" s="3"/>
    </row>
    <row r="2898" spans="9:12" x14ac:dyDescent="0.25">
      <c r="I2898" s="3"/>
      <c r="J2898" s="3"/>
      <c r="K2898" s="3"/>
      <c r="L2898" s="3"/>
    </row>
    <row r="2899" spans="9:12" x14ac:dyDescent="0.25">
      <c r="I2899" s="3"/>
      <c r="J2899" s="3"/>
      <c r="K2899" s="3"/>
      <c r="L2899" s="3"/>
    </row>
    <row r="2900" spans="9:12" x14ac:dyDescent="0.25">
      <c r="I2900" s="3"/>
      <c r="J2900" s="3"/>
      <c r="K2900" s="3"/>
      <c r="L2900" s="3"/>
    </row>
    <row r="2901" spans="9:12" x14ac:dyDescent="0.25">
      <c r="I2901" s="3"/>
      <c r="J2901" s="3"/>
      <c r="K2901" s="3"/>
      <c r="L2901" s="3"/>
    </row>
    <row r="2902" spans="9:12" x14ac:dyDescent="0.25">
      <c r="I2902" s="3"/>
      <c r="J2902" s="3"/>
      <c r="K2902" s="3"/>
      <c r="L2902" s="3"/>
    </row>
    <row r="2903" spans="9:12" x14ac:dyDescent="0.25">
      <c r="I2903" s="3"/>
      <c r="J2903" s="3"/>
      <c r="K2903" s="3"/>
      <c r="L2903" s="3"/>
    </row>
    <row r="2904" spans="9:12" x14ac:dyDescent="0.25">
      <c r="I2904" s="3"/>
      <c r="J2904" s="3"/>
      <c r="K2904" s="3"/>
      <c r="L2904" s="3"/>
    </row>
    <row r="2905" spans="9:12" x14ac:dyDescent="0.25">
      <c r="I2905" s="3"/>
      <c r="J2905" s="3"/>
      <c r="K2905" s="3"/>
      <c r="L2905" s="3"/>
    </row>
    <row r="2906" spans="9:12" x14ac:dyDescent="0.25">
      <c r="I2906" s="3"/>
      <c r="J2906" s="3"/>
      <c r="K2906" s="3"/>
      <c r="L2906" s="3"/>
    </row>
    <row r="2907" spans="9:12" x14ac:dyDescent="0.25">
      <c r="I2907" s="3"/>
      <c r="J2907" s="3"/>
      <c r="K2907" s="3"/>
      <c r="L2907" s="3"/>
    </row>
    <row r="2908" spans="9:12" x14ac:dyDescent="0.25">
      <c r="I2908" s="3"/>
      <c r="J2908" s="3"/>
      <c r="K2908" s="3"/>
      <c r="L2908" s="3"/>
    </row>
    <row r="2909" spans="9:12" x14ac:dyDescent="0.25">
      <c r="I2909" s="3"/>
      <c r="J2909" s="3"/>
      <c r="K2909" s="3"/>
      <c r="L2909" s="3"/>
    </row>
    <row r="2910" spans="9:12" x14ac:dyDescent="0.25">
      <c r="I2910" s="3"/>
      <c r="J2910" s="3"/>
      <c r="K2910" s="3"/>
      <c r="L2910" s="3"/>
    </row>
    <row r="2911" spans="9:12" x14ac:dyDescent="0.25">
      <c r="I2911" s="3"/>
      <c r="J2911" s="3"/>
      <c r="K2911" s="3"/>
      <c r="L2911" s="3"/>
    </row>
    <row r="2912" spans="9:12" x14ac:dyDescent="0.25">
      <c r="I2912" s="3"/>
      <c r="J2912" s="3"/>
      <c r="K2912" s="3"/>
      <c r="L2912" s="3"/>
    </row>
    <row r="2913" spans="9:12" x14ac:dyDescent="0.25">
      <c r="I2913" s="3"/>
      <c r="J2913" s="3"/>
      <c r="K2913" s="3"/>
      <c r="L2913" s="3"/>
    </row>
    <row r="2914" spans="9:12" x14ac:dyDescent="0.25">
      <c r="I2914" s="3"/>
      <c r="J2914" s="3"/>
      <c r="K2914" s="3"/>
      <c r="L2914" s="3"/>
    </row>
    <row r="2915" spans="9:12" x14ac:dyDescent="0.25">
      <c r="I2915" s="3"/>
      <c r="J2915" s="3"/>
      <c r="K2915" s="3"/>
      <c r="L2915" s="3"/>
    </row>
    <row r="2916" spans="9:12" x14ac:dyDescent="0.25">
      <c r="I2916" s="3"/>
      <c r="J2916" s="3"/>
      <c r="K2916" s="3"/>
      <c r="L2916" s="3"/>
    </row>
    <row r="2917" spans="9:12" x14ac:dyDescent="0.25">
      <c r="I2917" s="3"/>
      <c r="J2917" s="3"/>
      <c r="K2917" s="3"/>
      <c r="L2917" s="3"/>
    </row>
    <row r="2918" spans="9:12" x14ac:dyDescent="0.25">
      <c r="I2918" s="3"/>
      <c r="J2918" s="3"/>
      <c r="K2918" s="3"/>
      <c r="L2918" s="3"/>
    </row>
    <row r="2919" spans="9:12" x14ac:dyDescent="0.25">
      <c r="I2919" s="3"/>
      <c r="J2919" s="3"/>
      <c r="K2919" s="3"/>
      <c r="L2919" s="3"/>
    </row>
    <row r="2920" spans="9:12" x14ac:dyDescent="0.25">
      <c r="I2920" s="3"/>
      <c r="J2920" s="3"/>
      <c r="K2920" s="3"/>
      <c r="L2920" s="3"/>
    </row>
    <row r="2921" spans="9:12" x14ac:dyDescent="0.25">
      <c r="I2921" s="3"/>
      <c r="J2921" s="3"/>
      <c r="K2921" s="3"/>
      <c r="L2921" s="3"/>
    </row>
    <row r="2922" spans="9:12" x14ac:dyDescent="0.25">
      <c r="I2922" s="3"/>
      <c r="J2922" s="3"/>
      <c r="K2922" s="3"/>
      <c r="L2922" s="3"/>
    </row>
    <row r="2923" spans="9:12" x14ac:dyDescent="0.25">
      <c r="I2923" s="3"/>
      <c r="J2923" s="3"/>
      <c r="K2923" s="3"/>
      <c r="L2923" s="3"/>
    </row>
    <row r="2924" spans="9:12" x14ac:dyDescent="0.25">
      <c r="I2924" s="3"/>
      <c r="J2924" s="3"/>
      <c r="K2924" s="3"/>
      <c r="L2924" s="3"/>
    </row>
    <row r="2925" spans="9:12" x14ac:dyDescent="0.25">
      <c r="I2925" s="3"/>
      <c r="J2925" s="3"/>
      <c r="K2925" s="3"/>
      <c r="L2925" s="3"/>
    </row>
    <row r="2926" spans="9:12" x14ac:dyDescent="0.25">
      <c r="I2926" s="3"/>
      <c r="J2926" s="3"/>
      <c r="K2926" s="3"/>
      <c r="L2926" s="3"/>
    </row>
    <row r="2927" spans="9:12" x14ac:dyDescent="0.25">
      <c r="I2927" s="3"/>
      <c r="J2927" s="3"/>
      <c r="K2927" s="3"/>
      <c r="L2927" s="3"/>
    </row>
    <row r="2928" spans="9:12" x14ac:dyDescent="0.25">
      <c r="I2928" s="3"/>
      <c r="J2928" s="3"/>
      <c r="K2928" s="3"/>
      <c r="L2928" s="3"/>
    </row>
    <row r="2929" spans="9:12" x14ac:dyDescent="0.25">
      <c r="I2929" s="3"/>
      <c r="J2929" s="3"/>
      <c r="K2929" s="3"/>
      <c r="L2929" s="3"/>
    </row>
    <row r="2930" spans="9:12" x14ac:dyDescent="0.25">
      <c r="I2930" s="3"/>
      <c r="J2930" s="3"/>
      <c r="K2930" s="3"/>
      <c r="L2930" s="3"/>
    </row>
    <row r="2931" spans="9:12" x14ac:dyDescent="0.25">
      <c r="I2931" s="3"/>
      <c r="J2931" s="3"/>
      <c r="K2931" s="3"/>
      <c r="L2931" s="3"/>
    </row>
    <row r="2932" spans="9:12" x14ac:dyDescent="0.25">
      <c r="I2932" s="3"/>
      <c r="J2932" s="3"/>
      <c r="K2932" s="3"/>
      <c r="L2932" s="3"/>
    </row>
    <row r="2933" spans="9:12" x14ac:dyDescent="0.25">
      <c r="I2933" s="3"/>
      <c r="J2933" s="3"/>
      <c r="K2933" s="3"/>
      <c r="L2933" s="3"/>
    </row>
    <row r="2934" spans="9:12" x14ac:dyDescent="0.25">
      <c r="I2934" s="3"/>
      <c r="J2934" s="3"/>
      <c r="K2934" s="3"/>
      <c r="L2934" s="3"/>
    </row>
    <row r="2935" spans="9:12" x14ac:dyDescent="0.25">
      <c r="I2935" s="3"/>
      <c r="J2935" s="3"/>
      <c r="K2935" s="3"/>
      <c r="L2935" s="3"/>
    </row>
    <row r="2936" spans="9:12" x14ac:dyDescent="0.25">
      <c r="I2936" s="3"/>
      <c r="J2936" s="3"/>
      <c r="K2936" s="3"/>
      <c r="L2936" s="3"/>
    </row>
    <row r="2937" spans="9:12" x14ac:dyDescent="0.25">
      <c r="I2937" s="3"/>
      <c r="J2937" s="3"/>
      <c r="K2937" s="3"/>
      <c r="L2937" s="3"/>
    </row>
    <row r="2938" spans="9:12" x14ac:dyDescent="0.25">
      <c r="I2938" s="3"/>
      <c r="J2938" s="3"/>
      <c r="K2938" s="3"/>
      <c r="L2938" s="3"/>
    </row>
    <row r="2939" spans="9:12" x14ac:dyDescent="0.25">
      <c r="I2939" s="3"/>
      <c r="J2939" s="3"/>
      <c r="K2939" s="3"/>
      <c r="L2939" s="3"/>
    </row>
    <row r="2940" spans="9:12" x14ac:dyDescent="0.25">
      <c r="I2940" s="3"/>
      <c r="J2940" s="3"/>
      <c r="K2940" s="3"/>
      <c r="L2940" s="3"/>
    </row>
    <row r="2941" spans="9:12" x14ac:dyDescent="0.25">
      <c r="I2941" s="3"/>
      <c r="J2941" s="3"/>
      <c r="K2941" s="3"/>
      <c r="L2941" s="3"/>
    </row>
    <row r="2942" spans="9:12" x14ac:dyDescent="0.25">
      <c r="I2942" s="3"/>
      <c r="J2942" s="3"/>
      <c r="K2942" s="3"/>
      <c r="L2942" s="3"/>
    </row>
    <row r="2943" spans="9:12" x14ac:dyDescent="0.25">
      <c r="I2943" s="4"/>
      <c r="J2943" s="4"/>
      <c r="K2943" s="4"/>
      <c r="L2943" s="4"/>
    </row>
    <row r="2944" spans="9:12" x14ac:dyDescent="0.25">
      <c r="I2944" s="4"/>
      <c r="J2944" s="4"/>
      <c r="K2944" s="4"/>
      <c r="L2944" s="4"/>
    </row>
    <row r="2945" spans="9:12" x14ac:dyDescent="0.25">
      <c r="I2945" s="4"/>
      <c r="J2945" s="4"/>
      <c r="K2945" s="4"/>
      <c r="L2945" s="4"/>
    </row>
    <row r="2946" spans="9:12" x14ac:dyDescent="0.25">
      <c r="I2946" s="3"/>
      <c r="J2946" s="3"/>
      <c r="K2946" s="3"/>
      <c r="L2946" s="3"/>
    </row>
    <row r="2947" spans="9:12" x14ac:dyDescent="0.25">
      <c r="I2947" s="3"/>
      <c r="J2947" s="3"/>
      <c r="K2947" s="3"/>
      <c r="L2947" s="3"/>
    </row>
    <row r="2948" spans="9:12" x14ac:dyDescent="0.25">
      <c r="I2948" s="3"/>
      <c r="J2948" s="3"/>
      <c r="K2948" s="3"/>
      <c r="L2948" s="3"/>
    </row>
    <row r="2949" spans="9:12" x14ac:dyDescent="0.25">
      <c r="I2949" s="3"/>
      <c r="J2949" s="3"/>
      <c r="K2949" s="3"/>
      <c r="L2949" s="3"/>
    </row>
    <row r="2950" spans="9:12" x14ac:dyDescent="0.25">
      <c r="I2950" s="3"/>
      <c r="J2950" s="3"/>
      <c r="K2950" s="3"/>
      <c r="L2950" s="3"/>
    </row>
    <row r="2951" spans="9:12" x14ac:dyDescent="0.25">
      <c r="I2951" s="3"/>
      <c r="J2951" s="3"/>
      <c r="K2951" s="3"/>
      <c r="L2951" s="3"/>
    </row>
    <row r="2952" spans="9:12" x14ac:dyDescent="0.25">
      <c r="I2952" s="3"/>
      <c r="J2952" s="3"/>
      <c r="K2952" s="3"/>
      <c r="L2952" s="3"/>
    </row>
    <row r="2953" spans="9:12" x14ac:dyDescent="0.25">
      <c r="I2953" s="3"/>
      <c r="J2953" s="3"/>
      <c r="K2953" s="3"/>
      <c r="L2953" s="3"/>
    </row>
    <row r="2954" spans="9:12" x14ac:dyDescent="0.25">
      <c r="I2954" s="3"/>
      <c r="J2954" s="3"/>
      <c r="K2954" s="3"/>
      <c r="L2954" s="3"/>
    </row>
    <row r="2955" spans="9:12" x14ac:dyDescent="0.25">
      <c r="I2955" s="3"/>
      <c r="J2955" s="3"/>
      <c r="K2955" s="3"/>
      <c r="L2955" s="3"/>
    </row>
    <row r="2956" spans="9:12" x14ac:dyDescent="0.25">
      <c r="I2956" s="3"/>
      <c r="J2956" s="3"/>
      <c r="K2956" s="3"/>
      <c r="L2956" s="3"/>
    </row>
    <row r="2957" spans="9:12" x14ac:dyDescent="0.25">
      <c r="I2957" s="3"/>
      <c r="J2957" s="3"/>
      <c r="K2957" s="3"/>
      <c r="L2957" s="3"/>
    </row>
    <row r="2958" spans="9:12" x14ac:dyDescent="0.25">
      <c r="I2958" s="3"/>
      <c r="J2958" s="3"/>
      <c r="K2958" s="3"/>
      <c r="L2958" s="3"/>
    </row>
    <row r="2959" spans="9:12" x14ac:dyDescent="0.25">
      <c r="I2959" s="3"/>
      <c r="J2959" s="3"/>
      <c r="K2959" s="3"/>
      <c r="L2959" s="3"/>
    </row>
    <row r="2960" spans="9:12" x14ac:dyDescent="0.25">
      <c r="I2960" s="3"/>
      <c r="J2960" s="3"/>
      <c r="K2960" s="3"/>
      <c r="L2960" s="3"/>
    </row>
    <row r="2961" spans="9:12" x14ac:dyDescent="0.25">
      <c r="I2961" s="3"/>
      <c r="J2961" s="3"/>
      <c r="K2961" s="3"/>
      <c r="L2961" s="3"/>
    </row>
    <row r="2962" spans="9:12" x14ac:dyDescent="0.25">
      <c r="I2962" s="3"/>
      <c r="J2962" s="3"/>
      <c r="K2962" s="3"/>
      <c r="L2962" s="3"/>
    </row>
    <row r="2963" spans="9:12" x14ac:dyDescent="0.25">
      <c r="I2963" s="3"/>
      <c r="J2963" s="3"/>
      <c r="K2963" s="3"/>
      <c r="L2963" s="3"/>
    </row>
    <row r="2964" spans="9:12" x14ac:dyDescent="0.25">
      <c r="I2964" s="3"/>
      <c r="J2964" s="3"/>
      <c r="K2964" s="3"/>
      <c r="L2964" s="3"/>
    </row>
    <row r="2965" spans="9:12" x14ac:dyDescent="0.25">
      <c r="I2965" s="3"/>
      <c r="J2965" s="3"/>
      <c r="K2965" s="3"/>
      <c r="L2965" s="3"/>
    </row>
    <row r="2966" spans="9:12" x14ac:dyDescent="0.25">
      <c r="I2966" s="3"/>
      <c r="J2966" s="3"/>
      <c r="K2966" s="3"/>
      <c r="L2966" s="3"/>
    </row>
    <row r="2967" spans="9:12" x14ac:dyDescent="0.25">
      <c r="I2967" s="3"/>
      <c r="J2967" s="3"/>
      <c r="K2967" s="3"/>
      <c r="L2967" s="3"/>
    </row>
    <row r="2968" spans="9:12" x14ac:dyDescent="0.25">
      <c r="I2968" s="3"/>
      <c r="J2968" s="3"/>
      <c r="K2968" s="3"/>
      <c r="L2968" s="3"/>
    </row>
    <row r="2969" spans="9:12" x14ac:dyDescent="0.25">
      <c r="I2969" s="3"/>
      <c r="J2969" s="3"/>
      <c r="K2969" s="3"/>
      <c r="L2969" s="3"/>
    </row>
    <row r="2970" spans="9:12" x14ac:dyDescent="0.25">
      <c r="I2970" s="3"/>
      <c r="J2970" s="3"/>
      <c r="K2970" s="3"/>
      <c r="L2970" s="3"/>
    </row>
    <row r="2971" spans="9:12" x14ac:dyDescent="0.25">
      <c r="I2971" s="3"/>
      <c r="J2971" s="3"/>
      <c r="K2971" s="3"/>
      <c r="L2971" s="3"/>
    </row>
    <row r="2972" spans="9:12" x14ac:dyDescent="0.25">
      <c r="I2972" s="3"/>
      <c r="J2972" s="3"/>
      <c r="K2972" s="3"/>
      <c r="L2972" s="3"/>
    </row>
    <row r="2973" spans="9:12" x14ac:dyDescent="0.25">
      <c r="I2973" s="3"/>
      <c r="J2973" s="3"/>
      <c r="K2973" s="3"/>
      <c r="L2973" s="3"/>
    </row>
    <row r="2974" spans="9:12" x14ac:dyDescent="0.25">
      <c r="I2974" s="3"/>
      <c r="J2974" s="3"/>
      <c r="K2974" s="3"/>
      <c r="L2974" s="3"/>
    </row>
    <row r="2975" spans="9:12" x14ac:dyDescent="0.25">
      <c r="I2975" s="3"/>
      <c r="J2975" s="3"/>
      <c r="K2975" s="3"/>
      <c r="L2975" s="3"/>
    </row>
    <row r="2976" spans="9:12" x14ac:dyDescent="0.25">
      <c r="I2976" s="3"/>
      <c r="J2976" s="3"/>
      <c r="K2976" s="3"/>
      <c r="L2976" s="3"/>
    </row>
    <row r="2977" spans="9:12" x14ac:dyDescent="0.25">
      <c r="I2977" s="3"/>
      <c r="J2977" s="3"/>
      <c r="K2977" s="3"/>
      <c r="L2977" s="3"/>
    </row>
    <row r="2978" spans="9:12" x14ac:dyDescent="0.25">
      <c r="I2978" s="3"/>
      <c r="J2978" s="3"/>
      <c r="K2978" s="3"/>
      <c r="L2978" s="3"/>
    </row>
    <row r="2979" spans="9:12" x14ac:dyDescent="0.25">
      <c r="I2979" s="3"/>
      <c r="J2979" s="3"/>
      <c r="K2979" s="3"/>
      <c r="L2979" s="3"/>
    </row>
    <row r="2980" spans="9:12" x14ac:dyDescent="0.25">
      <c r="I2980" s="3"/>
      <c r="J2980" s="3"/>
      <c r="K2980" s="3"/>
      <c r="L2980" s="3"/>
    </row>
    <row r="2981" spans="9:12" x14ac:dyDescent="0.25">
      <c r="I2981" s="3"/>
      <c r="J2981" s="3"/>
      <c r="K2981" s="3"/>
      <c r="L2981" s="3"/>
    </row>
    <row r="2982" spans="9:12" x14ac:dyDescent="0.25">
      <c r="I2982" s="3"/>
      <c r="J2982" s="3"/>
      <c r="K2982" s="3"/>
      <c r="L2982" s="3"/>
    </row>
    <row r="2983" spans="9:12" x14ac:dyDescent="0.25">
      <c r="I2983" s="3"/>
      <c r="J2983" s="3"/>
      <c r="K2983" s="3"/>
      <c r="L2983" s="3"/>
    </row>
    <row r="2984" spans="9:12" x14ac:dyDescent="0.25">
      <c r="I2984" s="3"/>
      <c r="J2984" s="3"/>
      <c r="K2984" s="3"/>
      <c r="L2984" s="3"/>
    </row>
    <row r="2985" spans="9:12" x14ac:dyDescent="0.25">
      <c r="I2985" s="3"/>
      <c r="J2985" s="3"/>
      <c r="K2985" s="3"/>
      <c r="L2985" s="3"/>
    </row>
    <row r="2986" spans="9:12" x14ac:dyDescent="0.25">
      <c r="I2986" s="3"/>
      <c r="J2986" s="3"/>
      <c r="K2986" s="3"/>
      <c r="L2986" s="3"/>
    </row>
    <row r="2987" spans="9:12" x14ac:dyDescent="0.25">
      <c r="I2987" s="3"/>
      <c r="J2987" s="3"/>
      <c r="K2987" s="3"/>
      <c r="L2987" s="3"/>
    </row>
    <row r="2988" spans="9:12" x14ac:dyDescent="0.25">
      <c r="I2988" s="3"/>
      <c r="J2988" s="3"/>
      <c r="K2988" s="3"/>
      <c r="L2988" s="3"/>
    </row>
    <row r="2989" spans="9:12" x14ac:dyDescent="0.25">
      <c r="I2989" s="3"/>
      <c r="J2989" s="3"/>
      <c r="K2989" s="3"/>
      <c r="L2989" s="3"/>
    </row>
    <row r="2990" spans="9:12" x14ac:dyDescent="0.25">
      <c r="I2990" s="3"/>
      <c r="J2990" s="3"/>
      <c r="K2990" s="3"/>
      <c r="L2990" s="3"/>
    </row>
    <row r="2991" spans="9:12" x14ac:dyDescent="0.25">
      <c r="I2991" s="3"/>
      <c r="J2991" s="3"/>
      <c r="K2991" s="3"/>
      <c r="L2991" s="3"/>
    </row>
    <row r="2992" spans="9:12" x14ac:dyDescent="0.25">
      <c r="I2992" s="3"/>
      <c r="J2992" s="3"/>
      <c r="K2992" s="3"/>
      <c r="L2992" s="3"/>
    </row>
    <row r="2993" spans="9:12" x14ac:dyDescent="0.25">
      <c r="I2993" s="3"/>
      <c r="J2993" s="3"/>
      <c r="K2993" s="3"/>
      <c r="L2993" s="3"/>
    </row>
    <row r="2994" spans="9:12" x14ac:dyDescent="0.25">
      <c r="I2994" s="3"/>
      <c r="J2994" s="3"/>
      <c r="K2994" s="3"/>
      <c r="L2994" s="3"/>
    </row>
    <row r="2995" spans="9:12" x14ac:dyDescent="0.25">
      <c r="I2995" s="3"/>
      <c r="J2995" s="3"/>
      <c r="K2995" s="3"/>
      <c r="L2995" s="3"/>
    </row>
    <row r="2996" spans="9:12" x14ac:dyDescent="0.25">
      <c r="I2996" s="3"/>
      <c r="J2996" s="3"/>
      <c r="K2996" s="3"/>
      <c r="L2996" s="3"/>
    </row>
    <row r="2997" spans="9:12" x14ac:dyDescent="0.25">
      <c r="I2997" s="3"/>
      <c r="J2997" s="3"/>
      <c r="K2997" s="3"/>
      <c r="L2997" s="3"/>
    </row>
    <row r="2998" spans="9:12" x14ac:dyDescent="0.25">
      <c r="I2998" s="3"/>
      <c r="J2998" s="3"/>
      <c r="K2998" s="3"/>
      <c r="L2998" s="3"/>
    </row>
    <row r="2999" spans="9:12" x14ac:dyDescent="0.25">
      <c r="I2999" s="3"/>
      <c r="J2999" s="3"/>
      <c r="K2999" s="3"/>
      <c r="L2999" s="3"/>
    </row>
    <row r="3000" spans="9:12" x14ac:dyDescent="0.25">
      <c r="I3000" s="3"/>
      <c r="J3000" s="3"/>
      <c r="K3000" s="3"/>
      <c r="L3000" s="3"/>
    </row>
    <row r="3001" spans="9:12" x14ac:dyDescent="0.25">
      <c r="I3001" s="3"/>
      <c r="J3001" s="3"/>
      <c r="K3001" s="3"/>
      <c r="L3001" s="3"/>
    </row>
    <row r="3002" spans="9:12" x14ac:dyDescent="0.25">
      <c r="I3002" s="3"/>
      <c r="J3002" s="3"/>
      <c r="K3002" s="3"/>
      <c r="L3002" s="3"/>
    </row>
    <row r="3003" spans="9:12" x14ac:dyDescent="0.25">
      <c r="I3003" s="3"/>
      <c r="J3003" s="3"/>
      <c r="K3003" s="3"/>
      <c r="L3003" s="3"/>
    </row>
    <row r="3004" spans="9:12" x14ac:dyDescent="0.25">
      <c r="I3004" s="3"/>
      <c r="J3004" s="3"/>
      <c r="K3004" s="3"/>
      <c r="L3004" s="3"/>
    </row>
    <row r="3005" spans="9:12" x14ac:dyDescent="0.25">
      <c r="I3005" s="3"/>
      <c r="J3005" s="3"/>
      <c r="K3005" s="3"/>
      <c r="L3005" s="3"/>
    </row>
    <row r="3006" spans="9:12" x14ac:dyDescent="0.25">
      <c r="I3006" s="3"/>
      <c r="J3006" s="3"/>
      <c r="K3006" s="3"/>
      <c r="L3006" s="3"/>
    </row>
    <row r="3007" spans="9:12" x14ac:dyDescent="0.25">
      <c r="I3007" s="3"/>
      <c r="J3007" s="3"/>
      <c r="K3007" s="3"/>
      <c r="L3007" s="3"/>
    </row>
    <row r="3008" spans="9:12" x14ac:dyDescent="0.25">
      <c r="I3008" s="3"/>
      <c r="J3008" s="3"/>
      <c r="K3008" s="3"/>
      <c r="L3008" s="3"/>
    </row>
    <row r="3009" spans="9:12" x14ac:dyDescent="0.25">
      <c r="I3009" s="3"/>
      <c r="J3009" s="3"/>
      <c r="K3009" s="3"/>
      <c r="L3009" s="3"/>
    </row>
    <row r="3010" spans="9:12" x14ac:dyDescent="0.25">
      <c r="I3010" s="3"/>
      <c r="J3010" s="3"/>
      <c r="K3010" s="3"/>
      <c r="L3010" s="3"/>
    </row>
    <row r="3011" spans="9:12" x14ac:dyDescent="0.25">
      <c r="I3011" s="3"/>
      <c r="J3011" s="3"/>
      <c r="K3011" s="3"/>
      <c r="L3011" s="3"/>
    </row>
    <row r="3012" spans="9:12" x14ac:dyDescent="0.25">
      <c r="I3012" s="3"/>
      <c r="J3012" s="3"/>
      <c r="K3012" s="3"/>
      <c r="L3012" s="3"/>
    </row>
    <row r="3013" spans="9:12" x14ac:dyDescent="0.25">
      <c r="I3013" s="3"/>
      <c r="J3013" s="3"/>
      <c r="K3013" s="3"/>
      <c r="L3013" s="3"/>
    </row>
    <row r="3014" spans="9:12" x14ac:dyDescent="0.25">
      <c r="I3014" s="3"/>
      <c r="J3014" s="3"/>
      <c r="K3014" s="3"/>
      <c r="L3014" s="3"/>
    </row>
    <row r="3015" spans="9:12" x14ac:dyDescent="0.25">
      <c r="I3015" s="3"/>
      <c r="J3015" s="3"/>
      <c r="K3015" s="3"/>
      <c r="L3015" s="3"/>
    </row>
    <row r="3016" spans="9:12" x14ac:dyDescent="0.25">
      <c r="I3016" s="3"/>
      <c r="J3016" s="3"/>
      <c r="K3016" s="3"/>
      <c r="L3016" s="3"/>
    </row>
    <row r="3017" spans="9:12" x14ac:dyDescent="0.25">
      <c r="I3017" s="3"/>
      <c r="J3017" s="3"/>
      <c r="K3017" s="3"/>
      <c r="L3017" s="3"/>
    </row>
    <row r="3018" spans="9:12" x14ac:dyDescent="0.25">
      <c r="I3018" s="3"/>
      <c r="J3018" s="3"/>
      <c r="K3018" s="3"/>
      <c r="L3018" s="3"/>
    </row>
    <row r="3019" spans="9:12" x14ac:dyDescent="0.25">
      <c r="I3019" s="3"/>
      <c r="J3019" s="3"/>
      <c r="K3019" s="3"/>
      <c r="L3019" s="3"/>
    </row>
    <row r="3020" spans="9:12" x14ac:dyDescent="0.25">
      <c r="I3020" s="3"/>
      <c r="J3020" s="3"/>
      <c r="K3020" s="3"/>
      <c r="L3020" s="3"/>
    </row>
    <row r="3021" spans="9:12" x14ac:dyDescent="0.25">
      <c r="I3021" s="3"/>
      <c r="J3021" s="3"/>
      <c r="K3021" s="3"/>
      <c r="L3021" s="3"/>
    </row>
    <row r="3022" spans="9:12" x14ac:dyDescent="0.25">
      <c r="I3022" s="3"/>
      <c r="J3022" s="3"/>
      <c r="K3022" s="3"/>
      <c r="L3022" s="3"/>
    </row>
    <row r="3023" spans="9:12" x14ac:dyDescent="0.25">
      <c r="I3023" s="3"/>
      <c r="J3023" s="3"/>
      <c r="K3023" s="3"/>
      <c r="L3023" s="3"/>
    </row>
    <row r="3024" spans="9:12" x14ac:dyDescent="0.25">
      <c r="I3024" s="3"/>
      <c r="J3024" s="3"/>
      <c r="K3024" s="3"/>
      <c r="L3024" s="3"/>
    </row>
    <row r="3025" spans="9:12" x14ac:dyDescent="0.25">
      <c r="I3025" s="3"/>
      <c r="J3025" s="3"/>
      <c r="K3025" s="3"/>
      <c r="L3025" s="3"/>
    </row>
    <row r="3026" spans="9:12" x14ac:dyDescent="0.25">
      <c r="I3026" s="3"/>
      <c r="J3026" s="3"/>
      <c r="K3026" s="3"/>
      <c r="L3026" s="3"/>
    </row>
    <row r="3027" spans="9:12" x14ac:dyDescent="0.25">
      <c r="I3027" s="3"/>
      <c r="J3027" s="3"/>
      <c r="K3027" s="3"/>
      <c r="L3027" s="3"/>
    </row>
    <row r="3028" spans="9:12" x14ac:dyDescent="0.25">
      <c r="I3028" s="3"/>
      <c r="J3028" s="3"/>
      <c r="K3028" s="3"/>
      <c r="L3028" s="3"/>
    </row>
    <row r="3029" spans="9:12" x14ac:dyDescent="0.25">
      <c r="I3029" s="3"/>
      <c r="J3029" s="3"/>
      <c r="K3029" s="3"/>
      <c r="L3029" s="3"/>
    </row>
    <row r="3030" spans="9:12" x14ac:dyDescent="0.25">
      <c r="I3030" s="3"/>
      <c r="J3030" s="3"/>
      <c r="K3030" s="3"/>
      <c r="L3030" s="3"/>
    </row>
    <row r="3031" spans="9:12" x14ac:dyDescent="0.25">
      <c r="I3031" s="3"/>
      <c r="J3031" s="3"/>
      <c r="K3031" s="3"/>
      <c r="L3031" s="3"/>
    </row>
    <row r="3032" spans="9:12" x14ac:dyDescent="0.25">
      <c r="I3032" s="3"/>
      <c r="J3032" s="3"/>
      <c r="K3032" s="3"/>
      <c r="L3032" s="3"/>
    </row>
    <row r="3033" spans="9:12" x14ac:dyDescent="0.25">
      <c r="I3033" s="3"/>
      <c r="J3033" s="3"/>
      <c r="K3033" s="3"/>
      <c r="L3033" s="3"/>
    </row>
    <row r="3034" spans="9:12" x14ac:dyDescent="0.25">
      <c r="I3034" s="3"/>
      <c r="J3034" s="3"/>
      <c r="K3034" s="3"/>
      <c r="L3034" s="3"/>
    </row>
    <row r="3035" spans="9:12" x14ac:dyDescent="0.25">
      <c r="I3035" s="3"/>
      <c r="J3035" s="3"/>
      <c r="K3035" s="3"/>
      <c r="L3035" s="3"/>
    </row>
    <row r="3036" spans="9:12" x14ac:dyDescent="0.25">
      <c r="I3036" s="3"/>
      <c r="J3036" s="3"/>
      <c r="K3036" s="3"/>
      <c r="L3036" s="3"/>
    </row>
    <row r="3037" spans="9:12" x14ac:dyDescent="0.25">
      <c r="I3037" s="3"/>
      <c r="J3037" s="3"/>
      <c r="K3037" s="3"/>
      <c r="L3037" s="3"/>
    </row>
    <row r="3038" spans="9:12" x14ac:dyDescent="0.25">
      <c r="I3038" s="3"/>
      <c r="J3038" s="3"/>
      <c r="K3038" s="3"/>
      <c r="L3038" s="3"/>
    </row>
    <row r="3039" spans="9:12" x14ac:dyDescent="0.25">
      <c r="I3039" s="3"/>
      <c r="J3039" s="3"/>
      <c r="K3039" s="3"/>
      <c r="L3039" s="3"/>
    </row>
    <row r="3040" spans="9:12" x14ac:dyDescent="0.25">
      <c r="I3040" s="3"/>
      <c r="J3040" s="3"/>
      <c r="K3040" s="3"/>
      <c r="L3040" s="3"/>
    </row>
    <row r="3041" spans="9:12" x14ac:dyDescent="0.25">
      <c r="I3041" s="3"/>
      <c r="J3041" s="3"/>
      <c r="K3041" s="3"/>
      <c r="L3041" s="3"/>
    </row>
    <row r="3042" spans="9:12" x14ac:dyDescent="0.25">
      <c r="I3042" s="3"/>
      <c r="J3042" s="3"/>
      <c r="K3042" s="3"/>
      <c r="L3042" s="3"/>
    </row>
    <row r="3043" spans="9:12" x14ac:dyDescent="0.25">
      <c r="I3043" s="3"/>
      <c r="J3043" s="3"/>
      <c r="K3043" s="3"/>
      <c r="L3043" s="3"/>
    </row>
    <row r="3044" spans="9:12" x14ac:dyDescent="0.25">
      <c r="I3044" s="3"/>
      <c r="J3044" s="3"/>
      <c r="K3044" s="3"/>
      <c r="L3044" s="3"/>
    </row>
    <row r="3045" spans="9:12" x14ac:dyDescent="0.25">
      <c r="I3045" s="3"/>
      <c r="J3045" s="3"/>
      <c r="K3045" s="3"/>
      <c r="L3045" s="3"/>
    </row>
    <row r="3046" spans="9:12" x14ac:dyDescent="0.25">
      <c r="I3046" s="3"/>
      <c r="J3046" s="3"/>
      <c r="K3046" s="3"/>
      <c r="L3046" s="3"/>
    </row>
    <row r="3047" spans="9:12" x14ac:dyDescent="0.25">
      <c r="I3047" s="3"/>
      <c r="J3047" s="3"/>
      <c r="K3047" s="3"/>
      <c r="L3047" s="3"/>
    </row>
    <row r="3048" spans="9:12" x14ac:dyDescent="0.25">
      <c r="I3048" s="3"/>
      <c r="J3048" s="3"/>
      <c r="K3048" s="3"/>
      <c r="L3048" s="3"/>
    </row>
    <row r="3049" spans="9:12" x14ac:dyDescent="0.25">
      <c r="I3049" s="3"/>
      <c r="J3049" s="3"/>
      <c r="K3049" s="3"/>
      <c r="L3049" s="3"/>
    </row>
    <row r="3050" spans="9:12" x14ac:dyDescent="0.25">
      <c r="I3050" s="3"/>
      <c r="J3050" s="3"/>
      <c r="K3050" s="3"/>
      <c r="L3050" s="3"/>
    </row>
    <row r="3051" spans="9:12" x14ac:dyDescent="0.25">
      <c r="I3051" s="3"/>
      <c r="J3051" s="3"/>
      <c r="K3051" s="3"/>
      <c r="L3051" s="3"/>
    </row>
    <row r="3052" spans="9:12" x14ac:dyDescent="0.25">
      <c r="I3052" s="3"/>
      <c r="J3052" s="3"/>
      <c r="K3052" s="3"/>
      <c r="L3052" s="3"/>
    </row>
    <row r="3053" spans="9:12" x14ac:dyDescent="0.25">
      <c r="I3053" s="3"/>
      <c r="J3053" s="3"/>
      <c r="K3053" s="3"/>
      <c r="L3053" s="3"/>
    </row>
    <row r="3054" spans="9:12" x14ac:dyDescent="0.25">
      <c r="I3054" s="3"/>
      <c r="J3054" s="3"/>
      <c r="K3054" s="3"/>
      <c r="L3054" s="3"/>
    </row>
    <row r="3055" spans="9:12" x14ac:dyDescent="0.25">
      <c r="I3055" s="3"/>
      <c r="J3055" s="3"/>
      <c r="K3055" s="3"/>
      <c r="L3055" s="3"/>
    </row>
    <row r="3056" spans="9:12" x14ac:dyDescent="0.25">
      <c r="I3056" s="3"/>
      <c r="J3056" s="3"/>
      <c r="K3056" s="3"/>
      <c r="L3056" s="3"/>
    </row>
    <row r="3057" spans="9:12" x14ac:dyDescent="0.25">
      <c r="I3057" s="3"/>
      <c r="J3057" s="3"/>
      <c r="K3057" s="3"/>
      <c r="L3057" s="3"/>
    </row>
    <row r="3058" spans="9:12" x14ac:dyDescent="0.25">
      <c r="I3058" s="3"/>
      <c r="J3058" s="3"/>
      <c r="K3058" s="3"/>
      <c r="L3058" s="3"/>
    </row>
    <row r="3059" spans="9:12" x14ac:dyDescent="0.25">
      <c r="I3059" s="3"/>
      <c r="J3059" s="3"/>
      <c r="K3059" s="3"/>
      <c r="L3059" s="3"/>
    </row>
    <row r="3060" spans="9:12" x14ac:dyDescent="0.25">
      <c r="I3060" s="3"/>
      <c r="J3060" s="3"/>
      <c r="K3060" s="3"/>
      <c r="L3060" s="3"/>
    </row>
    <row r="3061" spans="9:12" x14ac:dyDescent="0.25">
      <c r="I3061" s="3"/>
      <c r="J3061" s="3"/>
      <c r="K3061" s="3"/>
      <c r="L3061" s="3"/>
    </row>
    <row r="3062" spans="9:12" x14ac:dyDescent="0.25">
      <c r="I3062" s="3"/>
      <c r="J3062" s="3"/>
      <c r="K3062" s="3"/>
      <c r="L3062" s="3"/>
    </row>
    <row r="3063" spans="9:12" x14ac:dyDescent="0.25">
      <c r="I3063" s="3"/>
      <c r="J3063" s="3"/>
      <c r="K3063" s="3"/>
      <c r="L3063" s="3"/>
    </row>
    <row r="3064" spans="9:12" x14ac:dyDescent="0.25">
      <c r="I3064" s="3"/>
      <c r="J3064" s="3"/>
      <c r="K3064" s="3"/>
      <c r="L3064" s="3"/>
    </row>
    <row r="3065" spans="9:12" x14ac:dyDescent="0.25">
      <c r="I3065" s="3"/>
      <c r="J3065" s="3"/>
      <c r="K3065" s="3"/>
      <c r="L3065" s="3"/>
    </row>
    <row r="3066" spans="9:12" x14ac:dyDescent="0.25">
      <c r="I3066" s="3"/>
      <c r="J3066" s="3"/>
      <c r="K3066" s="3"/>
      <c r="L3066" s="3"/>
    </row>
    <row r="3067" spans="9:12" x14ac:dyDescent="0.25">
      <c r="I3067" s="3"/>
      <c r="J3067" s="3"/>
      <c r="K3067" s="3"/>
      <c r="L3067" s="3"/>
    </row>
    <row r="3068" spans="9:12" x14ac:dyDescent="0.25">
      <c r="I3068" s="3"/>
      <c r="J3068" s="3"/>
      <c r="K3068" s="3"/>
      <c r="L3068" s="3"/>
    </row>
    <row r="3069" spans="9:12" x14ac:dyDescent="0.25">
      <c r="I3069" s="3"/>
      <c r="J3069" s="3"/>
      <c r="K3069" s="3"/>
      <c r="L3069" s="3"/>
    </row>
    <row r="3070" spans="9:12" x14ac:dyDescent="0.25">
      <c r="I3070" s="3"/>
      <c r="J3070" s="3"/>
      <c r="K3070" s="3"/>
      <c r="L3070" s="3"/>
    </row>
    <row r="3071" spans="9:12" x14ac:dyDescent="0.25">
      <c r="I3071" s="3"/>
      <c r="J3071" s="3"/>
      <c r="K3071" s="3"/>
      <c r="L3071" s="3"/>
    </row>
    <row r="3072" spans="9:12" x14ac:dyDescent="0.25">
      <c r="I3072" s="3"/>
      <c r="J3072" s="3"/>
      <c r="K3072" s="3"/>
      <c r="L3072" s="3"/>
    </row>
    <row r="3073" spans="9:12" x14ac:dyDescent="0.25">
      <c r="I3073" s="3"/>
      <c r="J3073" s="3"/>
      <c r="K3073" s="3"/>
      <c r="L3073" s="3"/>
    </row>
    <row r="3074" spans="9:12" x14ac:dyDescent="0.25">
      <c r="I3074" s="3"/>
      <c r="J3074" s="3"/>
      <c r="K3074" s="3"/>
      <c r="L3074" s="3"/>
    </row>
    <row r="3075" spans="9:12" x14ac:dyDescent="0.25">
      <c r="I3075" s="3"/>
      <c r="J3075" s="3"/>
      <c r="K3075" s="3"/>
      <c r="L3075" s="3"/>
    </row>
    <row r="3076" spans="9:12" x14ac:dyDescent="0.25">
      <c r="I3076" s="3"/>
      <c r="J3076" s="3"/>
      <c r="K3076" s="3"/>
      <c r="L3076" s="3"/>
    </row>
    <row r="3077" spans="9:12" x14ac:dyDescent="0.25">
      <c r="I3077" s="3"/>
      <c r="J3077" s="3"/>
      <c r="K3077" s="3"/>
      <c r="L3077" s="3"/>
    </row>
    <row r="3078" spans="9:12" x14ac:dyDescent="0.25">
      <c r="I3078" s="3"/>
      <c r="J3078" s="3"/>
      <c r="K3078" s="3"/>
      <c r="L3078" s="3"/>
    </row>
    <row r="3079" spans="9:12" x14ac:dyDescent="0.25">
      <c r="I3079" s="3"/>
      <c r="J3079" s="3"/>
      <c r="K3079" s="3"/>
      <c r="L3079" s="3"/>
    </row>
    <row r="3080" spans="9:12" x14ac:dyDescent="0.25">
      <c r="I3080" s="3"/>
      <c r="J3080" s="3"/>
      <c r="K3080" s="3"/>
      <c r="L3080" s="3"/>
    </row>
    <row r="3081" spans="9:12" x14ac:dyDescent="0.25">
      <c r="I3081" s="3"/>
      <c r="J3081" s="3"/>
      <c r="K3081" s="3"/>
      <c r="L3081" s="3"/>
    </row>
    <row r="3082" spans="9:12" x14ac:dyDescent="0.25">
      <c r="I3082" s="3"/>
      <c r="J3082" s="3"/>
      <c r="K3082" s="3"/>
      <c r="L3082" s="3"/>
    </row>
    <row r="3083" spans="9:12" x14ac:dyDescent="0.25">
      <c r="I3083" s="3"/>
      <c r="J3083" s="3"/>
      <c r="K3083" s="3"/>
      <c r="L3083" s="3"/>
    </row>
    <row r="3084" spans="9:12" x14ac:dyDescent="0.25">
      <c r="I3084" s="3"/>
      <c r="J3084" s="3"/>
      <c r="K3084" s="3"/>
      <c r="L3084" s="3"/>
    </row>
    <row r="3085" spans="9:12" x14ac:dyDescent="0.25">
      <c r="I3085" s="3"/>
      <c r="J3085" s="3"/>
      <c r="K3085" s="3"/>
      <c r="L3085" s="3"/>
    </row>
    <row r="3086" spans="9:12" x14ac:dyDescent="0.25">
      <c r="I3086" s="3"/>
      <c r="J3086" s="3"/>
      <c r="K3086" s="3"/>
      <c r="L3086" s="3"/>
    </row>
    <row r="3087" spans="9:12" x14ac:dyDescent="0.25">
      <c r="I3087" s="3"/>
      <c r="J3087" s="3"/>
      <c r="K3087" s="3"/>
      <c r="L3087" s="3"/>
    </row>
    <row r="3088" spans="9:12" x14ac:dyDescent="0.25">
      <c r="I3088" s="3"/>
      <c r="J3088" s="3"/>
      <c r="K3088" s="3"/>
      <c r="L3088" s="3"/>
    </row>
    <row r="3089" spans="9:12" x14ac:dyDescent="0.25">
      <c r="I3089" s="3"/>
      <c r="J3089" s="3"/>
      <c r="K3089" s="3"/>
      <c r="L3089" s="3"/>
    </row>
    <row r="3090" spans="9:12" x14ac:dyDescent="0.25">
      <c r="I3090" s="3"/>
      <c r="J3090" s="3"/>
      <c r="K3090" s="3"/>
      <c r="L3090" s="3"/>
    </row>
    <row r="3091" spans="9:12" x14ac:dyDescent="0.25">
      <c r="I3091" s="3"/>
      <c r="J3091" s="3"/>
      <c r="K3091" s="3"/>
      <c r="L3091" s="3"/>
    </row>
    <row r="3092" spans="9:12" x14ac:dyDescent="0.25">
      <c r="I3092" s="3"/>
      <c r="J3092" s="3"/>
      <c r="K3092" s="3"/>
      <c r="L3092" s="3"/>
    </row>
    <row r="3093" spans="9:12" x14ac:dyDescent="0.25">
      <c r="I3093" s="3"/>
      <c r="J3093" s="3"/>
      <c r="K3093" s="3"/>
      <c r="L3093" s="3"/>
    </row>
    <row r="3094" spans="9:12" x14ac:dyDescent="0.25">
      <c r="I3094" s="3"/>
      <c r="J3094" s="3"/>
      <c r="K3094" s="3"/>
      <c r="L3094" s="3"/>
    </row>
    <row r="3095" spans="9:12" x14ac:dyDescent="0.25">
      <c r="I3095" s="3"/>
      <c r="J3095" s="3"/>
      <c r="K3095" s="3"/>
      <c r="L3095" s="3"/>
    </row>
    <row r="3096" spans="9:12" x14ac:dyDescent="0.25">
      <c r="I3096" s="3"/>
      <c r="J3096" s="3"/>
      <c r="K3096" s="3"/>
      <c r="L3096" s="3"/>
    </row>
    <row r="3097" spans="9:12" x14ac:dyDescent="0.25">
      <c r="I3097" s="3"/>
      <c r="J3097" s="3"/>
      <c r="K3097" s="3"/>
      <c r="L3097" s="3"/>
    </row>
    <row r="3098" spans="9:12" x14ac:dyDescent="0.25">
      <c r="I3098" s="3"/>
      <c r="J3098" s="3"/>
      <c r="K3098" s="3"/>
      <c r="L3098" s="3"/>
    </row>
    <row r="3099" spans="9:12" x14ac:dyDescent="0.25">
      <c r="I3099" s="3"/>
      <c r="J3099" s="3"/>
      <c r="K3099" s="3"/>
      <c r="L3099" s="3"/>
    </row>
    <row r="3100" spans="9:12" x14ac:dyDescent="0.25">
      <c r="I3100" s="3"/>
      <c r="J3100" s="3"/>
      <c r="K3100" s="3"/>
      <c r="L3100" s="3"/>
    </row>
    <row r="3101" spans="9:12" x14ac:dyDescent="0.25">
      <c r="I3101" s="3"/>
      <c r="J3101" s="3"/>
      <c r="K3101" s="3"/>
      <c r="L3101" s="3"/>
    </row>
    <row r="3102" spans="9:12" x14ac:dyDescent="0.25">
      <c r="I3102" s="3"/>
      <c r="J3102" s="3"/>
      <c r="K3102" s="3"/>
      <c r="L3102" s="3"/>
    </row>
    <row r="3103" spans="9:12" x14ac:dyDescent="0.25">
      <c r="I3103" s="3"/>
      <c r="J3103" s="3"/>
      <c r="K3103" s="3"/>
      <c r="L3103" s="3"/>
    </row>
    <row r="3104" spans="9:12" x14ac:dyDescent="0.25">
      <c r="I3104" s="3"/>
      <c r="J3104" s="3"/>
      <c r="K3104" s="3"/>
      <c r="L3104" s="3"/>
    </row>
    <row r="3105" spans="9:12" x14ac:dyDescent="0.25">
      <c r="I3105" s="3"/>
      <c r="J3105" s="3"/>
      <c r="K3105" s="3"/>
      <c r="L3105" s="3"/>
    </row>
    <row r="3106" spans="9:12" x14ac:dyDescent="0.25">
      <c r="I3106" s="3"/>
      <c r="J3106" s="3"/>
      <c r="K3106" s="3"/>
      <c r="L3106" s="3"/>
    </row>
    <row r="3107" spans="9:12" x14ac:dyDescent="0.25">
      <c r="I3107" s="3"/>
      <c r="J3107" s="3"/>
      <c r="K3107" s="3"/>
      <c r="L3107" s="3"/>
    </row>
    <row r="3108" spans="9:12" x14ac:dyDescent="0.25">
      <c r="I3108" s="3"/>
      <c r="J3108" s="3"/>
      <c r="K3108" s="3"/>
      <c r="L3108" s="3"/>
    </row>
    <row r="3109" spans="9:12" x14ac:dyDescent="0.25">
      <c r="I3109" s="3"/>
      <c r="J3109" s="3"/>
      <c r="K3109" s="3"/>
      <c r="L3109" s="3"/>
    </row>
    <row r="3110" spans="9:12" x14ac:dyDescent="0.25">
      <c r="I3110" s="3"/>
      <c r="J3110" s="3"/>
      <c r="K3110" s="3"/>
      <c r="L3110" s="3"/>
    </row>
    <row r="3111" spans="9:12" x14ac:dyDescent="0.25">
      <c r="I3111" s="3"/>
      <c r="J3111" s="3"/>
      <c r="K3111" s="3"/>
      <c r="L3111" s="3"/>
    </row>
    <row r="3112" spans="9:12" x14ac:dyDescent="0.25">
      <c r="I3112" s="3"/>
      <c r="J3112" s="3"/>
      <c r="K3112" s="3"/>
      <c r="L3112" s="3"/>
    </row>
    <row r="3113" spans="9:12" x14ac:dyDescent="0.25">
      <c r="I3113" s="3"/>
      <c r="J3113" s="3"/>
      <c r="K3113" s="3"/>
      <c r="L3113" s="3"/>
    </row>
    <row r="3114" spans="9:12" x14ac:dyDescent="0.25">
      <c r="I3114" s="3"/>
      <c r="J3114" s="3"/>
      <c r="K3114" s="3"/>
      <c r="L3114" s="3"/>
    </row>
    <row r="3115" spans="9:12" x14ac:dyDescent="0.25">
      <c r="I3115" s="3"/>
      <c r="J3115" s="3"/>
      <c r="K3115" s="3"/>
      <c r="L3115" s="3"/>
    </row>
    <row r="3116" spans="9:12" x14ac:dyDescent="0.25">
      <c r="I3116" s="3"/>
      <c r="J3116" s="3"/>
      <c r="K3116" s="3"/>
      <c r="L3116" s="3"/>
    </row>
    <row r="3117" spans="9:12" x14ac:dyDescent="0.25">
      <c r="I3117" s="3"/>
      <c r="J3117" s="3"/>
      <c r="K3117" s="3"/>
      <c r="L3117" s="3"/>
    </row>
    <row r="3118" spans="9:12" x14ac:dyDescent="0.25">
      <c r="I3118" s="3"/>
      <c r="J3118" s="3"/>
      <c r="K3118" s="3"/>
      <c r="L3118" s="3"/>
    </row>
    <row r="3119" spans="9:12" x14ac:dyDescent="0.25">
      <c r="I3119" s="3"/>
      <c r="J3119" s="3"/>
      <c r="K3119" s="3"/>
      <c r="L3119" s="3"/>
    </row>
    <row r="3120" spans="9:12" x14ac:dyDescent="0.25">
      <c r="I3120" s="3"/>
      <c r="J3120" s="3"/>
      <c r="K3120" s="3"/>
      <c r="L3120" s="3"/>
    </row>
    <row r="3121" spans="9:12" x14ac:dyDescent="0.25">
      <c r="I3121" s="3"/>
      <c r="J3121" s="3"/>
      <c r="K3121" s="3"/>
      <c r="L3121" s="3"/>
    </row>
    <row r="3122" spans="9:12" x14ac:dyDescent="0.25">
      <c r="I3122" s="3"/>
      <c r="J3122" s="3"/>
      <c r="K3122" s="3"/>
      <c r="L3122" s="3"/>
    </row>
    <row r="3123" spans="9:12" x14ac:dyDescent="0.25">
      <c r="I3123" s="3"/>
      <c r="J3123" s="3"/>
      <c r="K3123" s="3"/>
      <c r="L3123" s="3"/>
    </row>
    <row r="3124" spans="9:12" x14ac:dyDescent="0.25">
      <c r="I3124" s="3"/>
      <c r="J3124" s="3"/>
      <c r="K3124" s="3"/>
      <c r="L3124" s="3"/>
    </row>
    <row r="3125" spans="9:12" x14ac:dyDescent="0.25">
      <c r="I3125" s="3"/>
      <c r="J3125" s="3"/>
      <c r="K3125" s="3"/>
      <c r="L3125" s="3"/>
    </row>
    <row r="3126" spans="9:12" x14ac:dyDescent="0.25">
      <c r="I3126" s="3"/>
      <c r="J3126" s="3"/>
      <c r="K3126" s="3"/>
      <c r="L3126" s="3"/>
    </row>
    <row r="3127" spans="9:12" x14ac:dyDescent="0.25">
      <c r="I3127" s="3"/>
      <c r="J3127" s="3"/>
      <c r="K3127" s="3"/>
      <c r="L3127" s="3"/>
    </row>
    <row r="3128" spans="9:12" x14ac:dyDescent="0.25">
      <c r="I3128" s="3"/>
      <c r="J3128" s="3"/>
      <c r="K3128" s="3"/>
      <c r="L3128" s="3"/>
    </row>
    <row r="3129" spans="9:12" x14ac:dyDescent="0.25">
      <c r="I3129" s="3"/>
      <c r="J3129" s="3"/>
      <c r="K3129" s="3"/>
      <c r="L3129" s="3"/>
    </row>
    <row r="3130" spans="9:12" x14ac:dyDescent="0.25">
      <c r="I3130" s="3"/>
      <c r="J3130" s="3"/>
      <c r="K3130" s="3"/>
      <c r="L3130" s="3"/>
    </row>
    <row r="3131" spans="9:12" x14ac:dyDescent="0.25">
      <c r="I3131" s="3"/>
      <c r="J3131" s="3"/>
      <c r="K3131" s="3"/>
      <c r="L3131" s="3"/>
    </row>
    <row r="3132" spans="9:12" x14ac:dyDescent="0.25">
      <c r="I3132" s="3"/>
      <c r="J3132" s="3"/>
      <c r="K3132" s="3"/>
      <c r="L3132" s="3"/>
    </row>
    <row r="3133" spans="9:12" x14ac:dyDescent="0.25">
      <c r="I3133" s="3"/>
      <c r="J3133" s="3"/>
      <c r="K3133" s="3"/>
      <c r="L3133" s="3"/>
    </row>
    <row r="3134" spans="9:12" x14ac:dyDescent="0.25">
      <c r="I3134" s="3"/>
      <c r="J3134" s="3"/>
      <c r="K3134" s="3"/>
      <c r="L3134" s="3"/>
    </row>
    <row r="3135" spans="9:12" x14ac:dyDescent="0.25">
      <c r="I3135" s="3"/>
      <c r="J3135" s="3"/>
      <c r="K3135" s="3"/>
      <c r="L3135" s="3"/>
    </row>
    <row r="3136" spans="9:12" x14ac:dyDescent="0.25">
      <c r="I3136" s="4"/>
      <c r="J3136" s="4"/>
      <c r="K3136" s="4"/>
      <c r="L3136" s="4"/>
    </row>
    <row r="3137" spans="9:12" x14ac:dyDescent="0.25">
      <c r="I3137" s="3"/>
      <c r="J3137" s="3"/>
      <c r="K3137" s="3"/>
      <c r="L3137" s="3"/>
    </row>
    <row r="3138" spans="9:12" x14ac:dyDescent="0.25">
      <c r="I3138" s="3"/>
      <c r="J3138" s="3"/>
      <c r="K3138" s="3"/>
      <c r="L3138" s="3"/>
    </row>
    <row r="3139" spans="9:12" x14ac:dyDescent="0.25">
      <c r="I3139" s="3"/>
      <c r="J3139" s="3"/>
      <c r="K3139" s="3"/>
      <c r="L3139" s="3"/>
    </row>
    <row r="3140" spans="9:12" x14ac:dyDescent="0.25">
      <c r="I3140" s="3"/>
      <c r="J3140" s="3"/>
      <c r="K3140" s="3"/>
      <c r="L3140" s="3"/>
    </row>
    <row r="3141" spans="9:12" x14ac:dyDescent="0.25">
      <c r="I3141" s="3"/>
      <c r="J3141" s="3"/>
      <c r="K3141" s="3"/>
      <c r="L3141" s="3"/>
    </row>
    <row r="3142" spans="9:12" x14ac:dyDescent="0.25">
      <c r="I3142" s="3"/>
      <c r="J3142" s="3"/>
      <c r="K3142" s="3"/>
      <c r="L3142" s="3"/>
    </row>
    <row r="3143" spans="9:12" x14ac:dyDescent="0.25">
      <c r="I3143" s="3"/>
      <c r="J3143" s="3"/>
      <c r="K3143" s="3"/>
      <c r="L3143" s="3"/>
    </row>
    <row r="3144" spans="9:12" x14ac:dyDescent="0.25">
      <c r="I3144" s="3"/>
      <c r="J3144" s="3"/>
      <c r="K3144" s="3"/>
      <c r="L3144" s="3"/>
    </row>
    <row r="3145" spans="9:12" x14ac:dyDescent="0.25">
      <c r="I3145" s="3"/>
      <c r="J3145" s="3"/>
      <c r="K3145" s="3"/>
      <c r="L3145" s="3"/>
    </row>
    <row r="3146" spans="9:12" x14ac:dyDescent="0.25">
      <c r="I3146" s="3"/>
      <c r="J3146" s="3"/>
      <c r="K3146" s="3"/>
      <c r="L3146" s="3"/>
    </row>
    <row r="3147" spans="9:12" x14ac:dyDescent="0.25">
      <c r="I3147" s="3"/>
      <c r="J3147" s="3"/>
      <c r="K3147" s="3"/>
      <c r="L3147" s="3"/>
    </row>
    <row r="3148" spans="9:12" x14ac:dyDescent="0.25">
      <c r="I3148" s="3"/>
      <c r="J3148" s="3"/>
      <c r="K3148" s="3"/>
      <c r="L3148" s="3"/>
    </row>
    <row r="3149" spans="9:12" x14ac:dyDescent="0.25">
      <c r="I3149" s="3"/>
      <c r="J3149" s="3"/>
      <c r="K3149" s="3"/>
      <c r="L3149" s="3"/>
    </row>
    <row r="3150" spans="9:12" x14ac:dyDescent="0.25">
      <c r="I3150" s="3"/>
      <c r="J3150" s="3"/>
      <c r="K3150" s="3"/>
      <c r="L3150" s="3"/>
    </row>
    <row r="3151" spans="9:12" x14ac:dyDescent="0.25">
      <c r="I3151" s="3"/>
      <c r="J3151" s="3"/>
      <c r="K3151" s="3"/>
      <c r="L3151" s="3"/>
    </row>
    <row r="3152" spans="9:12" x14ac:dyDescent="0.25">
      <c r="I3152" s="3"/>
      <c r="J3152" s="3"/>
      <c r="K3152" s="3"/>
      <c r="L3152" s="3"/>
    </row>
    <row r="3153" spans="9:12" x14ac:dyDescent="0.25">
      <c r="I3153" s="3"/>
      <c r="J3153" s="3"/>
      <c r="K3153" s="3"/>
      <c r="L3153" s="3"/>
    </row>
    <row r="3154" spans="9:12" x14ac:dyDescent="0.25">
      <c r="I3154" s="3"/>
      <c r="J3154" s="3"/>
      <c r="K3154" s="3"/>
      <c r="L3154" s="3"/>
    </row>
    <row r="3155" spans="9:12" x14ac:dyDescent="0.25">
      <c r="I3155" s="3"/>
      <c r="J3155" s="3"/>
      <c r="K3155" s="3"/>
      <c r="L3155" s="3"/>
    </row>
    <row r="3156" spans="9:12" x14ac:dyDescent="0.25">
      <c r="I3156" s="3"/>
      <c r="J3156" s="3"/>
      <c r="K3156" s="3"/>
      <c r="L3156" s="3"/>
    </row>
    <row r="3157" spans="9:12" x14ac:dyDescent="0.25">
      <c r="I3157" s="3"/>
      <c r="J3157" s="3"/>
      <c r="K3157" s="3"/>
      <c r="L3157" s="3"/>
    </row>
    <row r="3158" spans="9:12" x14ac:dyDescent="0.25">
      <c r="I3158" s="3"/>
      <c r="J3158" s="3"/>
      <c r="K3158" s="3"/>
      <c r="L3158" s="3"/>
    </row>
    <row r="3159" spans="9:12" x14ac:dyDescent="0.25">
      <c r="I3159" s="3"/>
      <c r="J3159" s="3"/>
      <c r="K3159" s="3"/>
      <c r="L3159" s="3"/>
    </row>
    <row r="3160" spans="9:12" x14ac:dyDescent="0.25">
      <c r="I3160" s="3"/>
      <c r="J3160" s="3"/>
      <c r="K3160" s="3"/>
      <c r="L3160" s="3"/>
    </row>
    <row r="3161" spans="9:12" x14ac:dyDescent="0.25">
      <c r="I3161" s="3"/>
      <c r="J3161" s="3"/>
      <c r="K3161" s="3"/>
      <c r="L3161" s="3"/>
    </row>
    <row r="3162" spans="9:12" x14ac:dyDescent="0.25">
      <c r="I3162" s="3"/>
      <c r="J3162" s="3"/>
      <c r="K3162" s="3"/>
      <c r="L3162" s="3"/>
    </row>
    <row r="3163" spans="9:12" x14ac:dyDescent="0.25">
      <c r="I3163" s="3"/>
      <c r="J3163" s="3"/>
      <c r="K3163" s="3"/>
      <c r="L3163" s="3"/>
    </row>
    <row r="3164" spans="9:12" x14ac:dyDescent="0.25">
      <c r="I3164" s="3"/>
      <c r="J3164" s="3"/>
      <c r="K3164" s="3"/>
      <c r="L3164" s="3"/>
    </row>
    <row r="3165" spans="9:12" x14ac:dyDescent="0.25">
      <c r="I3165" s="3"/>
      <c r="J3165" s="3"/>
      <c r="K3165" s="3"/>
      <c r="L3165" s="3"/>
    </row>
    <row r="3166" spans="9:12" x14ac:dyDescent="0.25">
      <c r="I3166" s="3"/>
      <c r="J3166" s="3"/>
      <c r="K3166" s="3"/>
      <c r="L3166" s="3"/>
    </row>
    <row r="3167" spans="9:12" x14ac:dyDescent="0.25">
      <c r="I3167" s="3"/>
      <c r="J3167" s="3"/>
      <c r="K3167" s="3"/>
      <c r="L3167" s="3"/>
    </row>
    <row r="3168" spans="9:12" x14ac:dyDescent="0.25">
      <c r="I3168" s="3"/>
      <c r="J3168" s="3"/>
      <c r="K3168" s="3"/>
      <c r="L3168" s="3"/>
    </row>
    <row r="3169" spans="9:12" x14ac:dyDescent="0.25">
      <c r="I3169" s="3"/>
      <c r="J3169" s="3"/>
      <c r="K3169" s="3"/>
      <c r="L3169" s="3"/>
    </row>
    <row r="3170" spans="9:12" x14ac:dyDescent="0.25">
      <c r="I3170" s="3"/>
      <c r="J3170" s="3"/>
      <c r="K3170" s="3"/>
      <c r="L3170" s="3"/>
    </row>
    <row r="3171" spans="9:12" x14ac:dyDescent="0.25">
      <c r="I3171" s="3"/>
      <c r="J3171" s="3"/>
      <c r="K3171" s="3"/>
      <c r="L3171" s="3"/>
    </row>
    <row r="3172" spans="9:12" x14ac:dyDescent="0.25">
      <c r="I3172" s="3"/>
      <c r="J3172" s="3"/>
      <c r="K3172" s="3"/>
      <c r="L3172" s="3"/>
    </row>
    <row r="3173" spans="9:12" x14ac:dyDescent="0.25">
      <c r="I3173" s="3"/>
      <c r="J3173" s="3"/>
      <c r="K3173" s="3"/>
      <c r="L3173" s="3"/>
    </row>
    <row r="3174" spans="9:12" x14ac:dyDescent="0.25">
      <c r="I3174" s="3"/>
      <c r="J3174" s="3"/>
      <c r="K3174" s="3"/>
      <c r="L3174" s="3"/>
    </row>
    <row r="3175" spans="9:12" x14ac:dyDescent="0.25">
      <c r="I3175" s="3"/>
      <c r="J3175" s="3"/>
      <c r="K3175" s="3"/>
      <c r="L3175" s="3"/>
    </row>
    <row r="3176" spans="9:12" x14ac:dyDescent="0.25">
      <c r="I3176" s="3"/>
      <c r="J3176" s="3"/>
      <c r="K3176" s="3"/>
      <c r="L3176" s="3"/>
    </row>
    <row r="3177" spans="9:12" x14ac:dyDescent="0.25">
      <c r="I3177" s="3"/>
      <c r="J3177" s="3"/>
      <c r="K3177" s="3"/>
      <c r="L3177" s="3"/>
    </row>
    <row r="3178" spans="9:12" x14ac:dyDescent="0.25">
      <c r="I3178" s="3"/>
      <c r="J3178" s="3"/>
      <c r="K3178" s="3"/>
      <c r="L3178" s="3"/>
    </row>
    <row r="3179" spans="9:12" x14ac:dyDescent="0.25">
      <c r="I3179" s="3"/>
      <c r="J3179" s="3"/>
      <c r="K3179" s="3"/>
      <c r="L3179" s="3"/>
    </row>
    <row r="3180" spans="9:12" x14ac:dyDescent="0.25">
      <c r="I3180" s="3"/>
      <c r="J3180" s="3"/>
      <c r="K3180" s="3"/>
      <c r="L3180" s="3"/>
    </row>
    <row r="3181" spans="9:12" x14ac:dyDescent="0.25">
      <c r="I3181" s="3"/>
      <c r="J3181" s="3"/>
      <c r="K3181" s="3"/>
      <c r="L3181" s="3"/>
    </row>
    <row r="3182" spans="9:12" x14ac:dyDescent="0.25">
      <c r="I3182" s="3"/>
      <c r="J3182" s="3"/>
      <c r="K3182" s="3"/>
      <c r="L3182" s="3"/>
    </row>
    <row r="3183" spans="9:12" x14ac:dyDescent="0.25">
      <c r="I3183" s="3"/>
      <c r="J3183" s="3"/>
      <c r="K3183" s="3"/>
      <c r="L3183" s="3"/>
    </row>
    <row r="3184" spans="9:12" x14ac:dyDescent="0.25">
      <c r="I3184" s="3"/>
      <c r="J3184" s="3"/>
      <c r="K3184" s="3"/>
      <c r="L3184" s="3"/>
    </row>
    <row r="3185" spans="9:12" x14ac:dyDescent="0.25">
      <c r="I3185" s="3"/>
      <c r="J3185" s="3"/>
      <c r="K3185" s="3"/>
      <c r="L3185" s="3"/>
    </row>
    <row r="3186" spans="9:12" x14ac:dyDescent="0.25">
      <c r="I3186" s="3"/>
      <c r="J3186" s="3"/>
      <c r="K3186" s="3"/>
      <c r="L3186" s="3"/>
    </row>
    <row r="3187" spans="9:12" x14ac:dyDescent="0.25">
      <c r="I3187" s="3"/>
      <c r="J3187" s="3"/>
      <c r="K3187" s="3"/>
      <c r="L3187" s="3"/>
    </row>
    <row r="3188" spans="9:12" x14ac:dyDescent="0.25">
      <c r="I3188" s="3"/>
      <c r="J3188" s="3"/>
      <c r="K3188" s="3"/>
      <c r="L3188" s="3"/>
    </row>
    <row r="3189" spans="9:12" x14ac:dyDescent="0.25">
      <c r="I3189" s="3"/>
      <c r="J3189" s="3"/>
      <c r="K3189" s="3"/>
      <c r="L3189" s="3"/>
    </row>
    <row r="3190" spans="9:12" x14ac:dyDescent="0.25">
      <c r="I3190" s="3"/>
      <c r="J3190" s="3"/>
      <c r="K3190" s="3"/>
      <c r="L3190" s="3"/>
    </row>
    <row r="3191" spans="9:12" x14ac:dyDescent="0.25">
      <c r="I3191" s="3"/>
      <c r="J3191" s="3"/>
      <c r="K3191" s="3"/>
      <c r="L3191" s="3"/>
    </row>
    <row r="3192" spans="9:12" x14ac:dyDescent="0.25">
      <c r="I3192" s="3"/>
      <c r="J3192" s="3"/>
      <c r="K3192" s="3"/>
      <c r="L3192" s="3"/>
    </row>
    <row r="3193" spans="9:12" x14ac:dyDescent="0.25">
      <c r="I3193" s="3"/>
      <c r="J3193" s="3"/>
      <c r="K3193" s="3"/>
      <c r="L3193" s="3"/>
    </row>
    <row r="3194" spans="9:12" x14ac:dyDescent="0.25">
      <c r="I3194" s="3"/>
      <c r="J3194" s="3"/>
      <c r="K3194" s="3"/>
      <c r="L3194" s="3"/>
    </row>
    <row r="3195" spans="9:12" x14ac:dyDescent="0.25">
      <c r="I3195" s="3"/>
      <c r="J3195" s="3"/>
      <c r="K3195" s="3"/>
      <c r="L3195" s="3"/>
    </row>
    <row r="3196" spans="9:12" x14ac:dyDescent="0.25">
      <c r="I3196" s="3"/>
      <c r="J3196" s="3"/>
      <c r="K3196" s="3"/>
      <c r="L3196" s="3"/>
    </row>
    <row r="3197" spans="9:12" x14ac:dyDescent="0.25">
      <c r="I3197" s="3"/>
      <c r="J3197" s="3"/>
      <c r="K3197" s="3"/>
      <c r="L3197" s="3"/>
    </row>
    <row r="3198" spans="9:12" x14ac:dyDescent="0.25">
      <c r="I3198" s="3"/>
      <c r="J3198" s="3"/>
      <c r="K3198" s="3"/>
      <c r="L3198" s="3"/>
    </row>
    <row r="3199" spans="9:12" x14ac:dyDescent="0.25">
      <c r="I3199" s="3"/>
      <c r="J3199" s="3"/>
      <c r="K3199" s="3"/>
      <c r="L3199" s="3"/>
    </row>
    <row r="3200" spans="9:12" x14ac:dyDescent="0.25">
      <c r="I3200" s="3"/>
      <c r="J3200" s="3"/>
      <c r="K3200" s="3"/>
      <c r="L3200" s="3"/>
    </row>
    <row r="3201" spans="9:12" x14ac:dyDescent="0.25">
      <c r="I3201" s="3"/>
      <c r="J3201" s="3"/>
      <c r="K3201" s="3"/>
      <c r="L3201" s="3"/>
    </row>
    <row r="3202" spans="9:12" x14ac:dyDescent="0.25">
      <c r="I3202" s="3"/>
      <c r="J3202" s="3"/>
      <c r="K3202" s="3"/>
      <c r="L3202" s="3"/>
    </row>
    <row r="3203" spans="9:12" x14ac:dyDescent="0.25">
      <c r="I3203" s="3"/>
      <c r="J3203" s="3"/>
      <c r="K3203" s="3"/>
      <c r="L3203" s="3"/>
    </row>
    <row r="3204" spans="9:12" x14ac:dyDescent="0.25">
      <c r="I3204" s="3"/>
      <c r="J3204" s="3"/>
      <c r="K3204" s="3"/>
      <c r="L3204" s="3"/>
    </row>
    <row r="3205" spans="9:12" x14ac:dyDescent="0.25">
      <c r="I3205" s="3"/>
      <c r="J3205" s="3"/>
      <c r="K3205" s="3"/>
      <c r="L3205" s="3"/>
    </row>
    <row r="3206" spans="9:12" x14ac:dyDescent="0.25">
      <c r="I3206" s="3"/>
      <c r="J3206" s="3"/>
      <c r="K3206" s="3"/>
      <c r="L3206" s="3"/>
    </row>
    <row r="3207" spans="9:12" x14ac:dyDescent="0.25">
      <c r="I3207" s="3"/>
      <c r="J3207" s="3"/>
      <c r="K3207" s="3"/>
      <c r="L3207" s="3"/>
    </row>
    <row r="3208" spans="9:12" x14ac:dyDescent="0.25">
      <c r="I3208" s="3"/>
      <c r="J3208" s="3"/>
      <c r="K3208" s="3"/>
      <c r="L3208" s="3"/>
    </row>
    <row r="3209" spans="9:12" x14ac:dyDescent="0.25">
      <c r="I3209" s="3"/>
      <c r="J3209" s="3"/>
      <c r="K3209" s="3"/>
      <c r="L3209" s="3"/>
    </row>
    <row r="3210" spans="9:12" x14ac:dyDescent="0.25">
      <c r="I3210" s="3"/>
      <c r="J3210" s="3"/>
      <c r="K3210" s="3"/>
      <c r="L3210" s="3"/>
    </row>
    <row r="3211" spans="9:12" x14ac:dyDescent="0.25">
      <c r="I3211" s="3"/>
      <c r="J3211" s="3"/>
      <c r="K3211" s="3"/>
      <c r="L3211" s="3"/>
    </row>
    <row r="3212" spans="9:12" x14ac:dyDescent="0.25">
      <c r="I3212" s="3"/>
      <c r="J3212" s="3"/>
      <c r="K3212" s="3"/>
      <c r="L3212" s="3"/>
    </row>
    <row r="3213" spans="9:12" x14ac:dyDescent="0.25">
      <c r="I3213" s="3"/>
      <c r="J3213" s="3"/>
      <c r="K3213" s="3"/>
      <c r="L3213" s="3"/>
    </row>
    <row r="3214" spans="9:12" x14ac:dyDescent="0.25">
      <c r="I3214" s="3"/>
      <c r="J3214" s="3"/>
      <c r="K3214" s="3"/>
      <c r="L3214" s="3"/>
    </row>
    <row r="3215" spans="9:12" x14ac:dyDescent="0.25">
      <c r="I3215" s="3"/>
      <c r="J3215" s="3"/>
      <c r="K3215" s="3"/>
      <c r="L3215" s="3"/>
    </row>
    <row r="3216" spans="9:12" x14ac:dyDescent="0.25">
      <c r="I3216" s="3"/>
      <c r="J3216" s="3"/>
      <c r="K3216" s="3"/>
      <c r="L3216" s="3"/>
    </row>
    <row r="3217" spans="9:12" x14ac:dyDescent="0.25">
      <c r="I3217" s="3"/>
      <c r="J3217" s="3"/>
      <c r="K3217" s="3"/>
      <c r="L3217" s="3"/>
    </row>
    <row r="3218" spans="9:12" x14ac:dyDescent="0.25">
      <c r="I3218" s="3"/>
      <c r="J3218" s="3"/>
      <c r="K3218" s="3"/>
      <c r="L3218" s="3"/>
    </row>
    <row r="3219" spans="9:12" x14ac:dyDescent="0.25">
      <c r="I3219" s="3"/>
      <c r="J3219" s="3"/>
      <c r="K3219" s="3"/>
      <c r="L3219" s="3"/>
    </row>
    <row r="3220" spans="9:12" x14ac:dyDescent="0.25">
      <c r="I3220" s="3"/>
      <c r="J3220" s="3"/>
      <c r="K3220" s="3"/>
      <c r="L3220" s="3"/>
    </row>
    <row r="3221" spans="9:12" x14ac:dyDescent="0.25">
      <c r="I3221" s="3"/>
      <c r="J3221" s="3"/>
      <c r="K3221" s="3"/>
      <c r="L3221" s="3"/>
    </row>
    <row r="3222" spans="9:12" x14ac:dyDescent="0.25">
      <c r="I3222" s="3"/>
      <c r="J3222" s="3"/>
      <c r="K3222" s="3"/>
      <c r="L3222" s="3"/>
    </row>
    <row r="3223" spans="9:12" x14ac:dyDescent="0.25">
      <c r="I3223" s="3"/>
      <c r="J3223" s="3"/>
      <c r="K3223" s="3"/>
      <c r="L3223" s="3"/>
    </row>
    <row r="3224" spans="9:12" x14ac:dyDescent="0.25">
      <c r="I3224" s="3"/>
      <c r="J3224" s="3"/>
      <c r="K3224" s="3"/>
      <c r="L3224" s="3"/>
    </row>
    <row r="3225" spans="9:12" x14ac:dyDescent="0.25">
      <c r="I3225" s="3"/>
      <c r="J3225" s="3"/>
      <c r="K3225" s="3"/>
      <c r="L3225" s="3"/>
    </row>
    <row r="3226" spans="9:12" x14ac:dyDescent="0.25">
      <c r="I3226" s="3"/>
      <c r="J3226" s="3"/>
      <c r="K3226" s="3"/>
      <c r="L3226" s="3"/>
    </row>
    <row r="3227" spans="9:12" x14ac:dyDescent="0.25">
      <c r="I3227" s="3"/>
      <c r="J3227" s="3"/>
      <c r="K3227" s="3"/>
      <c r="L3227" s="3"/>
    </row>
    <row r="3228" spans="9:12" x14ac:dyDescent="0.25">
      <c r="I3228" s="3"/>
      <c r="J3228" s="3"/>
      <c r="K3228" s="3"/>
      <c r="L3228" s="3"/>
    </row>
    <row r="3229" spans="9:12" x14ac:dyDescent="0.25">
      <c r="I3229" s="3"/>
      <c r="J3229" s="3"/>
      <c r="K3229" s="3"/>
      <c r="L3229" s="3"/>
    </row>
    <row r="3230" spans="9:12" x14ac:dyDescent="0.25">
      <c r="I3230" s="3"/>
      <c r="J3230" s="3"/>
      <c r="K3230" s="3"/>
      <c r="L3230" s="3"/>
    </row>
    <row r="3231" spans="9:12" x14ac:dyDescent="0.25">
      <c r="I3231" s="3"/>
      <c r="J3231" s="3"/>
      <c r="K3231" s="3"/>
      <c r="L3231" s="3"/>
    </row>
    <row r="3232" spans="9:12" x14ac:dyDescent="0.25">
      <c r="I3232" s="3"/>
      <c r="J3232" s="3"/>
      <c r="K3232" s="3"/>
      <c r="L3232" s="3"/>
    </row>
    <row r="3233" spans="9:12" x14ac:dyDescent="0.25">
      <c r="I3233" s="3"/>
      <c r="J3233" s="3"/>
      <c r="K3233" s="3"/>
      <c r="L3233" s="3"/>
    </row>
    <row r="3234" spans="9:12" x14ac:dyDescent="0.25">
      <c r="I3234" s="3"/>
      <c r="J3234" s="3"/>
      <c r="K3234" s="3"/>
      <c r="L3234" s="3"/>
    </row>
    <row r="3235" spans="9:12" x14ac:dyDescent="0.25">
      <c r="I3235" s="3"/>
      <c r="J3235" s="3"/>
      <c r="K3235" s="3"/>
      <c r="L3235" s="3"/>
    </row>
    <row r="3236" spans="9:12" x14ac:dyDescent="0.25">
      <c r="I3236" s="3"/>
      <c r="J3236" s="3"/>
      <c r="K3236" s="3"/>
      <c r="L3236" s="3"/>
    </row>
    <row r="3237" spans="9:12" x14ac:dyDescent="0.25">
      <c r="I3237" s="3"/>
      <c r="J3237" s="3"/>
      <c r="K3237" s="3"/>
      <c r="L3237" s="3"/>
    </row>
    <row r="3238" spans="9:12" x14ac:dyDescent="0.25">
      <c r="I3238" s="3"/>
      <c r="J3238" s="3"/>
      <c r="K3238" s="3"/>
      <c r="L3238" s="3"/>
    </row>
    <row r="3239" spans="9:12" x14ac:dyDescent="0.25">
      <c r="I3239" s="3"/>
      <c r="J3239" s="3"/>
      <c r="K3239" s="3"/>
      <c r="L3239" s="3"/>
    </row>
    <row r="3240" spans="9:12" x14ac:dyDescent="0.25">
      <c r="I3240" s="3"/>
      <c r="J3240" s="3"/>
      <c r="K3240" s="3"/>
      <c r="L3240" s="3"/>
    </row>
    <row r="3241" spans="9:12" x14ac:dyDescent="0.25">
      <c r="I3241" s="3"/>
      <c r="J3241" s="3"/>
      <c r="K3241" s="3"/>
      <c r="L3241" s="3"/>
    </row>
    <row r="3242" spans="9:12" x14ac:dyDescent="0.25">
      <c r="I3242" s="3"/>
      <c r="J3242" s="3"/>
      <c r="K3242" s="3"/>
      <c r="L3242" s="3"/>
    </row>
    <row r="3243" spans="9:12" x14ac:dyDescent="0.25">
      <c r="I3243" s="3"/>
      <c r="J3243" s="3"/>
      <c r="K3243" s="3"/>
      <c r="L3243" s="3"/>
    </row>
    <row r="3244" spans="9:12" x14ac:dyDescent="0.25">
      <c r="I3244" s="3"/>
      <c r="J3244" s="3"/>
      <c r="K3244" s="3"/>
      <c r="L3244" s="3"/>
    </row>
    <row r="3245" spans="9:12" x14ac:dyDescent="0.25">
      <c r="I3245" s="3"/>
      <c r="J3245" s="3"/>
      <c r="K3245" s="3"/>
      <c r="L3245" s="3"/>
    </row>
    <row r="3246" spans="9:12" x14ac:dyDescent="0.25">
      <c r="I3246" s="3"/>
      <c r="J3246" s="3"/>
      <c r="K3246" s="3"/>
      <c r="L3246" s="3"/>
    </row>
    <row r="3247" spans="9:12" x14ac:dyDescent="0.25">
      <c r="I3247" s="3"/>
      <c r="J3247" s="3"/>
      <c r="K3247" s="3"/>
      <c r="L3247" s="3"/>
    </row>
    <row r="3248" spans="9:12" x14ac:dyDescent="0.25">
      <c r="I3248" s="3"/>
      <c r="J3248" s="3"/>
      <c r="K3248" s="3"/>
      <c r="L3248" s="3"/>
    </row>
    <row r="3249" spans="9:12" x14ac:dyDescent="0.25">
      <c r="I3249" s="3"/>
      <c r="J3249" s="3"/>
      <c r="K3249" s="3"/>
      <c r="L3249" s="3"/>
    </row>
    <row r="3250" spans="9:12" x14ac:dyDescent="0.25">
      <c r="I3250" s="3"/>
      <c r="J3250" s="3"/>
      <c r="K3250" s="3"/>
      <c r="L3250" s="3"/>
    </row>
    <row r="3251" spans="9:12" x14ac:dyDescent="0.25">
      <c r="I3251" s="3"/>
      <c r="J3251" s="3"/>
      <c r="K3251" s="3"/>
      <c r="L3251" s="3"/>
    </row>
    <row r="3252" spans="9:12" x14ac:dyDescent="0.25">
      <c r="I3252" s="3"/>
      <c r="J3252" s="3"/>
      <c r="K3252" s="3"/>
      <c r="L3252" s="3"/>
    </row>
    <row r="3253" spans="9:12" x14ac:dyDescent="0.25">
      <c r="I3253" s="3"/>
      <c r="J3253" s="3"/>
      <c r="K3253" s="3"/>
      <c r="L3253" s="3"/>
    </row>
    <row r="3254" spans="9:12" x14ac:dyDescent="0.25">
      <c r="I3254" s="4"/>
      <c r="J3254" s="4"/>
      <c r="K3254" s="4"/>
      <c r="L3254" s="4"/>
    </row>
    <row r="3255" spans="9:12" x14ac:dyDescent="0.25">
      <c r="I3255" s="3"/>
      <c r="J3255" s="3"/>
      <c r="K3255" s="3"/>
      <c r="L3255" s="3"/>
    </row>
    <row r="3256" spans="9:12" x14ac:dyDescent="0.25">
      <c r="I3256" s="3"/>
      <c r="J3256" s="3"/>
      <c r="K3256" s="3"/>
      <c r="L3256" s="3"/>
    </row>
    <row r="3257" spans="9:12" x14ac:dyDescent="0.25">
      <c r="I3257" s="3"/>
      <c r="J3257" s="3"/>
      <c r="K3257" s="3"/>
      <c r="L3257" s="3"/>
    </row>
    <row r="3258" spans="9:12" x14ac:dyDescent="0.25">
      <c r="I3258" s="3"/>
      <c r="J3258" s="3"/>
      <c r="K3258" s="3"/>
      <c r="L3258" s="3"/>
    </row>
    <row r="3259" spans="9:12" x14ac:dyDescent="0.25">
      <c r="I3259" s="3"/>
      <c r="J3259" s="3"/>
      <c r="K3259" s="3"/>
      <c r="L3259" s="3"/>
    </row>
    <row r="3260" spans="9:12" x14ac:dyDescent="0.25">
      <c r="I3260" s="3"/>
      <c r="J3260" s="3"/>
      <c r="K3260" s="3"/>
      <c r="L3260" s="3"/>
    </row>
    <row r="3261" spans="9:12" x14ac:dyDescent="0.25">
      <c r="I3261" s="3"/>
      <c r="J3261" s="3"/>
      <c r="K3261" s="3"/>
      <c r="L3261" s="3"/>
    </row>
    <row r="3262" spans="9:12" x14ac:dyDescent="0.25">
      <c r="I3262" s="3"/>
      <c r="J3262" s="3"/>
      <c r="K3262" s="3"/>
      <c r="L3262" s="3"/>
    </row>
    <row r="3263" spans="9:12" x14ac:dyDescent="0.25">
      <c r="I3263" s="3"/>
      <c r="J3263" s="3"/>
      <c r="K3263" s="3"/>
      <c r="L3263" s="3"/>
    </row>
    <row r="3264" spans="9:12" x14ac:dyDescent="0.25">
      <c r="I3264" s="3"/>
      <c r="J3264" s="3"/>
      <c r="K3264" s="3"/>
      <c r="L3264" s="3"/>
    </row>
    <row r="3265" spans="9:12" x14ac:dyDescent="0.25">
      <c r="I3265" s="3"/>
      <c r="J3265" s="3"/>
      <c r="K3265" s="3"/>
      <c r="L3265" s="3"/>
    </row>
    <row r="3266" spans="9:12" x14ac:dyDescent="0.25">
      <c r="I3266" s="3"/>
      <c r="J3266" s="3"/>
      <c r="K3266" s="3"/>
      <c r="L3266" s="3"/>
    </row>
    <row r="3267" spans="9:12" x14ac:dyDescent="0.25">
      <c r="I3267" s="3"/>
      <c r="J3267" s="3"/>
      <c r="K3267" s="3"/>
      <c r="L3267" s="3"/>
    </row>
    <row r="3268" spans="9:12" x14ac:dyDescent="0.25">
      <c r="I3268" s="3"/>
      <c r="J3268" s="3"/>
      <c r="K3268" s="3"/>
      <c r="L3268" s="3"/>
    </row>
    <row r="3269" spans="9:12" x14ac:dyDescent="0.25">
      <c r="I3269" s="3"/>
      <c r="J3269" s="3"/>
      <c r="K3269" s="3"/>
      <c r="L3269" s="3"/>
    </row>
    <row r="3270" spans="9:12" x14ac:dyDescent="0.25">
      <c r="I3270" s="3"/>
      <c r="J3270" s="3"/>
      <c r="K3270" s="3"/>
      <c r="L3270" s="3"/>
    </row>
    <row r="3271" spans="9:12" x14ac:dyDescent="0.25">
      <c r="I3271" s="3"/>
      <c r="J3271" s="3"/>
      <c r="K3271" s="3"/>
      <c r="L3271" s="3"/>
    </row>
    <row r="3272" spans="9:12" x14ac:dyDescent="0.25">
      <c r="I3272" s="3"/>
      <c r="J3272" s="3"/>
      <c r="K3272" s="3"/>
      <c r="L3272" s="3"/>
    </row>
    <row r="3273" spans="9:12" x14ac:dyDescent="0.25">
      <c r="I3273" s="3"/>
      <c r="J3273" s="3"/>
      <c r="K3273" s="3"/>
      <c r="L3273" s="3"/>
    </row>
    <row r="3274" spans="9:12" x14ac:dyDescent="0.25">
      <c r="I3274" s="3"/>
      <c r="J3274" s="3"/>
      <c r="K3274" s="3"/>
      <c r="L3274" s="3"/>
    </row>
    <row r="3275" spans="9:12" x14ac:dyDescent="0.25">
      <c r="I3275" s="3"/>
      <c r="J3275" s="3"/>
      <c r="K3275" s="3"/>
      <c r="L3275" s="3"/>
    </row>
    <row r="3276" spans="9:12" x14ac:dyDescent="0.25">
      <c r="I3276" s="3"/>
      <c r="J3276" s="3"/>
      <c r="K3276" s="3"/>
      <c r="L3276" s="3"/>
    </row>
    <row r="3277" spans="9:12" x14ac:dyDescent="0.25">
      <c r="I3277" s="3"/>
      <c r="J3277" s="3"/>
      <c r="K3277" s="3"/>
      <c r="L3277" s="3"/>
    </row>
    <row r="3278" spans="9:12" x14ac:dyDescent="0.25">
      <c r="I3278" s="3"/>
      <c r="J3278" s="3"/>
      <c r="K3278" s="3"/>
      <c r="L3278" s="3"/>
    </row>
    <row r="3279" spans="9:12" x14ac:dyDescent="0.25">
      <c r="I3279" s="3"/>
      <c r="J3279" s="3"/>
      <c r="K3279" s="3"/>
      <c r="L3279" s="3"/>
    </row>
    <row r="3280" spans="9:12" x14ac:dyDescent="0.25">
      <c r="I3280" s="3"/>
      <c r="J3280" s="3"/>
      <c r="K3280" s="3"/>
      <c r="L3280" s="3"/>
    </row>
    <row r="3281" spans="9:12" x14ac:dyDescent="0.25">
      <c r="I3281" s="3"/>
      <c r="J3281" s="3"/>
      <c r="K3281" s="3"/>
      <c r="L3281" s="3"/>
    </row>
    <row r="3282" spans="9:12" x14ac:dyDescent="0.25">
      <c r="I3282" s="3"/>
      <c r="J3282" s="3"/>
      <c r="K3282" s="3"/>
      <c r="L3282" s="3"/>
    </row>
    <row r="3283" spans="9:12" x14ac:dyDescent="0.25">
      <c r="I3283" s="3"/>
      <c r="J3283" s="3"/>
      <c r="K3283" s="3"/>
      <c r="L3283" s="3"/>
    </row>
    <row r="3284" spans="9:12" x14ac:dyDescent="0.25">
      <c r="I3284" s="3"/>
      <c r="J3284" s="3"/>
      <c r="K3284" s="3"/>
      <c r="L3284" s="3"/>
    </row>
    <row r="3285" spans="9:12" x14ac:dyDescent="0.25">
      <c r="I3285" s="3"/>
      <c r="J3285" s="3"/>
      <c r="K3285" s="3"/>
      <c r="L3285" s="3"/>
    </row>
    <row r="3286" spans="9:12" x14ac:dyDescent="0.25">
      <c r="I3286" s="3"/>
      <c r="J3286" s="3"/>
      <c r="K3286" s="3"/>
      <c r="L3286" s="3"/>
    </row>
    <row r="3287" spans="9:12" x14ac:dyDescent="0.25">
      <c r="I3287" s="3"/>
      <c r="J3287" s="3"/>
      <c r="K3287" s="3"/>
      <c r="L3287" s="3"/>
    </row>
    <row r="3288" spans="9:12" x14ac:dyDescent="0.25">
      <c r="I3288" s="3"/>
      <c r="J3288" s="3"/>
      <c r="K3288" s="3"/>
      <c r="L3288" s="3"/>
    </row>
    <row r="3289" spans="9:12" x14ac:dyDescent="0.25">
      <c r="I3289" s="3"/>
      <c r="J3289" s="3"/>
      <c r="K3289" s="3"/>
      <c r="L3289" s="3"/>
    </row>
    <row r="3290" spans="9:12" x14ac:dyDescent="0.25">
      <c r="I3290" s="3"/>
      <c r="J3290" s="3"/>
      <c r="K3290" s="3"/>
      <c r="L3290" s="3"/>
    </row>
    <row r="3291" spans="9:12" x14ac:dyDescent="0.25">
      <c r="I3291" s="3"/>
      <c r="J3291" s="3"/>
      <c r="K3291" s="3"/>
      <c r="L3291" s="3"/>
    </row>
    <row r="3292" spans="9:12" x14ac:dyDescent="0.25">
      <c r="I3292" s="3"/>
      <c r="J3292" s="3"/>
      <c r="K3292" s="3"/>
      <c r="L3292" s="3"/>
    </row>
    <row r="3293" spans="9:12" x14ac:dyDescent="0.25">
      <c r="I3293" s="3"/>
      <c r="J3293" s="3"/>
      <c r="K3293" s="3"/>
      <c r="L3293" s="3"/>
    </row>
    <row r="3294" spans="9:12" x14ac:dyDescent="0.25">
      <c r="I3294" s="3"/>
      <c r="J3294" s="3"/>
      <c r="K3294" s="3"/>
      <c r="L3294" s="3"/>
    </row>
    <row r="3295" spans="9:12" x14ac:dyDescent="0.25">
      <c r="I3295" s="3"/>
      <c r="J3295" s="3"/>
      <c r="K3295" s="3"/>
      <c r="L3295" s="3"/>
    </row>
    <row r="3296" spans="9:12" x14ac:dyDescent="0.25">
      <c r="I3296" s="3"/>
      <c r="J3296" s="3"/>
      <c r="K3296" s="3"/>
      <c r="L3296" s="3"/>
    </row>
    <row r="3297" spans="9:12" x14ac:dyDescent="0.25">
      <c r="I3297" s="3"/>
      <c r="J3297" s="3"/>
      <c r="K3297" s="3"/>
      <c r="L3297" s="3"/>
    </row>
    <row r="3298" spans="9:12" x14ac:dyDescent="0.25">
      <c r="I3298" s="3"/>
      <c r="J3298" s="3"/>
      <c r="K3298" s="3"/>
      <c r="L3298" s="3"/>
    </row>
    <row r="3299" spans="9:12" x14ac:dyDescent="0.25">
      <c r="I3299" s="3"/>
      <c r="J3299" s="3"/>
      <c r="K3299" s="3"/>
      <c r="L3299" s="3"/>
    </row>
    <row r="3300" spans="9:12" x14ac:dyDescent="0.25">
      <c r="I3300" s="3"/>
      <c r="J3300" s="3"/>
      <c r="K3300" s="3"/>
      <c r="L3300" s="3"/>
    </row>
    <row r="3301" spans="9:12" x14ac:dyDescent="0.25">
      <c r="I3301" s="3"/>
      <c r="J3301" s="3"/>
      <c r="K3301" s="3"/>
      <c r="L3301" s="3"/>
    </row>
    <row r="3302" spans="9:12" x14ac:dyDescent="0.25">
      <c r="I3302" s="3"/>
      <c r="J3302" s="3"/>
      <c r="K3302" s="3"/>
      <c r="L3302" s="3"/>
    </row>
    <row r="3303" spans="9:12" x14ac:dyDescent="0.25">
      <c r="I3303" s="3"/>
      <c r="J3303" s="3"/>
      <c r="K3303" s="3"/>
      <c r="L3303" s="3"/>
    </row>
    <row r="3304" spans="9:12" x14ac:dyDescent="0.25">
      <c r="I3304" s="3"/>
      <c r="J3304" s="3"/>
      <c r="K3304" s="3"/>
      <c r="L3304" s="3"/>
    </row>
    <row r="3305" spans="9:12" x14ac:dyDescent="0.25">
      <c r="I3305" s="3"/>
      <c r="J3305" s="3"/>
      <c r="K3305" s="3"/>
      <c r="L3305" s="3"/>
    </row>
    <row r="3306" spans="9:12" x14ac:dyDescent="0.25">
      <c r="I3306" s="3"/>
      <c r="J3306" s="3"/>
      <c r="K3306" s="3"/>
      <c r="L3306" s="3"/>
    </row>
    <row r="3307" spans="9:12" x14ac:dyDescent="0.25">
      <c r="I3307" s="3"/>
      <c r="J3307" s="3"/>
      <c r="K3307" s="3"/>
      <c r="L3307" s="3"/>
    </row>
    <row r="3308" spans="9:12" x14ac:dyDescent="0.25">
      <c r="I3308" s="3"/>
      <c r="J3308" s="3"/>
      <c r="K3308" s="3"/>
      <c r="L3308" s="3"/>
    </row>
    <row r="3309" spans="9:12" x14ac:dyDescent="0.25">
      <c r="I3309" s="3"/>
      <c r="J3309" s="3"/>
      <c r="K3309" s="3"/>
      <c r="L3309" s="3"/>
    </row>
    <row r="3310" spans="9:12" x14ac:dyDescent="0.25">
      <c r="I3310" s="3"/>
      <c r="J3310" s="3"/>
      <c r="K3310" s="3"/>
      <c r="L3310" s="3"/>
    </row>
    <row r="3311" spans="9:12" x14ac:dyDescent="0.25">
      <c r="I3311" s="3"/>
      <c r="J3311" s="3"/>
      <c r="K3311" s="3"/>
      <c r="L3311" s="3"/>
    </row>
    <row r="3312" spans="9:12" x14ac:dyDescent="0.25">
      <c r="I3312" s="3"/>
      <c r="J3312" s="3"/>
      <c r="K3312" s="3"/>
      <c r="L3312" s="3"/>
    </row>
    <row r="3313" spans="9:12" x14ac:dyDescent="0.25">
      <c r="I3313" s="3"/>
      <c r="J3313" s="3"/>
      <c r="K3313" s="3"/>
      <c r="L3313" s="3"/>
    </row>
    <row r="3314" spans="9:12" x14ac:dyDescent="0.25">
      <c r="I3314" s="3"/>
      <c r="J3314" s="3"/>
      <c r="K3314" s="3"/>
      <c r="L3314" s="3"/>
    </row>
    <row r="3315" spans="9:12" x14ac:dyDescent="0.25">
      <c r="I3315" s="3"/>
      <c r="J3315" s="3"/>
      <c r="K3315" s="3"/>
      <c r="L3315" s="3"/>
    </row>
    <row r="3316" spans="9:12" x14ac:dyDescent="0.25">
      <c r="I3316" s="3"/>
      <c r="J3316" s="3"/>
      <c r="K3316" s="3"/>
      <c r="L3316" s="3"/>
    </row>
    <row r="3317" spans="9:12" x14ac:dyDescent="0.25">
      <c r="I3317" s="3"/>
      <c r="J3317" s="3"/>
      <c r="K3317" s="3"/>
      <c r="L3317" s="3"/>
    </row>
    <row r="3318" spans="9:12" x14ac:dyDescent="0.25">
      <c r="I3318" s="3"/>
      <c r="J3318" s="3"/>
      <c r="K3318" s="3"/>
      <c r="L3318" s="3"/>
    </row>
    <row r="3319" spans="9:12" x14ac:dyDescent="0.25">
      <c r="I3319" s="3"/>
      <c r="J3319" s="3"/>
      <c r="K3319" s="3"/>
      <c r="L3319" s="3"/>
    </row>
    <row r="3320" spans="9:12" x14ac:dyDescent="0.25">
      <c r="I3320" s="3"/>
      <c r="J3320" s="3"/>
      <c r="K3320" s="3"/>
      <c r="L3320" s="3"/>
    </row>
    <row r="3321" spans="9:12" x14ac:dyDescent="0.25">
      <c r="I3321" s="3"/>
      <c r="J3321" s="3"/>
      <c r="K3321" s="3"/>
      <c r="L3321" s="3"/>
    </row>
    <row r="3322" spans="9:12" x14ac:dyDescent="0.25">
      <c r="I3322" s="3"/>
      <c r="J3322" s="3"/>
      <c r="K3322" s="3"/>
      <c r="L3322" s="3"/>
    </row>
    <row r="3323" spans="9:12" x14ac:dyDescent="0.25">
      <c r="I3323" s="3"/>
      <c r="J3323" s="3"/>
      <c r="K3323" s="3"/>
      <c r="L3323" s="3"/>
    </row>
    <row r="3324" spans="9:12" x14ac:dyDescent="0.25">
      <c r="I3324" s="3"/>
      <c r="J3324" s="3"/>
      <c r="K3324" s="3"/>
      <c r="L3324" s="3"/>
    </row>
    <row r="3325" spans="9:12" x14ac:dyDescent="0.25">
      <c r="I3325" s="3"/>
      <c r="J3325" s="3"/>
      <c r="K3325" s="3"/>
      <c r="L3325" s="3"/>
    </row>
    <row r="3326" spans="9:12" x14ac:dyDescent="0.25">
      <c r="I3326" s="3"/>
      <c r="J3326" s="3"/>
      <c r="K3326" s="3"/>
      <c r="L3326" s="3"/>
    </row>
    <row r="3327" spans="9:12" x14ac:dyDescent="0.25">
      <c r="I3327" s="3"/>
      <c r="J3327" s="3"/>
      <c r="K3327" s="3"/>
      <c r="L3327" s="3"/>
    </row>
    <row r="3328" spans="9:12" x14ac:dyDescent="0.25">
      <c r="I3328" s="3"/>
      <c r="J3328" s="3"/>
      <c r="K3328" s="3"/>
      <c r="L3328" s="3"/>
    </row>
    <row r="3329" spans="9:12" x14ac:dyDescent="0.25">
      <c r="I3329" s="3"/>
      <c r="J3329" s="3"/>
      <c r="K3329" s="3"/>
      <c r="L3329" s="3"/>
    </row>
    <row r="3330" spans="9:12" x14ac:dyDescent="0.25">
      <c r="I3330" s="3"/>
      <c r="J3330" s="3"/>
      <c r="K3330" s="3"/>
      <c r="L3330" s="3"/>
    </row>
    <row r="3331" spans="9:12" x14ac:dyDescent="0.25">
      <c r="I3331" s="3"/>
      <c r="J3331" s="3"/>
      <c r="K3331" s="3"/>
      <c r="L3331" s="3"/>
    </row>
    <row r="3332" spans="9:12" x14ac:dyDescent="0.25">
      <c r="I3332" s="3"/>
      <c r="J3332" s="3"/>
      <c r="K3332" s="3"/>
      <c r="L3332" s="3"/>
    </row>
    <row r="3333" spans="9:12" x14ac:dyDescent="0.25">
      <c r="I3333" s="3"/>
      <c r="J3333" s="3"/>
      <c r="K3333" s="3"/>
      <c r="L3333" s="3"/>
    </row>
    <row r="3334" spans="9:12" x14ac:dyDescent="0.25">
      <c r="I3334" s="3"/>
      <c r="J3334" s="3"/>
      <c r="K3334" s="3"/>
      <c r="L3334" s="3"/>
    </row>
    <row r="3335" spans="9:12" x14ac:dyDescent="0.25">
      <c r="I3335" s="3"/>
      <c r="J3335" s="3"/>
      <c r="K3335" s="3"/>
      <c r="L3335" s="3"/>
    </row>
    <row r="3336" spans="9:12" x14ac:dyDescent="0.25">
      <c r="I3336" s="3"/>
      <c r="J3336" s="3"/>
      <c r="K3336" s="3"/>
      <c r="L3336" s="3"/>
    </row>
    <row r="3337" spans="9:12" x14ac:dyDescent="0.25">
      <c r="I3337" s="3"/>
      <c r="J3337" s="3"/>
      <c r="K3337" s="3"/>
      <c r="L3337" s="3"/>
    </row>
    <row r="3338" spans="9:12" x14ac:dyDescent="0.25">
      <c r="I3338" s="3"/>
      <c r="J3338" s="3"/>
      <c r="K3338" s="3"/>
      <c r="L3338" s="3"/>
    </row>
    <row r="3339" spans="9:12" x14ac:dyDescent="0.25">
      <c r="I3339" s="3"/>
      <c r="J3339" s="3"/>
      <c r="K3339" s="3"/>
      <c r="L3339" s="3"/>
    </row>
    <row r="3340" spans="9:12" x14ac:dyDescent="0.25">
      <c r="I3340" s="3"/>
      <c r="J3340" s="3"/>
      <c r="K3340" s="3"/>
      <c r="L3340" s="3"/>
    </row>
    <row r="3341" spans="9:12" x14ac:dyDescent="0.25">
      <c r="I3341" s="3"/>
      <c r="J3341" s="3"/>
      <c r="K3341" s="3"/>
      <c r="L3341" s="3"/>
    </row>
    <row r="3342" spans="9:12" x14ac:dyDescent="0.25">
      <c r="I3342" s="3"/>
      <c r="J3342" s="3"/>
      <c r="K3342" s="3"/>
      <c r="L3342" s="3"/>
    </row>
    <row r="3343" spans="9:12" x14ac:dyDescent="0.25">
      <c r="I3343" s="3"/>
      <c r="J3343" s="3"/>
      <c r="K3343" s="3"/>
      <c r="L3343" s="3"/>
    </row>
    <row r="3344" spans="9:12" x14ac:dyDescent="0.25">
      <c r="I3344" s="3"/>
      <c r="J3344" s="3"/>
      <c r="K3344" s="3"/>
      <c r="L3344" s="3"/>
    </row>
    <row r="3345" spans="9:12" x14ac:dyDescent="0.25">
      <c r="I3345" s="3"/>
      <c r="J3345" s="3"/>
      <c r="K3345" s="3"/>
      <c r="L3345" s="3"/>
    </row>
    <row r="3346" spans="9:12" x14ac:dyDescent="0.25">
      <c r="I3346" s="3"/>
      <c r="J3346" s="3"/>
      <c r="K3346" s="3"/>
      <c r="L3346" s="3"/>
    </row>
    <row r="3347" spans="9:12" x14ac:dyDescent="0.25">
      <c r="I3347" s="3"/>
      <c r="J3347" s="3"/>
      <c r="K3347" s="3"/>
      <c r="L3347" s="3"/>
    </row>
    <row r="3348" spans="9:12" x14ac:dyDescent="0.25">
      <c r="I3348" s="3"/>
      <c r="J3348" s="3"/>
      <c r="K3348" s="3"/>
      <c r="L3348" s="3"/>
    </row>
    <row r="3349" spans="9:12" x14ac:dyDescent="0.25">
      <c r="I3349" s="3"/>
      <c r="J3349" s="3"/>
      <c r="K3349" s="3"/>
      <c r="L3349" s="3"/>
    </row>
    <row r="3350" spans="9:12" x14ac:dyDescent="0.25">
      <c r="I3350" s="3"/>
      <c r="J3350" s="3"/>
      <c r="K3350" s="3"/>
      <c r="L3350" s="3"/>
    </row>
    <row r="3351" spans="9:12" x14ac:dyDescent="0.25">
      <c r="I3351" s="3"/>
      <c r="J3351" s="3"/>
      <c r="K3351" s="3"/>
      <c r="L3351" s="3"/>
    </row>
    <row r="3352" spans="9:12" x14ac:dyDescent="0.25">
      <c r="I3352" s="3"/>
      <c r="J3352" s="3"/>
      <c r="K3352" s="3"/>
      <c r="L3352" s="3"/>
    </row>
    <row r="3353" spans="9:12" x14ac:dyDescent="0.25">
      <c r="I3353" s="3"/>
      <c r="J3353" s="3"/>
      <c r="K3353" s="3"/>
      <c r="L3353" s="3"/>
    </row>
    <row r="3354" spans="9:12" x14ac:dyDescent="0.25">
      <c r="I3354" s="3"/>
      <c r="J3354" s="3"/>
      <c r="K3354" s="3"/>
      <c r="L3354" s="3"/>
    </row>
    <row r="3355" spans="9:12" x14ac:dyDescent="0.25">
      <c r="I3355" s="3"/>
      <c r="J3355" s="3"/>
      <c r="K3355" s="3"/>
      <c r="L3355" s="3"/>
    </row>
    <row r="3356" spans="9:12" x14ac:dyDescent="0.25">
      <c r="I3356" s="3"/>
      <c r="J3356" s="3"/>
      <c r="K3356" s="3"/>
      <c r="L3356" s="3"/>
    </row>
    <row r="3357" spans="9:12" x14ac:dyDescent="0.25">
      <c r="I3357" s="3"/>
      <c r="J3357" s="3"/>
      <c r="K3357" s="3"/>
      <c r="L3357" s="3"/>
    </row>
    <row r="3358" spans="9:12" x14ac:dyDescent="0.25">
      <c r="I3358" s="3"/>
      <c r="J3358" s="3"/>
      <c r="K3358" s="3"/>
      <c r="L3358" s="3"/>
    </row>
    <row r="3359" spans="9:12" x14ac:dyDescent="0.25">
      <c r="I3359" s="3"/>
      <c r="J3359" s="3"/>
      <c r="K3359" s="3"/>
      <c r="L3359" s="3"/>
    </row>
    <row r="3360" spans="9:12" x14ac:dyDescent="0.25">
      <c r="I3360" s="3"/>
      <c r="J3360" s="3"/>
      <c r="K3360" s="3"/>
      <c r="L3360" s="3"/>
    </row>
    <row r="3361" spans="9:12" x14ac:dyDescent="0.25">
      <c r="I3361" s="3"/>
      <c r="J3361" s="3"/>
      <c r="K3361" s="3"/>
      <c r="L3361" s="3"/>
    </row>
    <row r="3362" spans="9:12" x14ac:dyDescent="0.25">
      <c r="I3362" s="3"/>
      <c r="J3362" s="3"/>
      <c r="K3362" s="3"/>
      <c r="L3362" s="3"/>
    </row>
    <row r="3363" spans="9:12" x14ac:dyDescent="0.25">
      <c r="I3363" s="3"/>
      <c r="J3363" s="3"/>
      <c r="K3363" s="3"/>
      <c r="L3363" s="3"/>
    </row>
    <row r="3364" spans="9:12" x14ac:dyDescent="0.25">
      <c r="I3364" s="3"/>
      <c r="J3364" s="3"/>
      <c r="K3364" s="3"/>
      <c r="L3364" s="3"/>
    </row>
    <row r="3365" spans="9:12" x14ac:dyDescent="0.25">
      <c r="I3365" s="3"/>
      <c r="J3365" s="3"/>
      <c r="K3365" s="3"/>
      <c r="L3365" s="3"/>
    </row>
    <row r="3366" spans="9:12" x14ac:dyDescent="0.25">
      <c r="I3366" s="3"/>
      <c r="J3366" s="3"/>
      <c r="K3366" s="3"/>
      <c r="L3366" s="3"/>
    </row>
    <row r="3367" spans="9:12" x14ac:dyDescent="0.25">
      <c r="I3367" s="3"/>
      <c r="J3367" s="3"/>
      <c r="K3367" s="3"/>
      <c r="L3367" s="3"/>
    </row>
    <row r="3368" spans="9:12" x14ac:dyDescent="0.25">
      <c r="I3368" s="3"/>
      <c r="J3368" s="3"/>
      <c r="K3368" s="3"/>
      <c r="L3368" s="3"/>
    </row>
    <row r="3369" spans="9:12" x14ac:dyDescent="0.25">
      <c r="I3369" s="3"/>
      <c r="J3369" s="3"/>
      <c r="K3369" s="3"/>
      <c r="L3369" s="3"/>
    </row>
    <row r="3370" spans="9:12" x14ac:dyDescent="0.25">
      <c r="I3370" s="3"/>
      <c r="J3370" s="3"/>
      <c r="K3370" s="3"/>
      <c r="L3370" s="3"/>
    </row>
    <row r="3371" spans="9:12" x14ac:dyDescent="0.25">
      <c r="I3371" s="3"/>
      <c r="J3371" s="3"/>
      <c r="K3371" s="3"/>
      <c r="L3371" s="3"/>
    </row>
    <row r="3372" spans="9:12" x14ac:dyDescent="0.25">
      <c r="I3372" s="3"/>
      <c r="J3372" s="3"/>
      <c r="K3372" s="3"/>
      <c r="L3372" s="3"/>
    </row>
    <row r="3373" spans="9:12" x14ac:dyDescent="0.25">
      <c r="I3373" s="3"/>
      <c r="J3373" s="3"/>
      <c r="K3373" s="3"/>
      <c r="L3373" s="3"/>
    </row>
    <row r="3374" spans="9:12" x14ac:dyDescent="0.25">
      <c r="I3374" s="3"/>
      <c r="J3374" s="3"/>
      <c r="K3374" s="3"/>
      <c r="L3374" s="3"/>
    </row>
    <row r="3375" spans="9:12" x14ac:dyDescent="0.25">
      <c r="I3375" s="3"/>
      <c r="J3375" s="3"/>
      <c r="K3375" s="3"/>
      <c r="L3375" s="3"/>
    </row>
    <row r="3376" spans="9:12" x14ac:dyDescent="0.25">
      <c r="I3376" s="3"/>
      <c r="J3376" s="3"/>
      <c r="K3376" s="3"/>
      <c r="L3376" s="3"/>
    </row>
    <row r="3377" spans="9:12" x14ac:dyDescent="0.25">
      <c r="I3377" s="3"/>
      <c r="J3377" s="3"/>
      <c r="K3377" s="3"/>
      <c r="L3377" s="3"/>
    </row>
    <row r="3378" spans="9:12" x14ac:dyDescent="0.25">
      <c r="I3378" s="3"/>
      <c r="J3378" s="3"/>
      <c r="K3378" s="3"/>
      <c r="L3378" s="3"/>
    </row>
    <row r="3379" spans="9:12" x14ac:dyDescent="0.25">
      <c r="I3379" s="3"/>
      <c r="J3379" s="3"/>
      <c r="K3379" s="3"/>
      <c r="L3379" s="3"/>
    </row>
    <row r="3380" spans="9:12" x14ac:dyDescent="0.25">
      <c r="I3380" s="3"/>
      <c r="J3380" s="3"/>
      <c r="K3380" s="3"/>
      <c r="L3380" s="3"/>
    </row>
    <row r="3381" spans="9:12" x14ac:dyDescent="0.25">
      <c r="I3381" s="3"/>
      <c r="J3381" s="3"/>
      <c r="K3381" s="3"/>
      <c r="L3381" s="3"/>
    </row>
    <row r="3382" spans="9:12" x14ac:dyDescent="0.25">
      <c r="I3382" s="3"/>
      <c r="J3382" s="3"/>
      <c r="K3382" s="3"/>
      <c r="L3382" s="3"/>
    </row>
    <row r="3383" spans="9:12" x14ac:dyDescent="0.25">
      <c r="I3383" s="3"/>
      <c r="J3383" s="3"/>
      <c r="K3383" s="3"/>
      <c r="L3383" s="3"/>
    </row>
    <row r="3384" spans="9:12" x14ac:dyDescent="0.25">
      <c r="I3384" s="3"/>
      <c r="J3384" s="3"/>
      <c r="K3384" s="3"/>
      <c r="L3384" s="3"/>
    </row>
    <row r="3385" spans="9:12" x14ac:dyDescent="0.25">
      <c r="I3385" s="3"/>
      <c r="J3385" s="3"/>
      <c r="K3385" s="3"/>
      <c r="L3385" s="3"/>
    </row>
    <row r="3386" spans="9:12" x14ac:dyDescent="0.25">
      <c r="I3386" s="3"/>
      <c r="J3386" s="3"/>
      <c r="K3386" s="3"/>
      <c r="L3386" s="3"/>
    </row>
    <row r="3387" spans="9:12" x14ac:dyDescent="0.25">
      <c r="I3387" s="3"/>
      <c r="J3387" s="3"/>
      <c r="K3387" s="3"/>
      <c r="L3387" s="3"/>
    </row>
    <row r="3388" spans="9:12" x14ac:dyDescent="0.25">
      <c r="I3388" s="3"/>
      <c r="J3388" s="3"/>
      <c r="K3388" s="3"/>
      <c r="L3388" s="3"/>
    </row>
    <row r="3389" spans="9:12" x14ac:dyDescent="0.25">
      <c r="I3389" s="3"/>
      <c r="J3389" s="3"/>
      <c r="K3389" s="3"/>
      <c r="L3389" s="3"/>
    </row>
    <row r="3390" spans="9:12" x14ac:dyDescent="0.25">
      <c r="I3390" s="3"/>
      <c r="J3390" s="3"/>
      <c r="K3390" s="3"/>
      <c r="L3390" s="3"/>
    </row>
    <row r="3391" spans="9:12" x14ac:dyDescent="0.25">
      <c r="I3391" s="3"/>
      <c r="J3391" s="3"/>
      <c r="K3391" s="3"/>
      <c r="L3391" s="3"/>
    </row>
    <row r="3392" spans="9:12" x14ac:dyDescent="0.25">
      <c r="I3392" s="3"/>
      <c r="J3392" s="3"/>
      <c r="K3392" s="3"/>
      <c r="L3392" s="3"/>
    </row>
    <row r="3393" spans="9:12" x14ac:dyDescent="0.25">
      <c r="I3393" s="3"/>
      <c r="J3393" s="3"/>
      <c r="K3393" s="3"/>
      <c r="L3393" s="3"/>
    </row>
    <row r="3394" spans="9:12" x14ac:dyDescent="0.25">
      <c r="I3394" s="3"/>
      <c r="J3394" s="3"/>
      <c r="K3394" s="3"/>
      <c r="L3394" s="3"/>
    </row>
    <row r="3395" spans="9:12" x14ac:dyDescent="0.25">
      <c r="I3395" s="3"/>
      <c r="J3395" s="3"/>
      <c r="K3395" s="3"/>
      <c r="L3395" s="3"/>
    </row>
    <row r="3396" spans="9:12" x14ac:dyDescent="0.25">
      <c r="I3396" s="3"/>
      <c r="J3396" s="3"/>
      <c r="K3396" s="3"/>
      <c r="L3396" s="3"/>
    </row>
    <row r="3397" spans="9:12" x14ac:dyDescent="0.25">
      <c r="I3397" s="3"/>
      <c r="J3397" s="3"/>
      <c r="K3397" s="3"/>
      <c r="L3397" s="3"/>
    </row>
    <row r="3398" spans="9:12" x14ac:dyDescent="0.25">
      <c r="I3398" s="3"/>
      <c r="J3398" s="3"/>
      <c r="K3398" s="3"/>
      <c r="L3398" s="3"/>
    </row>
    <row r="3399" spans="9:12" x14ac:dyDescent="0.25">
      <c r="I3399" s="3"/>
      <c r="J3399" s="3"/>
      <c r="K3399" s="3"/>
      <c r="L3399" s="3"/>
    </row>
    <row r="3400" spans="9:12" x14ac:dyDescent="0.25">
      <c r="I3400" s="3"/>
      <c r="J3400" s="3"/>
      <c r="K3400" s="3"/>
      <c r="L3400" s="3"/>
    </row>
    <row r="3401" spans="9:12" x14ac:dyDescent="0.25">
      <c r="I3401" s="3"/>
      <c r="J3401" s="3"/>
      <c r="K3401" s="3"/>
      <c r="L3401" s="3"/>
    </row>
    <row r="3402" spans="9:12" x14ac:dyDescent="0.25">
      <c r="I3402" s="3"/>
      <c r="J3402" s="3"/>
      <c r="K3402" s="3"/>
      <c r="L3402" s="3"/>
    </row>
    <row r="3403" spans="9:12" x14ac:dyDescent="0.25">
      <c r="I3403" s="3"/>
      <c r="J3403" s="3"/>
      <c r="K3403" s="3"/>
      <c r="L3403" s="3"/>
    </row>
    <row r="3404" spans="9:12" x14ac:dyDescent="0.25">
      <c r="I3404" s="3"/>
      <c r="J3404" s="3"/>
      <c r="K3404" s="3"/>
      <c r="L3404" s="3"/>
    </row>
    <row r="3405" spans="9:12" x14ac:dyDescent="0.25">
      <c r="I3405" s="3"/>
      <c r="J3405" s="3"/>
      <c r="K3405" s="3"/>
      <c r="L3405" s="3"/>
    </row>
    <row r="3406" spans="9:12" x14ac:dyDescent="0.25">
      <c r="I3406" s="3"/>
      <c r="J3406" s="3"/>
      <c r="K3406" s="3"/>
      <c r="L3406" s="3"/>
    </row>
    <row r="3407" spans="9:12" x14ac:dyDescent="0.25">
      <c r="I3407" s="3"/>
      <c r="J3407" s="3"/>
      <c r="K3407" s="3"/>
      <c r="L3407" s="3"/>
    </row>
    <row r="3408" spans="9:12" x14ac:dyDescent="0.25">
      <c r="I3408" s="3"/>
      <c r="J3408" s="3"/>
      <c r="K3408" s="3"/>
      <c r="L3408" s="3"/>
    </row>
    <row r="3409" spans="9:12" x14ac:dyDescent="0.25">
      <c r="I3409" s="3"/>
      <c r="J3409" s="3"/>
      <c r="K3409" s="3"/>
      <c r="L3409" s="3"/>
    </row>
    <row r="3410" spans="9:12" x14ac:dyDescent="0.25">
      <c r="I3410" s="3"/>
      <c r="J3410" s="3"/>
      <c r="K3410" s="3"/>
      <c r="L3410" s="3"/>
    </row>
    <row r="3411" spans="9:12" x14ac:dyDescent="0.25">
      <c r="I3411" s="3"/>
      <c r="J3411" s="3"/>
      <c r="K3411" s="3"/>
      <c r="L3411" s="3"/>
    </row>
    <row r="3412" spans="9:12" x14ac:dyDescent="0.25">
      <c r="I3412" s="3"/>
      <c r="J3412" s="3"/>
      <c r="K3412" s="3"/>
      <c r="L3412" s="3"/>
    </row>
    <row r="3413" spans="9:12" x14ac:dyDescent="0.25">
      <c r="I3413" s="3"/>
      <c r="J3413" s="3"/>
      <c r="K3413" s="3"/>
      <c r="L3413" s="3"/>
    </row>
    <row r="3414" spans="9:12" x14ac:dyDescent="0.25">
      <c r="I3414" s="3"/>
      <c r="J3414" s="3"/>
      <c r="K3414" s="3"/>
      <c r="L3414" s="3"/>
    </row>
    <row r="3415" spans="9:12" x14ac:dyDescent="0.25">
      <c r="I3415" s="3"/>
      <c r="J3415" s="3"/>
      <c r="K3415" s="3"/>
      <c r="L3415" s="3"/>
    </row>
    <row r="3416" spans="9:12" x14ac:dyDescent="0.25">
      <c r="I3416" s="3"/>
      <c r="J3416" s="3"/>
      <c r="K3416" s="3"/>
      <c r="L3416" s="3"/>
    </row>
    <row r="3417" spans="9:12" x14ac:dyDescent="0.25">
      <c r="I3417" s="3"/>
      <c r="J3417" s="3"/>
      <c r="K3417" s="3"/>
      <c r="L3417" s="3"/>
    </row>
    <row r="3418" spans="9:12" x14ac:dyDescent="0.25">
      <c r="I3418" s="3"/>
      <c r="J3418" s="3"/>
      <c r="K3418" s="3"/>
      <c r="L3418" s="3"/>
    </row>
    <row r="3419" spans="9:12" x14ac:dyDescent="0.25">
      <c r="I3419" s="3"/>
      <c r="J3419" s="3"/>
      <c r="K3419" s="3"/>
      <c r="L3419" s="3"/>
    </row>
    <row r="3420" spans="9:12" x14ac:dyDescent="0.25">
      <c r="I3420" s="3"/>
      <c r="J3420" s="3"/>
      <c r="K3420" s="3"/>
      <c r="L3420" s="3"/>
    </row>
    <row r="3421" spans="9:12" x14ac:dyDescent="0.25">
      <c r="I3421" s="3"/>
      <c r="J3421" s="3"/>
      <c r="K3421" s="3"/>
      <c r="L3421" s="3"/>
    </row>
    <row r="3422" spans="9:12" x14ac:dyDescent="0.25">
      <c r="I3422" s="3"/>
      <c r="J3422" s="3"/>
      <c r="K3422" s="3"/>
      <c r="L3422" s="3"/>
    </row>
    <row r="3423" spans="9:12" x14ac:dyDescent="0.25">
      <c r="I3423" s="3"/>
      <c r="J3423" s="3"/>
      <c r="K3423" s="3"/>
      <c r="L3423" s="3"/>
    </row>
    <row r="3424" spans="9:12" x14ac:dyDescent="0.25">
      <c r="I3424" s="3"/>
      <c r="J3424" s="3"/>
      <c r="K3424" s="3"/>
      <c r="L3424" s="3"/>
    </row>
    <row r="3425" spans="9:12" x14ac:dyDescent="0.25">
      <c r="I3425" s="3"/>
      <c r="J3425" s="3"/>
      <c r="K3425" s="3"/>
      <c r="L3425" s="3"/>
    </row>
    <row r="3426" spans="9:12" x14ac:dyDescent="0.25">
      <c r="I3426" s="3"/>
      <c r="J3426" s="3"/>
      <c r="K3426" s="3"/>
      <c r="L3426" s="3"/>
    </row>
    <row r="3427" spans="9:12" x14ac:dyDescent="0.25">
      <c r="I3427" s="3"/>
      <c r="J3427" s="3"/>
      <c r="K3427" s="3"/>
      <c r="L3427" s="3"/>
    </row>
    <row r="3428" spans="9:12" x14ac:dyDescent="0.25">
      <c r="I3428" s="3"/>
      <c r="J3428" s="3"/>
      <c r="K3428" s="3"/>
      <c r="L3428" s="3"/>
    </row>
    <row r="3429" spans="9:12" x14ac:dyDescent="0.25">
      <c r="I3429" s="3"/>
      <c r="J3429" s="3"/>
      <c r="K3429" s="3"/>
      <c r="L3429" s="3"/>
    </row>
    <row r="3430" spans="9:12" x14ac:dyDescent="0.25">
      <c r="I3430" s="3"/>
      <c r="J3430" s="3"/>
      <c r="K3430" s="3"/>
      <c r="L3430" s="3"/>
    </row>
    <row r="3431" spans="9:12" x14ac:dyDescent="0.25">
      <c r="I3431" s="3"/>
      <c r="J3431" s="3"/>
      <c r="K3431" s="3"/>
      <c r="L3431" s="3"/>
    </row>
    <row r="3432" spans="9:12" x14ac:dyDescent="0.25">
      <c r="I3432" s="3"/>
      <c r="J3432" s="3"/>
      <c r="K3432" s="3"/>
      <c r="L3432" s="3"/>
    </row>
    <row r="3433" spans="9:12" x14ac:dyDescent="0.25">
      <c r="I3433" s="3"/>
      <c r="J3433" s="3"/>
      <c r="K3433" s="3"/>
      <c r="L3433" s="3"/>
    </row>
    <row r="3434" spans="9:12" x14ac:dyDescent="0.25">
      <c r="I3434" s="3"/>
      <c r="J3434" s="3"/>
      <c r="K3434" s="3"/>
      <c r="L3434" s="3"/>
    </row>
    <row r="3435" spans="9:12" x14ac:dyDescent="0.25">
      <c r="I3435" s="3"/>
      <c r="J3435" s="3"/>
      <c r="K3435" s="3"/>
      <c r="L3435" s="3"/>
    </row>
    <row r="3436" spans="9:12" x14ac:dyDescent="0.25">
      <c r="I3436" s="3"/>
      <c r="J3436" s="3"/>
      <c r="K3436" s="3"/>
      <c r="L3436" s="3"/>
    </row>
    <row r="3437" spans="9:12" x14ac:dyDescent="0.25">
      <c r="I3437" s="3"/>
      <c r="J3437" s="3"/>
      <c r="K3437" s="3"/>
      <c r="L3437" s="3"/>
    </row>
    <row r="3438" spans="9:12" x14ac:dyDescent="0.25">
      <c r="I3438" s="3"/>
      <c r="J3438" s="3"/>
      <c r="K3438" s="3"/>
      <c r="L3438" s="3"/>
    </row>
    <row r="3439" spans="9:12" x14ac:dyDescent="0.25">
      <c r="I3439" s="3"/>
      <c r="J3439" s="3"/>
      <c r="K3439" s="3"/>
      <c r="L3439" s="3"/>
    </row>
    <row r="3440" spans="9:12" x14ac:dyDescent="0.25">
      <c r="I3440" s="3"/>
      <c r="J3440" s="3"/>
      <c r="K3440" s="3"/>
      <c r="L3440" s="3"/>
    </row>
    <row r="3441" spans="9:12" x14ac:dyDescent="0.25">
      <c r="I3441" s="3"/>
      <c r="J3441" s="3"/>
      <c r="K3441" s="3"/>
      <c r="L3441" s="3"/>
    </row>
    <row r="3442" spans="9:12" x14ac:dyDescent="0.25">
      <c r="I3442" s="3"/>
      <c r="J3442" s="3"/>
      <c r="K3442" s="3"/>
      <c r="L3442" s="3"/>
    </row>
    <row r="3443" spans="9:12" x14ac:dyDescent="0.25">
      <c r="I3443" s="3"/>
      <c r="J3443" s="3"/>
      <c r="K3443" s="3"/>
      <c r="L3443" s="3"/>
    </row>
    <row r="3444" spans="9:12" x14ac:dyDescent="0.25">
      <c r="I3444" s="3"/>
      <c r="J3444" s="3"/>
      <c r="K3444" s="3"/>
      <c r="L3444" s="3"/>
    </row>
    <row r="3445" spans="9:12" x14ac:dyDescent="0.25">
      <c r="I3445" s="3"/>
      <c r="J3445" s="3"/>
      <c r="K3445" s="3"/>
      <c r="L3445" s="3"/>
    </row>
    <row r="3446" spans="9:12" x14ac:dyDescent="0.25">
      <c r="I3446" s="3"/>
      <c r="J3446" s="3"/>
      <c r="K3446" s="3"/>
      <c r="L3446" s="3"/>
    </row>
    <row r="3447" spans="9:12" x14ac:dyDescent="0.25">
      <c r="I3447" s="3"/>
      <c r="J3447" s="3"/>
      <c r="K3447" s="3"/>
      <c r="L3447" s="3"/>
    </row>
    <row r="3448" spans="9:12" x14ac:dyDescent="0.25">
      <c r="I3448" s="3"/>
      <c r="J3448" s="3"/>
      <c r="K3448" s="3"/>
      <c r="L3448" s="3"/>
    </row>
    <row r="3449" spans="9:12" x14ac:dyDescent="0.25">
      <c r="I3449" s="3"/>
      <c r="J3449" s="3"/>
      <c r="K3449" s="3"/>
      <c r="L3449" s="3"/>
    </row>
    <row r="3450" spans="9:12" x14ac:dyDescent="0.25">
      <c r="I3450" s="3"/>
      <c r="J3450" s="3"/>
      <c r="K3450" s="3"/>
      <c r="L3450" s="3"/>
    </row>
    <row r="3451" spans="9:12" x14ac:dyDescent="0.25">
      <c r="I3451" s="3"/>
      <c r="J3451" s="3"/>
      <c r="K3451" s="3"/>
      <c r="L3451" s="3"/>
    </row>
    <row r="3452" spans="9:12" x14ac:dyDescent="0.25">
      <c r="I3452" s="3"/>
      <c r="J3452" s="3"/>
      <c r="K3452" s="3"/>
      <c r="L3452" s="3"/>
    </row>
    <row r="3453" spans="9:12" x14ac:dyDescent="0.25">
      <c r="I3453" s="3"/>
      <c r="J3453" s="3"/>
      <c r="K3453" s="3"/>
      <c r="L3453" s="3"/>
    </row>
    <row r="3454" spans="9:12" x14ac:dyDescent="0.25">
      <c r="I3454" s="3"/>
      <c r="J3454" s="3"/>
      <c r="K3454" s="3"/>
      <c r="L3454" s="3"/>
    </row>
    <row r="3455" spans="9:12" x14ac:dyDescent="0.25">
      <c r="I3455" s="3"/>
      <c r="J3455" s="3"/>
      <c r="K3455" s="3"/>
      <c r="L3455" s="3"/>
    </row>
    <row r="3456" spans="9:12" x14ac:dyDescent="0.25">
      <c r="I3456" s="3"/>
      <c r="J3456" s="3"/>
      <c r="K3456" s="3"/>
      <c r="L3456" s="3"/>
    </row>
    <row r="3457" spans="9:12" x14ac:dyDescent="0.25">
      <c r="I3457" s="3"/>
      <c r="J3457" s="3"/>
      <c r="K3457" s="3"/>
      <c r="L3457" s="3"/>
    </row>
    <row r="3458" spans="9:12" x14ac:dyDescent="0.25">
      <c r="I3458" s="3"/>
      <c r="J3458" s="3"/>
      <c r="K3458" s="3"/>
      <c r="L3458" s="3"/>
    </row>
    <row r="3459" spans="9:12" x14ac:dyDescent="0.25">
      <c r="I3459" s="3"/>
      <c r="J3459" s="3"/>
      <c r="K3459" s="3"/>
      <c r="L3459" s="3"/>
    </row>
    <row r="3460" spans="9:12" x14ac:dyDescent="0.25">
      <c r="I3460" s="3"/>
      <c r="J3460" s="3"/>
      <c r="K3460" s="3"/>
      <c r="L3460" s="3"/>
    </row>
    <row r="3461" spans="9:12" x14ac:dyDescent="0.25">
      <c r="I3461" s="3"/>
      <c r="J3461" s="3"/>
      <c r="K3461" s="3"/>
      <c r="L3461" s="3"/>
    </row>
    <row r="3462" spans="9:12" x14ac:dyDescent="0.25">
      <c r="I3462" s="4"/>
      <c r="J3462" s="4"/>
      <c r="K3462" s="4"/>
      <c r="L3462" s="4"/>
    </row>
    <row r="3463" spans="9:12" x14ac:dyDescent="0.25">
      <c r="I3463" s="3"/>
      <c r="J3463" s="3"/>
      <c r="K3463" s="3"/>
      <c r="L3463" s="3"/>
    </row>
    <row r="3464" spans="9:12" x14ac:dyDescent="0.25">
      <c r="I3464" s="3"/>
      <c r="J3464" s="3"/>
      <c r="K3464" s="3"/>
      <c r="L3464" s="3"/>
    </row>
    <row r="3465" spans="9:12" x14ac:dyDescent="0.25">
      <c r="I3465" s="3"/>
      <c r="J3465" s="3"/>
      <c r="K3465" s="3"/>
      <c r="L3465" s="3"/>
    </row>
    <row r="3466" spans="9:12" x14ac:dyDescent="0.25">
      <c r="I3466" s="3"/>
      <c r="J3466" s="3"/>
      <c r="K3466" s="3"/>
      <c r="L3466" s="3"/>
    </row>
    <row r="3467" spans="9:12" x14ac:dyDescent="0.25">
      <c r="I3467" s="3"/>
      <c r="J3467" s="3"/>
      <c r="K3467" s="3"/>
      <c r="L3467" s="3"/>
    </row>
    <row r="3468" spans="9:12" x14ac:dyDescent="0.25">
      <c r="I3468" s="3"/>
      <c r="J3468" s="3"/>
      <c r="K3468" s="3"/>
      <c r="L3468" s="3"/>
    </row>
    <row r="3469" spans="9:12" x14ac:dyDescent="0.25">
      <c r="I3469" s="3"/>
      <c r="J3469" s="3"/>
      <c r="K3469" s="3"/>
      <c r="L3469" s="3"/>
    </row>
    <row r="3470" spans="9:12" x14ac:dyDescent="0.25">
      <c r="I3470" s="3"/>
      <c r="J3470" s="3"/>
      <c r="K3470" s="3"/>
      <c r="L3470" s="3"/>
    </row>
    <row r="3471" spans="9:12" x14ac:dyDescent="0.25">
      <c r="I3471" s="3"/>
      <c r="J3471" s="3"/>
      <c r="K3471" s="3"/>
      <c r="L3471" s="3"/>
    </row>
    <row r="3472" spans="9:12" x14ac:dyDescent="0.25">
      <c r="I3472" s="3"/>
      <c r="J3472" s="3"/>
      <c r="K3472" s="3"/>
      <c r="L3472" s="3"/>
    </row>
    <row r="3473" spans="9:12" x14ac:dyDescent="0.25">
      <c r="I3473" s="3"/>
      <c r="J3473" s="3"/>
      <c r="K3473" s="3"/>
      <c r="L3473" s="3"/>
    </row>
    <row r="3474" spans="9:12" x14ac:dyDescent="0.25">
      <c r="I3474" s="3"/>
      <c r="J3474" s="3"/>
      <c r="K3474" s="3"/>
      <c r="L3474" s="3"/>
    </row>
    <row r="3475" spans="9:12" x14ac:dyDescent="0.25">
      <c r="I3475" s="3"/>
      <c r="J3475" s="3"/>
      <c r="K3475" s="3"/>
      <c r="L3475" s="3"/>
    </row>
    <row r="3476" spans="9:12" x14ac:dyDescent="0.25">
      <c r="I3476" s="3"/>
      <c r="J3476" s="3"/>
      <c r="K3476" s="3"/>
      <c r="L3476" s="3"/>
    </row>
    <row r="3477" spans="9:12" x14ac:dyDescent="0.25">
      <c r="I3477" s="3"/>
      <c r="J3477" s="3"/>
      <c r="K3477" s="3"/>
      <c r="L3477" s="3"/>
    </row>
    <row r="3478" spans="9:12" x14ac:dyDescent="0.25">
      <c r="I3478" s="3"/>
      <c r="J3478" s="3"/>
      <c r="K3478" s="3"/>
      <c r="L3478" s="3"/>
    </row>
    <row r="3479" spans="9:12" x14ac:dyDescent="0.25">
      <c r="I3479" s="3"/>
      <c r="J3479" s="3"/>
      <c r="K3479" s="3"/>
      <c r="L3479" s="3"/>
    </row>
    <row r="3480" spans="9:12" x14ac:dyDescent="0.25">
      <c r="I3480" s="3"/>
      <c r="J3480" s="3"/>
      <c r="K3480" s="3"/>
      <c r="L3480" s="3"/>
    </row>
    <row r="3481" spans="9:12" x14ac:dyDescent="0.25">
      <c r="I3481" s="3"/>
      <c r="J3481" s="3"/>
      <c r="K3481" s="3"/>
      <c r="L3481" s="3"/>
    </row>
    <row r="3482" spans="9:12" x14ac:dyDescent="0.25">
      <c r="I3482" s="3"/>
      <c r="J3482" s="3"/>
      <c r="K3482" s="3"/>
      <c r="L3482" s="3"/>
    </row>
    <row r="3483" spans="9:12" x14ac:dyDescent="0.25">
      <c r="I3483" s="3"/>
      <c r="J3483" s="3"/>
      <c r="K3483" s="3"/>
      <c r="L3483" s="3"/>
    </row>
    <row r="3484" spans="9:12" x14ac:dyDescent="0.25">
      <c r="I3484" s="3"/>
      <c r="J3484" s="3"/>
      <c r="K3484" s="3"/>
      <c r="L3484" s="3"/>
    </row>
    <row r="3485" spans="9:12" x14ac:dyDescent="0.25">
      <c r="I3485" s="3"/>
      <c r="J3485" s="3"/>
      <c r="K3485" s="3"/>
      <c r="L3485" s="3"/>
    </row>
    <row r="3486" spans="9:12" x14ac:dyDescent="0.25">
      <c r="I3486" s="3"/>
      <c r="J3486" s="3"/>
      <c r="K3486" s="3"/>
      <c r="L3486" s="3"/>
    </row>
    <row r="3487" spans="9:12" x14ac:dyDescent="0.25">
      <c r="I3487" s="3"/>
      <c r="J3487" s="3"/>
      <c r="K3487" s="3"/>
      <c r="L3487" s="3"/>
    </row>
    <row r="3488" spans="9:12" x14ac:dyDescent="0.25">
      <c r="I3488" s="3"/>
      <c r="J3488" s="3"/>
      <c r="K3488" s="3"/>
      <c r="L3488" s="3"/>
    </row>
    <row r="3489" spans="9:12" x14ac:dyDescent="0.25">
      <c r="I3489" s="3"/>
      <c r="J3489" s="3"/>
      <c r="K3489" s="3"/>
      <c r="L3489" s="3"/>
    </row>
    <row r="3490" spans="9:12" x14ac:dyDescent="0.25">
      <c r="I3490" s="3"/>
      <c r="J3490" s="3"/>
      <c r="K3490" s="3"/>
      <c r="L3490" s="3"/>
    </row>
    <row r="3491" spans="9:12" x14ac:dyDescent="0.25">
      <c r="I3491" s="3"/>
      <c r="J3491" s="3"/>
      <c r="K3491" s="3"/>
      <c r="L3491" s="3"/>
    </row>
    <row r="3492" spans="9:12" x14ac:dyDescent="0.25">
      <c r="I3492" s="3"/>
      <c r="J3492" s="3"/>
      <c r="K3492" s="3"/>
      <c r="L3492" s="3"/>
    </row>
    <row r="3493" spans="9:12" x14ac:dyDescent="0.25">
      <c r="I3493" s="3"/>
      <c r="J3493" s="3"/>
      <c r="K3493" s="3"/>
      <c r="L3493" s="3"/>
    </row>
    <row r="3494" spans="9:12" x14ac:dyDescent="0.25">
      <c r="I3494" s="3"/>
      <c r="J3494" s="3"/>
      <c r="K3494" s="3"/>
      <c r="L3494" s="3"/>
    </row>
    <row r="3495" spans="9:12" x14ac:dyDescent="0.25">
      <c r="I3495" s="3"/>
      <c r="J3495" s="3"/>
      <c r="K3495" s="3"/>
      <c r="L3495" s="3"/>
    </row>
    <row r="3496" spans="9:12" x14ac:dyDescent="0.25">
      <c r="I3496" s="3"/>
      <c r="J3496" s="3"/>
      <c r="K3496" s="3"/>
      <c r="L3496" s="3"/>
    </row>
    <row r="3497" spans="9:12" x14ac:dyDescent="0.25">
      <c r="I3497" s="3"/>
      <c r="J3497" s="3"/>
      <c r="K3497" s="3"/>
      <c r="L3497" s="3"/>
    </row>
    <row r="3498" spans="9:12" x14ac:dyDescent="0.25">
      <c r="I3498" s="3"/>
      <c r="J3498" s="3"/>
      <c r="K3498" s="3"/>
      <c r="L3498" s="3"/>
    </row>
    <row r="3499" spans="9:12" x14ac:dyDescent="0.25">
      <c r="I3499" s="3"/>
      <c r="J3499" s="3"/>
      <c r="K3499" s="3"/>
      <c r="L3499" s="3"/>
    </row>
    <row r="3500" spans="9:12" x14ac:dyDescent="0.25">
      <c r="I3500" s="3"/>
      <c r="J3500" s="3"/>
      <c r="K3500" s="3"/>
      <c r="L3500" s="3"/>
    </row>
    <row r="3501" spans="9:12" x14ac:dyDescent="0.25">
      <c r="I3501" s="3"/>
      <c r="J3501" s="3"/>
      <c r="K3501" s="3"/>
      <c r="L3501" s="3"/>
    </row>
    <row r="3502" spans="9:12" x14ac:dyDescent="0.25">
      <c r="I3502" s="3"/>
      <c r="J3502" s="3"/>
      <c r="K3502" s="3"/>
      <c r="L3502" s="3"/>
    </row>
    <row r="3503" spans="9:12" x14ac:dyDescent="0.25">
      <c r="I3503" s="3"/>
      <c r="J3503" s="3"/>
      <c r="K3503" s="3"/>
      <c r="L3503" s="3"/>
    </row>
    <row r="3504" spans="9:12" x14ac:dyDescent="0.25">
      <c r="I3504" s="3"/>
      <c r="J3504" s="3"/>
      <c r="K3504" s="3"/>
      <c r="L3504" s="3"/>
    </row>
    <row r="3505" spans="9:12" x14ac:dyDescent="0.25">
      <c r="I3505" s="3"/>
      <c r="J3505" s="3"/>
      <c r="K3505" s="3"/>
      <c r="L3505" s="3"/>
    </row>
    <row r="3506" spans="9:12" x14ac:dyDescent="0.25">
      <c r="I3506" s="3"/>
      <c r="J3506" s="3"/>
      <c r="K3506" s="3"/>
      <c r="L3506" s="3"/>
    </row>
    <row r="3507" spans="9:12" x14ac:dyDescent="0.25">
      <c r="I3507" s="3"/>
      <c r="J3507" s="3"/>
      <c r="K3507" s="3"/>
      <c r="L3507" s="3"/>
    </row>
    <row r="3508" spans="9:12" x14ac:dyDescent="0.25">
      <c r="I3508" s="3"/>
      <c r="J3508" s="3"/>
      <c r="K3508" s="3"/>
      <c r="L3508" s="3"/>
    </row>
    <row r="3509" spans="9:12" x14ac:dyDescent="0.25">
      <c r="I3509" s="3"/>
      <c r="J3509" s="3"/>
      <c r="K3509" s="3"/>
      <c r="L3509" s="3"/>
    </row>
    <row r="3510" spans="9:12" x14ac:dyDescent="0.25">
      <c r="I3510" s="3"/>
      <c r="J3510" s="3"/>
      <c r="K3510" s="3"/>
      <c r="L3510" s="3"/>
    </row>
    <row r="3511" spans="9:12" x14ac:dyDescent="0.25">
      <c r="I3511" s="3"/>
      <c r="J3511" s="3"/>
      <c r="K3511" s="3"/>
      <c r="L3511" s="3"/>
    </row>
    <row r="3512" spans="9:12" x14ac:dyDescent="0.25">
      <c r="I3512" s="3"/>
      <c r="J3512" s="3"/>
      <c r="K3512" s="3"/>
      <c r="L3512" s="3"/>
    </row>
    <row r="3513" spans="9:12" x14ac:dyDescent="0.25">
      <c r="I3513" s="3"/>
      <c r="J3513" s="3"/>
      <c r="K3513" s="3"/>
      <c r="L3513" s="3"/>
    </row>
    <row r="3514" spans="9:12" x14ac:dyDescent="0.25">
      <c r="I3514" s="3"/>
      <c r="J3514" s="3"/>
      <c r="K3514" s="3"/>
      <c r="L3514" s="3"/>
    </row>
    <row r="3515" spans="9:12" x14ac:dyDescent="0.25">
      <c r="I3515" s="3"/>
      <c r="J3515" s="3"/>
      <c r="K3515" s="3"/>
      <c r="L3515" s="3"/>
    </row>
    <row r="3516" spans="9:12" x14ac:dyDescent="0.25">
      <c r="I3516" s="3"/>
      <c r="J3516" s="3"/>
      <c r="K3516" s="3"/>
      <c r="L3516" s="3"/>
    </row>
    <row r="3517" spans="9:12" x14ac:dyDescent="0.25">
      <c r="I3517" s="3"/>
      <c r="J3517" s="3"/>
      <c r="K3517" s="3"/>
      <c r="L3517" s="3"/>
    </row>
    <row r="3518" spans="9:12" x14ac:dyDescent="0.25">
      <c r="I3518" s="3"/>
      <c r="J3518" s="3"/>
      <c r="K3518" s="3"/>
      <c r="L3518" s="3"/>
    </row>
    <row r="3519" spans="9:12" x14ac:dyDescent="0.25">
      <c r="I3519" s="3"/>
      <c r="J3519" s="3"/>
      <c r="K3519" s="3"/>
      <c r="L3519" s="3"/>
    </row>
    <row r="3520" spans="9:12" x14ac:dyDescent="0.25">
      <c r="I3520" s="3"/>
      <c r="J3520" s="3"/>
      <c r="K3520" s="3"/>
      <c r="L3520" s="3"/>
    </row>
    <row r="3521" spans="9:12" x14ac:dyDescent="0.25">
      <c r="I3521" s="3"/>
      <c r="J3521" s="3"/>
      <c r="K3521" s="3"/>
      <c r="L3521" s="3"/>
    </row>
    <row r="3522" spans="9:12" x14ac:dyDescent="0.25">
      <c r="I3522" s="3"/>
      <c r="J3522" s="3"/>
      <c r="K3522" s="3"/>
      <c r="L3522" s="3"/>
    </row>
    <row r="3523" spans="9:12" x14ac:dyDescent="0.25">
      <c r="I3523" s="3"/>
      <c r="J3523" s="3"/>
      <c r="K3523" s="3"/>
      <c r="L3523" s="3"/>
    </row>
    <row r="3524" spans="9:12" x14ac:dyDescent="0.25">
      <c r="I3524" s="3"/>
      <c r="J3524" s="3"/>
      <c r="K3524" s="3"/>
      <c r="L3524" s="3"/>
    </row>
    <row r="3525" spans="9:12" x14ac:dyDescent="0.25">
      <c r="I3525" s="3"/>
      <c r="J3525" s="3"/>
      <c r="K3525" s="3"/>
      <c r="L3525" s="3"/>
    </row>
    <row r="3526" spans="9:12" x14ac:dyDescent="0.25">
      <c r="I3526" s="3"/>
      <c r="J3526" s="3"/>
      <c r="K3526" s="3"/>
      <c r="L3526" s="3"/>
    </row>
    <row r="3527" spans="9:12" x14ac:dyDescent="0.25">
      <c r="I3527" s="3"/>
      <c r="J3527" s="3"/>
      <c r="K3527" s="3"/>
      <c r="L3527" s="3"/>
    </row>
    <row r="3528" spans="9:12" x14ac:dyDescent="0.25">
      <c r="I3528" s="3"/>
      <c r="J3528" s="3"/>
      <c r="K3528" s="3"/>
      <c r="L3528" s="3"/>
    </row>
    <row r="3529" spans="9:12" x14ac:dyDescent="0.25">
      <c r="I3529" s="3"/>
      <c r="J3529" s="3"/>
      <c r="K3529" s="3"/>
      <c r="L3529" s="3"/>
    </row>
    <row r="3530" spans="9:12" x14ac:dyDescent="0.25">
      <c r="I3530" s="3"/>
      <c r="J3530" s="3"/>
      <c r="K3530" s="3"/>
      <c r="L3530" s="3"/>
    </row>
    <row r="3531" spans="9:12" x14ac:dyDescent="0.25">
      <c r="I3531" s="3"/>
      <c r="J3531" s="3"/>
      <c r="K3531" s="3"/>
      <c r="L3531" s="3"/>
    </row>
    <row r="3532" spans="9:12" x14ac:dyDescent="0.25">
      <c r="I3532" s="3"/>
      <c r="J3532" s="3"/>
      <c r="K3532" s="3"/>
      <c r="L3532" s="3"/>
    </row>
    <row r="3533" spans="9:12" x14ac:dyDescent="0.25">
      <c r="I3533" s="3"/>
      <c r="J3533" s="3"/>
      <c r="K3533" s="3"/>
      <c r="L3533" s="3"/>
    </row>
    <row r="3534" spans="9:12" x14ac:dyDescent="0.25">
      <c r="I3534" s="3"/>
      <c r="J3534" s="3"/>
      <c r="K3534" s="3"/>
      <c r="L3534" s="3"/>
    </row>
    <row r="3535" spans="9:12" x14ac:dyDescent="0.25">
      <c r="I3535" s="3"/>
      <c r="J3535" s="3"/>
      <c r="K3535" s="3"/>
      <c r="L3535" s="3"/>
    </row>
    <row r="3536" spans="9:12" x14ac:dyDescent="0.25">
      <c r="I3536" s="3"/>
      <c r="J3536" s="3"/>
      <c r="K3536" s="3"/>
      <c r="L3536" s="3"/>
    </row>
    <row r="3537" spans="9:12" x14ac:dyDescent="0.25">
      <c r="I3537" s="3"/>
      <c r="J3537" s="3"/>
      <c r="K3537" s="3"/>
      <c r="L3537" s="3"/>
    </row>
    <row r="3538" spans="9:12" x14ac:dyDescent="0.25">
      <c r="I3538" s="3"/>
      <c r="J3538" s="3"/>
      <c r="K3538" s="3"/>
      <c r="L3538" s="3"/>
    </row>
    <row r="3539" spans="9:12" x14ac:dyDescent="0.25">
      <c r="I3539" s="3"/>
      <c r="J3539" s="3"/>
      <c r="K3539" s="3"/>
      <c r="L3539" s="3"/>
    </row>
    <row r="3540" spans="9:12" x14ac:dyDescent="0.25">
      <c r="I3540" s="3"/>
      <c r="J3540" s="3"/>
      <c r="K3540" s="3"/>
      <c r="L3540" s="3"/>
    </row>
    <row r="3541" spans="9:12" x14ac:dyDescent="0.25">
      <c r="I3541" s="3"/>
      <c r="J3541" s="3"/>
      <c r="K3541" s="3"/>
      <c r="L3541" s="3"/>
    </row>
    <row r="3542" spans="9:12" x14ac:dyDescent="0.25">
      <c r="I3542" s="3"/>
      <c r="J3542" s="3"/>
      <c r="K3542" s="3"/>
      <c r="L3542" s="3"/>
    </row>
    <row r="3543" spans="9:12" x14ac:dyDescent="0.25">
      <c r="I3543" s="3"/>
      <c r="J3543" s="3"/>
      <c r="K3543" s="3"/>
      <c r="L3543" s="3"/>
    </row>
    <row r="3544" spans="9:12" x14ac:dyDescent="0.25">
      <c r="I3544" s="3"/>
      <c r="J3544" s="3"/>
      <c r="K3544" s="3"/>
      <c r="L3544" s="3"/>
    </row>
    <row r="3545" spans="9:12" x14ac:dyDescent="0.25">
      <c r="I3545" s="3"/>
      <c r="J3545" s="3"/>
      <c r="K3545" s="3"/>
      <c r="L3545" s="3"/>
    </row>
    <row r="3546" spans="9:12" x14ac:dyDescent="0.25">
      <c r="I3546" s="3"/>
      <c r="J3546" s="3"/>
      <c r="K3546" s="3"/>
      <c r="L3546" s="3"/>
    </row>
    <row r="3547" spans="9:12" x14ac:dyDescent="0.25">
      <c r="I3547" s="3"/>
      <c r="J3547" s="3"/>
      <c r="K3547" s="3"/>
      <c r="L3547" s="3"/>
    </row>
    <row r="3548" spans="9:12" x14ac:dyDescent="0.25">
      <c r="I3548" s="3"/>
      <c r="J3548" s="3"/>
      <c r="K3548" s="3"/>
      <c r="L3548" s="3"/>
    </row>
    <row r="3549" spans="9:12" x14ac:dyDescent="0.25">
      <c r="I3549" s="3"/>
      <c r="J3549" s="3"/>
      <c r="K3549" s="3"/>
      <c r="L3549" s="3"/>
    </row>
    <row r="3550" spans="9:12" x14ac:dyDescent="0.25">
      <c r="I3550" s="3"/>
      <c r="J3550" s="3"/>
      <c r="K3550" s="3"/>
      <c r="L3550" s="3"/>
    </row>
    <row r="3551" spans="9:12" x14ac:dyDescent="0.25">
      <c r="I3551" s="3"/>
      <c r="J3551" s="3"/>
      <c r="K3551" s="3"/>
      <c r="L3551" s="3"/>
    </row>
    <row r="3552" spans="9:12" x14ac:dyDescent="0.25">
      <c r="I3552" s="3"/>
      <c r="J3552" s="3"/>
      <c r="K3552" s="3"/>
      <c r="L3552" s="3"/>
    </row>
    <row r="3553" spans="9:12" x14ac:dyDescent="0.25">
      <c r="I3553" s="3"/>
      <c r="J3553" s="3"/>
      <c r="K3553" s="3"/>
      <c r="L3553" s="3"/>
    </row>
    <row r="3554" spans="9:12" x14ac:dyDescent="0.25">
      <c r="I3554" s="3"/>
      <c r="J3554" s="3"/>
      <c r="K3554" s="3"/>
      <c r="L3554" s="3"/>
    </row>
    <row r="3555" spans="9:12" x14ac:dyDescent="0.25">
      <c r="I3555" s="3"/>
      <c r="J3555" s="3"/>
      <c r="K3555" s="3"/>
      <c r="L3555" s="3"/>
    </row>
    <row r="3556" spans="9:12" x14ac:dyDescent="0.25">
      <c r="I3556" s="3"/>
      <c r="J3556" s="3"/>
      <c r="K3556" s="3"/>
      <c r="L3556" s="3"/>
    </row>
    <row r="3557" spans="9:12" x14ac:dyDescent="0.25">
      <c r="I3557" s="3"/>
      <c r="J3557" s="3"/>
      <c r="K3557" s="3"/>
      <c r="L3557" s="3"/>
    </row>
    <row r="3558" spans="9:12" x14ac:dyDescent="0.25">
      <c r="I3558" s="3"/>
      <c r="J3558" s="3"/>
      <c r="K3558" s="3"/>
      <c r="L3558" s="3"/>
    </row>
    <row r="3559" spans="9:12" x14ac:dyDescent="0.25">
      <c r="I3559" s="3"/>
      <c r="J3559" s="3"/>
      <c r="K3559" s="3"/>
      <c r="L3559" s="3"/>
    </row>
    <row r="3560" spans="9:12" x14ac:dyDescent="0.25">
      <c r="I3560" s="3"/>
      <c r="J3560" s="3"/>
      <c r="K3560" s="3"/>
      <c r="L3560" s="3"/>
    </row>
    <row r="3561" spans="9:12" x14ac:dyDescent="0.25">
      <c r="I3561" s="3"/>
      <c r="J3561" s="3"/>
      <c r="K3561" s="3"/>
      <c r="L3561" s="3"/>
    </row>
    <row r="3562" spans="9:12" x14ac:dyDescent="0.25">
      <c r="I3562" s="3"/>
      <c r="J3562" s="3"/>
      <c r="K3562" s="3"/>
      <c r="L3562" s="3"/>
    </row>
    <row r="3563" spans="9:12" x14ac:dyDescent="0.25">
      <c r="I3563" s="3"/>
      <c r="J3563" s="3"/>
      <c r="K3563" s="3"/>
      <c r="L3563" s="3"/>
    </row>
    <row r="3564" spans="9:12" x14ac:dyDescent="0.25">
      <c r="I3564" s="3"/>
      <c r="J3564" s="3"/>
      <c r="K3564" s="3"/>
      <c r="L3564" s="3"/>
    </row>
    <row r="3565" spans="9:12" x14ac:dyDescent="0.25">
      <c r="I3565" s="3"/>
      <c r="J3565" s="3"/>
      <c r="K3565" s="3"/>
      <c r="L3565" s="3"/>
    </row>
    <row r="3566" spans="9:12" x14ac:dyDescent="0.25">
      <c r="I3566" s="3"/>
      <c r="J3566" s="3"/>
      <c r="K3566" s="3"/>
      <c r="L3566" s="3"/>
    </row>
    <row r="3567" spans="9:12" x14ac:dyDescent="0.25">
      <c r="I3567" s="3"/>
      <c r="J3567" s="3"/>
      <c r="K3567" s="3"/>
      <c r="L3567" s="3"/>
    </row>
    <row r="3568" spans="9:12" x14ac:dyDescent="0.25">
      <c r="I3568" s="3"/>
      <c r="J3568" s="3"/>
      <c r="K3568" s="3"/>
      <c r="L3568" s="3"/>
    </row>
    <row r="3569" spans="9:12" x14ac:dyDescent="0.25">
      <c r="I3569" s="3"/>
      <c r="J3569" s="3"/>
      <c r="K3569" s="3"/>
      <c r="L3569" s="3"/>
    </row>
    <row r="3570" spans="9:12" x14ac:dyDescent="0.25">
      <c r="I3570" s="3"/>
      <c r="J3570" s="3"/>
      <c r="K3570" s="3"/>
      <c r="L3570" s="3"/>
    </row>
    <row r="3571" spans="9:12" x14ac:dyDescent="0.25">
      <c r="I3571" s="3"/>
      <c r="J3571" s="3"/>
      <c r="K3571" s="3"/>
      <c r="L3571" s="3"/>
    </row>
    <row r="3572" spans="9:12" x14ac:dyDescent="0.25">
      <c r="I3572" s="3"/>
      <c r="J3572" s="3"/>
      <c r="K3572" s="3"/>
      <c r="L3572" s="3"/>
    </row>
    <row r="3573" spans="9:12" x14ac:dyDescent="0.25">
      <c r="I3573" s="3"/>
      <c r="J3573" s="3"/>
      <c r="K3573" s="3"/>
      <c r="L3573" s="3"/>
    </row>
    <row r="3574" spans="9:12" x14ac:dyDescent="0.25">
      <c r="I3574" s="3"/>
      <c r="J3574" s="3"/>
      <c r="K3574" s="3"/>
      <c r="L3574" s="3"/>
    </row>
    <row r="3575" spans="9:12" x14ac:dyDescent="0.25">
      <c r="I3575" s="3"/>
      <c r="J3575" s="3"/>
      <c r="K3575" s="3"/>
      <c r="L3575" s="3"/>
    </row>
    <row r="3576" spans="9:12" x14ac:dyDescent="0.25">
      <c r="I3576" s="3"/>
      <c r="J3576" s="3"/>
      <c r="K3576" s="3"/>
      <c r="L3576" s="3"/>
    </row>
    <row r="3577" spans="9:12" x14ac:dyDescent="0.25">
      <c r="I3577" s="3"/>
      <c r="J3577" s="3"/>
      <c r="K3577" s="3"/>
      <c r="L3577" s="3"/>
    </row>
    <row r="3578" spans="9:12" x14ac:dyDescent="0.25">
      <c r="I3578" s="3"/>
      <c r="J3578" s="3"/>
      <c r="K3578" s="3"/>
      <c r="L3578" s="3"/>
    </row>
    <row r="3579" spans="9:12" x14ac:dyDescent="0.25">
      <c r="I3579" s="3"/>
      <c r="J3579" s="3"/>
      <c r="K3579" s="3"/>
      <c r="L3579" s="3"/>
    </row>
    <row r="3580" spans="9:12" x14ac:dyDescent="0.25">
      <c r="I3580" s="3"/>
      <c r="J3580" s="3"/>
      <c r="K3580" s="3"/>
      <c r="L3580" s="3"/>
    </row>
    <row r="3581" spans="9:12" x14ac:dyDescent="0.25">
      <c r="I3581" s="3"/>
      <c r="J3581" s="3"/>
      <c r="K3581" s="3"/>
      <c r="L3581" s="3"/>
    </row>
    <row r="3582" spans="9:12" x14ac:dyDescent="0.25">
      <c r="I3582" s="3"/>
      <c r="J3582" s="3"/>
      <c r="K3582" s="3"/>
      <c r="L3582" s="3"/>
    </row>
    <row r="3583" spans="9:12" x14ac:dyDescent="0.25">
      <c r="I3583" s="3"/>
      <c r="J3583" s="3"/>
      <c r="K3583" s="3"/>
      <c r="L3583" s="3"/>
    </row>
    <row r="3584" spans="9:12" x14ac:dyDescent="0.25">
      <c r="I3584" s="3"/>
      <c r="J3584" s="3"/>
      <c r="K3584" s="3"/>
      <c r="L3584" s="3"/>
    </row>
    <row r="3585" spans="9:12" x14ac:dyDescent="0.25">
      <c r="I3585" s="3"/>
      <c r="J3585" s="3"/>
      <c r="K3585" s="3"/>
      <c r="L3585" s="3"/>
    </row>
    <row r="3586" spans="9:12" x14ac:dyDescent="0.25">
      <c r="I3586" s="3"/>
      <c r="J3586" s="3"/>
      <c r="K3586" s="3"/>
      <c r="L3586" s="3"/>
    </row>
    <row r="3587" spans="9:12" x14ac:dyDescent="0.25">
      <c r="I3587" s="3"/>
      <c r="J3587" s="3"/>
      <c r="K3587" s="3"/>
      <c r="L3587" s="3"/>
    </row>
    <row r="3588" spans="9:12" x14ac:dyDescent="0.25">
      <c r="I3588" s="3"/>
      <c r="J3588" s="3"/>
      <c r="K3588" s="3"/>
      <c r="L3588" s="3"/>
    </row>
    <row r="3589" spans="9:12" x14ac:dyDescent="0.25">
      <c r="I3589" s="3"/>
      <c r="J3589" s="3"/>
      <c r="K3589" s="3"/>
      <c r="L3589" s="3"/>
    </row>
    <row r="3590" spans="9:12" x14ac:dyDescent="0.25">
      <c r="I3590" s="3"/>
      <c r="J3590" s="3"/>
      <c r="K3590" s="3"/>
      <c r="L3590" s="3"/>
    </row>
    <row r="3591" spans="9:12" x14ac:dyDescent="0.25">
      <c r="I3591" s="3"/>
      <c r="J3591" s="3"/>
      <c r="K3591" s="3"/>
      <c r="L3591" s="3"/>
    </row>
    <row r="3592" spans="9:12" x14ac:dyDescent="0.25">
      <c r="I3592" s="3"/>
      <c r="J3592" s="3"/>
      <c r="K3592" s="3"/>
      <c r="L3592" s="3"/>
    </row>
    <row r="3593" spans="9:12" x14ac:dyDescent="0.25">
      <c r="I3593" s="3"/>
      <c r="J3593" s="3"/>
      <c r="K3593" s="3"/>
      <c r="L3593" s="3"/>
    </row>
    <row r="3594" spans="9:12" x14ac:dyDescent="0.25">
      <c r="I3594" s="3"/>
      <c r="J3594" s="3"/>
      <c r="K3594" s="3"/>
      <c r="L3594" s="3"/>
    </row>
    <row r="3595" spans="9:12" x14ac:dyDescent="0.25">
      <c r="I3595" s="3"/>
      <c r="J3595" s="3"/>
      <c r="K3595" s="3"/>
      <c r="L3595" s="3"/>
    </row>
    <row r="3596" spans="9:12" x14ac:dyDescent="0.25">
      <c r="I3596" s="3"/>
      <c r="J3596" s="3"/>
      <c r="K3596" s="3"/>
      <c r="L3596" s="3"/>
    </row>
    <row r="3597" spans="9:12" x14ac:dyDescent="0.25">
      <c r="I3597" s="3"/>
      <c r="J3597" s="3"/>
      <c r="K3597" s="3"/>
      <c r="L3597" s="3"/>
    </row>
    <row r="3598" spans="9:12" x14ac:dyDescent="0.25">
      <c r="I3598" s="3"/>
      <c r="J3598" s="3"/>
      <c r="K3598" s="3"/>
      <c r="L3598" s="3"/>
    </row>
    <row r="3599" spans="9:12" x14ac:dyDescent="0.25">
      <c r="I3599" s="3"/>
      <c r="J3599" s="3"/>
      <c r="K3599" s="3"/>
      <c r="L3599" s="3"/>
    </row>
    <row r="3600" spans="9:12" x14ac:dyDescent="0.25">
      <c r="I3600" s="3"/>
      <c r="J3600" s="3"/>
      <c r="K3600" s="3"/>
      <c r="L3600" s="3"/>
    </row>
    <row r="3601" spans="9:12" x14ac:dyDescent="0.25">
      <c r="I3601" s="3"/>
      <c r="J3601" s="3"/>
      <c r="K3601" s="3"/>
      <c r="L3601" s="3"/>
    </row>
    <row r="3602" spans="9:12" x14ac:dyDescent="0.25">
      <c r="I3602" s="3"/>
      <c r="J3602" s="3"/>
      <c r="K3602" s="3"/>
      <c r="L3602" s="3"/>
    </row>
    <row r="3603" spans="9:12" x14ac:dyDescent="0.25">
      <c r="I3603" s="3"/>
      <c r="J3603" s="3"/>
      <c r="K3603" s="3"/>
      <c r="L3603" s="3"/>
    </row>
    <row r="3604" spans="9:12" x14ac:dyDescent="0.25">
      <c r="I3604" s="3"/>
      <c r="J3604" s="3"/>
      <c r="K3604" s="3"/>
      <c r="L3604" s="3"/>
    </row>
    <row r="3605" spans="9:12" x14ac:dyDescent="0.25">
      <c r="I3605" s="3"/>
      <c r="J3605" s="3"/>
      <c r="K3605" s="3"/>
      <c r="L3605" s="3"/>
    </row>
    <row r="3606" spans="9:12" x14ac:dyDescent="0.25">
      <c r="I3606" s="3"/>
      <c r="J3606" s="3"/>
      <c r="K3606" s="3"/>
      <c r="L3606" s="3"/>
    </row>
    <row r="3607" spans="9:12" x14ac:dyDescent="0.25">
      <c r="I3607" s="3"/>
      <c r="J3607" s="3"/>
      <c r="K3607" s="3"/>
      <c r="L3607" s="3"/>
    </row>
    <row r="3608" spans="9:12" x14ac:dyDescent="0.25">
      <c r="I3608" s="3"/>
      <c r="J3608" s="3"/>
      <c r="K3608" s="3"/>
      <c r="L3608" s="3"/>
    </row>
    <row r="3609" spans="9:12" x14ac:dyDescent="0.25">
      <c r="I3609" s="3"/>
      <c r="J3609" s="3"/>
      <c r="K3609" s="3"/>
      <c r="L3609" s="3"/>
    </row>
    <row r="3610" spans="9:12" x14ac:dyDescent="0.25">
      <c r="I3610" s="3"/>
      <c r="J3610" s="3"/>
      <c r="K3610" s="3"/>
      <c r="L3610" s="3"/>
    </row>
    <row r="3611" spans="9:12" x14ac:dyDescent="0.25">
      <c r="I3611" s="3"/>
      <c r="J3611" s="3"/>
      <c r="K3611" s="3"/>
      <c r="L3611" s="3"/>
    </row>
    <row r="3612" spans="9:12" x14ac:dyDescent="0.25">
      <c r="I3612" s="3"/>
      <c r="J3612" s="3"/>
      <c r="K3612" s="3"/>
      <c r="L3612" s="3"/>
    </row>
    <row r="3613" spans="9:12" x14ac:dyDescent="0.25">
      <c r="I3613" s="3"/>
      <c r="J3613" s="3"/>
      <c r="K3613" s="3"/>
      <c r="L3613" s="3"/>
    </row>
    <row r="3614" spans="9:12" x14ac:dyDescent="0.25">
      <c r="I3614" s="3"/>
      <c r="J3614" s="3"/>
      <c r="K3614" s="3"/>
      <c r="L3614" s="3"/>
    </row>
    <row r="3615" spans="9:12" x14ac:dyDescent="0.25">
      <c r="I3615" s="3"/>
      <c r="J3615" s="3"/>
      <c r="K3615" s="3"/>
      <c r="L3615" s="3"/>
    </row>
    <row r="3616" spans="9:12" x14ac:dyDescent="0.25">
      <c r="I3616" s="3"/>
      <c r="J3616" s="3"/>
      <c r="K3616" s="3"/>
      <c r="L3616" s="3"/>
    </row>
    <row r="3617" spans="9:12" x14ac:dyDescent="0.25">
      <c r="I3617" s="3"/>
      <c r="J3617" s="3"/>
      <c r="K3617" s="3"/>
      <c r="L3617" s="3"/>
    </row>
    <row r="3618" spans="9:12" x14ac:dyDescent="0.25">
      <c r="I3618" s="3"/>
      <c r="J3618" s="3"/>
      <c r="K3618" s="3"/>
      <c r="L3618" s="3"/>
    </row>
    <row r="3619" spans="9:12" x14ac:dyDescent="0.25">
      <c r="I3619" s="3"/>
      <c r="J3619" s="3"/>
      <c r="K3619" s="3"/>
      <c r="L3619" s="3"/>
    </row>
    <row r="3620" spans="9:12" x14ac:dyDescent="0.25">
      <c r="I3620" s="3"/>
      <c r="J3620" s="3"/>
      <c r="K3620" s="3"/>
      <c r="L3620" s="3"/>
    </row>
    <row r="3621" spans="9:12" x14ac:dyDescent="0.25">
      <c r="I3621" s="3"/>
      <c r="J3621" s="3"/>
      <c r="K3621" s="3"/>
      <c r="L3621" s="3"/>
    </row>
    <row r="3622" spans="9:12" x14ac:dyDescent="0.25">
      <c r="I3622" s="3"/>
      <c r="J3622" s="3"/>
      <c r="K3622" s="3"/>
      <c r="L3622" s="3"/>
    </row>
    <row r="3623" spans="9:12" x14ac:dyDescent="0.25">
      <c r="I3623" s="3"/>
      <c r="J3623" s="3"/>
      <c r="K3623" s="3"/>
      <c r="L3623" s="3"/>
    </row>
    <row r="3624" spans="9:12" x14ac:dyDescent="0.25">
      <c r="I3624" s="3"/>
      <c r="J3624" s="3"/>
      <c r="K3624" s="3"/>
      <c r="L3624" s="3"/>
    </row>
    <row r="3625" spans="9:12" x14ac:dyDescent="0.25">
      <c r="I3625" s="3"/>
      <c r="J3625" s="3"/>
      <c r="K3625" s="3"/>
      <c r="L3625" s="3"/>
    </row>
    <row r="3626" spans="9:12" x14ac:dyDescent="0.25">
      <c r="I3626" s="3"/>
      <c r="J3626" s="3"/>
      <c r="K3626" s="3"/>
      <c r="L3626" s="3"/>
    </row>
    <row r="3627" spans="9:12" x14ac:dyDescent="0.25">
      <c r="I3627" s="3"/>
      <c r="J3627" s="3"/>
      <c r="K3627" s="3"/>
      <c r="L3627" s="3"/>
    </row>
    <row r="3628" spans="9:12" x14ac:dyDescent="0.25">
      <c r="I3628" s="3"/>
      <c r="J3628" s="3"/>
      <c r="K3628" s="3"/>
      <c r="L3628" s="3"/>
    </row>
    <row r="3629" spans="9:12" x14ac:dyDescent="0.25">
      <c r="I3629" s="3"/>
      <c r="J3629" s="3"/>
      <c r="K3629" s="3"/>
      <c r="L3629" s="3"/>
    </row>
    <row r="3630" spans="9:12" x14ac:dyDescent="0.25">
      <c r="I3630" s="3"/>
      <c r="J3630" s="3"/>
      <c r="K3630" s="3"/>
      <c r="L3630" s="3"/>
    </row>
    <row r="3631" spans="9:12" x14ac:dyDescent="0.25">
      <c r="I3631" s="3"/>
      <c r="J3631" s="3"/>
      <c r="K3631" s="3"/>
      <c r="L3631" s="3"/>
    </row>
    <row r="3632" spans="9:12" x14ac:dyDescent="0.25">
      <c r="I3632" s="3"/>
      <c r="J3632" s="3"/>
      <c r="K3632" s="3"/>
      <c r="L3632" s="3"/>
    </row>
    <row r="3633" spans="9:12" x14ac:dyDescent="0.25">
      <c r="I3633" s="3"/>
      <c r="J3633" s="3"/>
      <c r="K3633" s="3"/>
      <c r="L3633" s="3"/>
    </row>
    <row r="3634" spans="9:12" x14ac:dyDescent="0.25">
      <c r="I3634" s="3"/>
      <c r="J3634" s="3"/>
      <c r="K3634" s="3"/>
      <c r="L3634" s="3"/>
    </row>
    <row r="3635" spans="9:12" x14ac:dyDescent="0.25">
      <c r="I3635" s="3"/>
      <c r="J3635" s="3"/>
      <c r="K3635" s="3"/>
      <c r="L3635" s="3"/>
    </row>
    <row r="3636" spans="9:12" x14ac:dyDescent="0.25">
      <c r="I3636" s="3"/>
      <c r="J3636" s="3"/>
      <c r="K3636" s="3"/>
      <c r="L3636" s="3"/>
    </row>
    <row r="3637" spans="9:12" x14ac:dyDescent="0.25">
      <c r="I3637" s="3"/>
      <c r="J3637" s="3"/>
      <c r="K3637" s="3"/>
      <c r="L3637" s="3"/>
    </row>
    <row r="3638" spans="9:12" x14ac:dyDescent="0.25">
      <c r="I3638" s="3"/>
      <c r="J3638" s="3"/>
      <c r="K3638" s="3"/>
      <c r="L3638" s="3"/>
    </row>
    <row r="3639" spans="9:12" x14ac:dyDescent="0.25">
      <c r="I3639" s="3"/>
      <c r="J3639" s="3"/>
      <c r="K3639" s="3"/>
      <c r="L3639" s="3"/>
    </row>
    <row r="3640" spans="9:12" x14ac:dyDescent="0.25">
      <c r="I3640" s="3"/>
      <c r="J3640" s="3"/>
      <c r="K3640" s="3"/>
      <c r="L3640" s="3"/>
    </row>
    <row r="3641" spans="9:12" x14ac:dyDescent="0.25">
      <c r="I3641" s="3"/>
      <c r="J3641" s="3"/>
      <c r="K3641" s="3"/>
      <c r="L3641" s="3"/>
    </row>
    <row r="3642" spans="9:12" x14ac:dyDescent="0.25">
      <c r="I3642" s="3"/>
      <c r="J3642" s="3"/>
      <c r="K3642" s="3"/>
      <c r="L3642" s="3"/>
    </row>
    <row r="3643" spans="9:12" x14ac:dyDescent="0.25">
      <c r="I3643" s="3"/>
      <c r="J3643" s="3"/>
      <c r="K3643" s="3"/>
      <c r="L3643" s="3"/>
    </row>
    <row r="3644" spans="9:12" x14ac:dyDescent="0.25">
      <c r="I3644" s="3"/>
      <c r="J3644" s="3"/>
      <c r="K3644" s="3"/>
      <c r="L3644" s="3"/>
    </row>
    <row r="3645" spans="9:12" x14ac:dyDescent="0.25">
      <c r="I3645" s="3"/>
      <c r="J3645" s="3"/>
      <c r="K3645" s="3"/>
      <c r="L3645" s="3"/>
    </row>
    <row r="3646" spans="9:12" x14ac:dyDescent="0.25">
      <c r="I3646" s="3"/>
      <c r="J3646" s="3"/>
      <c r="K3646" s="3"/>
      <c r="L3646" s="3"/>
    </row>
    <row r="3647" spans="9:12" x14ac:dyDescent="0.25">
      <c r="I3647" s="3"/>
      <c r="J3647" s="3"/>
      <c r="K3647" s="3"/>
      <c r="L3647" s="3"/>
    </row>
    <row r="3648" spans="9:12" x14ac:dyDescent="0.25">
      <c r="I3648" s="3"/>
      <c r="J3648" s="3"/>
      <c r="K3648" s="3"/>
      <c r="L3648" s="3"/>
    </row>
    <row r="3649" spans="9:12" x14ac:dyDescent="0.25">
      <c r="I3649" s="3"/>
      <c r="J3649" s="3"/>
      <c r="K3649" s="3"/>
      <c r="L3649" s="3"/>
    </row>
    <row r="3650" spans="9:12" x14ac:dyDescent="0.25">
      <c r="I3650" s="3"/>
      <c r="J3650" s="3"/>
      <c r="K3650" s="3"/>
      <c r="L3650" s="3"/>
    </row>
    <row r="3651" spans="9:12" x14ac:dyDescent="0.25">
      <c r="I3651" s="3"/>
      <c r="J3651" s="3"/>
      <c r="K3651" s="3"/>
      <c r="L3651" s="3"/>
    </row>
    <row r="3652" spans="9:12" x14ac:dyDescent="0.25">
      <c r="I3652" s="3"/>
      <c r="J3652" s="3"/>
      <c r="K3652" s="3"/>
      <c r="L3652" s="3"/>
    </row>
    <row r="3653" spans="9:12" x14ac:dyDescent="0.25">
      <c r="I3653" s="3"/>
      <c r="J3653" s="3"/>
      <c r="K3653" s="3"/>
      <c r="L3653" s="3"/>
    </row>
    <row r="3654" spans="9:12" x14ac:dyDescent="0.25">
      <c r="I3654" s="3"/>
      <c r="J3654" s="3"/>
      <c r="K3654" s="3"/>
      <c r="L3654" s="3"/>
    </row>
    <row r="3655" spans="9:12" x14ac:dyDescent="0.25">
      <c r="I3655" s="3"/>
      <c r="J3655" s="3"/>
      <c r="K3655" s="3"/>
      <c r="L3655" s="3"/>
    </row>
    <row r="3656" spans="9:12" x14ac:dyDescent="0.25">
      <c r="I3656" s="3"/>
      <c r="J3656" s="3"/>
      <c r="K3656" s="3"/>
      <c r="L3656" s="3"/>
    </row>
    <row r="3657" spans="9:12" x14ac:dyDescent="0.25">
      <c r="I3657" s="3"/>
      <c r="J3657" s="3"/>
      <c r="K3657" s="3"/>
      <c r="L3657" s="3"/>
    </row>
    <row r="3658" spans="9:12" x14ac:dyDescent="0.25">
      <c r="I3658" s="3"/>
      <c r="J3658" s="3"/>
      <c r="K3658" s="3"/>
      <c r="L3658" s="3"/>
    </row>
    <row r="3659" spans="9:12" x14ac:dyDescent="0.25">
      <c r="I3659" s="3"/>
      <c r="J3659" s="3"/>
      <c r="K3659" s="3"/>
      <c r="L3659" s="3"/>
    </row>
    <row r="3660" spans="9:12" x14ac:dyDescent="0.25">
      <c r="I3660" s="3"/>
      <c r="J3660" s="3"/>
      <c r="K3660" s="3"/>
      <c r="L3660" s="3"/>
    </row>
    <row r="3661" spans="9:12" x14ac:dyDescent="0.25">
      <c r="I3661" s="3"/>
      <c r="J3661" s="3"/>
      <c r="K3661" s="3"/>
      <c r="L3661" s="3"/>
    </row>
    <row r="3662" spans="9:12" x14ac:dyDescent="0.25">
      <c r="I3662" s="3"/>
      <c r="J3662" s="3"/>
      <c r="K3662" s="3"/>
      <c r="L3662" s="3"/>
    </row>
    <row r="3663" spans="9:12" x14ac:dyDescent="0.25">
      <c r="I3663" s="3"/>
      <c r="J3663" s="3"/>
      <c r="K3663" s="3"/>
      <c r="L3663" s="3"/>
    </row>
    <row r="3664" spans="9:12" x14ac:dyDescent="0.25">
      <c r="I3664" s="3"/>
      <c r="J3664" s="3"/>
      <c r="K3664" s="3"/>
      <c r="L3664" s="3"/>
    </row>
    <row r="3665" spans="9:12" x14ac:dyDescent="0.25">
      <c r="I3665" s="3"/>
      <c r="J3665" s="3"/>
      <c r="K3665" s="3"/>
      <c r="L3665" s="3"/>
    </row>
    <row r="3666" spans="9:12" x14ac:dyDescent="0.25">
      <c r="I3666" s="3"/>
      <c r="J3666" s="3"/>
      <c r="K3666" s="3"/>
      <c r="L3666" s="3"/>
    </row>
    <row r="3667" spans="9:12" x14ac:dyDescent="0.25">
      <c r="I3667" s="3"/>
      <c r="J3667" s="3"/>
      <c r="K3667" s="3"/>
      <c r="L3667" s="3"/>
    </row>
    <row r="3668" spans="9:12" x14ac:dyDescent="0.25">
      <c r="I3668" s="3"/>
      <c r="J3668" s="3"/>
      <c r="K3668" s="3"/>
      <c r="L3668" s="3"/>
    </row>
    <row r="3669" spans="9:12" x14ac:dyDescent="0.25">
      <c r="I3669" s="3"/>
      <c r="J3669" s="3"/>
      <c r="K3669" s="3"/>
      <c r="L3669" s="3"/>
    </row>
    <row r="3670" spans="9:12" x14ac:dyDescent="0.25">
      <c r="I3670" s="3"/>
      <c r="J3670" s="3"/>
      <c r="K3670" s="3"/>
      <c r="L3670" s="3"/>
    </row>
    <row r="3671" spans="9:12" x14ac:dyDescent="0.25">
      <c r="I3671" s="3"/>
      <c r="J3671" s="3"/>
      <c r="K3671" s="3"/>
      <c r="L3671" s="3"/>
    </row>
    <row r="3672" spans="9:12" x14ac:dyDescent="0.25">
      <c r="I3672" s="3"/>
      <c r="J3672" s="3"/>
      <c r="K3672" s="3"/>
      <c r="L3672" s="3"/>
    </row>
    <row r="3673" spans="9:12" x14ac:dyDescent="0.25">
      <c r="I3673" s="3"/>
      <c r="J3673" s="3"/>
      <c r="K3673" s="3"/>
      <c r="L3673" s="3"/>
    </row>
    <row r="3674" spans="9:12" x14ac:dyDescent="0.25">
      <c r="I3674" s="3"/>
      <c r="J3674" s="3"/>
      <c r="K3674" s="3"/>
      <c r="L3674" s="3"/>
    </row>
    <row r="3675" spans="9:12" x14ac:dyDescent="0.25">
      <c r="I3675" s="3"/>
      <c r="J3675" s="3"/>
      <c r="K3675" s="3"/>
      <c r="L3675" s="3"/>
    </row>
    <row r="3676" spans="9:12" x14ac:dyDescent="0.25">
      <c r="I3676" s="3"/>
      <c r="J3676" s="3"/>
      <c r="K3676" s="3"/>
      <c r="L3676" s="3"/>
    </row>
    <row r="3677" spans="9:12" x14ac:dyDescent="0.25">
      <c r="I3677" s="3"/>
      <c r="J3677" s="3"/>
      <c r="K3677" s="3"/>
      <c r="L3677" s="3"/>
    </row>
    <row r="3678" spans="9:12" x14ac:dyDescent="0.25">
      <c r="I3678" s="3"/>
      <c r="J3678" s="3"/>
      <c r="K3678" s="3"/>
      <c r="L3678" s="3"/>
    </row>
    <row r="3679" spans="9:12" x14ac:dyDescent="0.25">
      <c r="I3679" s="3"/>
      <c r="J3679" s="3"/>
      <c r="K3679" s="3"/>
      <c r="L3679" s="3"/>
    </row>
    <row r="3680" spans="9:12" x14ac:dyDescent="0.25">
      <c r="I3680" s="3"/>
      <c r="J3680" s="3"/>
      <c r="K3680" s="3"/>
      <c r="L3680" s="3"/>
    </row>
    <row r="3681" spans="9:12" x14ac:dyDescent="0.25">
      <c r="I3681" s="3"/>
      <c r="J3681" s="3"/>
      <c r="K3681" s="3"/>
      <c r="L3681" s="3"/>
    </row>
    <row r="3682" spans="9:12" x14ac:dyDescent="0.25">
      <c r="I3682" s="3"/>
      <c r="J3682" s="3"/>
      <c r="K3682" s="3"/>
      <c r="L3682" s="3"/>
    </row>
    <row r="3683" spans="9:12" x14ac:dyDescent="0.25">
      <c r="I3683" s="3"/>
      <c r="J3683" s="3"/>
      <c r="K3683" s="3"/>
      <c r="L3683" s="3"/>
    </row>
    <row r="3684" spans="9:12" x14ac:dyDescent="0.25">
      <c r="I3684" s="3"/>
      <c r="J3684" s="3"/>
      <c r="K3684" s="3"/>
      <c r="L3684" s="3"/>
    </row>
    <row r="3685" spans="9:12" x14ac:dyDescent="0.25">
      <c r="I3685" s="3"/>
      <c r="J3685" s="3"/>
      <c r="K3685" s="3"/>
      <c r="L3685" s="3"/>
    </row>
    <row r="3686" spans="9:12" x14ac:dyDescent="0.25">
      <c r="I3686" s="3"/>
      <c r="J3686" s="3"/>
      <c r="K3686" s="3"/>
      <c r="L3686" s="3"/>
    </row>
    <row r="3687" spans="9:12" x14ac:dyDescent="0.25">
      <c r="I3687" s="3"/>
      <c r="J3687" s="3"/>
      <c r="K3687" s="3"/>
      <c r="L3687" s="3"/>
    </row>
    <row r="3688" spans="9:12" x14ac:dyDescent="0.25">
      <c r="I3688" s="3"/>
      <c r="J3688" s="3"/>
      <c r="K3688" s="3"/>
      <c r="L3688" s="3"/>
    </row>
    <row r="3689" spans="9:12" x14ac:dyDescent="0.25">
      <c r="I3689" s="3"/>
      <c r="J3689" s="3"/>
      <c r="K3689" s="3"/>
      <c r="L3689" s="3"/>
    </row>
    <row r="3690" spans="9:12" x14ac:dyDescent="0.25">
      <c r="I3690" s="3"/>
      <c r="J3690" s="3"/>
      <c r="K3690" s="3"/>
      <c r="L3690" s="3"/>
    </row>
    <row r="3691" spans="9:12" x14ac:dyDescent="0.25">
      <c r="I3691" s="3"/>
      <c r="J3691" s="3"/>
      <c r="K3691" s="3"/>
      <c r="L3691" s="3"/>
    </row>
    <row r="3692" spans="9:12" x14ac:dyDescent="0.25">
      <c r="I3692" s="3"/>
      <c r="J3692" s="3"/>
      <c r="K3692" s="3"/>
      <c r="L3692" s="3"/>
    </row>
    <row r="3693" spans="9:12" x14ac:dyDescent="0.25">
      <c r="I3693" s="3"/>
      <c r="J3693" s="3"/>
      <c r="K3693" s="3"/>
      <c r="L3693" s="3"/>
    </row>
    <row r="3694" spans="9:12" x14ac:dyDescent="0.25">
      <c r="I3694" s="3"/>
      <c r="J3694" s="3"/>
      <c r="K3694" s="3"/>
      <c r="L3694" s="3"/>
    </row>
    <row r="3695" spans="9:12" x14ac:dyDescent="0.25">
      <c r="I3695" s="3"/>
      <c r="J3695" s="3"/>
      <c r="K3695" s="3"/>
      <c r="L3695" s="3"/>
    </row>
    <row r="3696" spans="9:12" x14ac:dyDescent="0.25">
      <c r="I3696" s="3"/>
      <c r="J3696" s="3"/>
      <c r="K3696" s="3"/>
      <c r="L3696" s="3"/>
    </row>
    <row r="3697" spans="9:12" x14ac:dyDescent="0.25">
      <c r="I3697" s="3"/>
      <c r="J3697" s="3"/>
      <c r="K3697" s="3"/>
      <c r="L3697" s="3"/>
    </row>
    <row r="3698" spans="9:12" x14ac:dyDescent="0.25">
      <c r="I3698" s="3"/>
      <c r="J3698" s="3"/>
      <c r="K3698" s="3"/>
      <c r="L3698" s="3"/>
    </row>
    <row r="3699" spans="9:12" x14ac:dyDescent="0.25">
      <c r="I3699" s="3"/>
      <c r="J3699" s="3"/>
      <c r="K3699" s="3"/>
      <c r="L3699" s="3"/>
    </row>
    <row r="3700" spans="9:12" x14ac:dyDescent="0.25">
      <c r="I3700" s="3"/>
      <c r="J3700" s="3"/>
      <c r="K3700" s="3"/>
      <c r="L3700" s="3"/>
    </row>
    <row r="3701" spans="9:12" x14ac:dyDescent="0.25">
      <c r="I3701" s="3"/>
      <c r="J3701" s="3"/>
      <c r="K3701" s="3"/>
      <c r="L3701" s="3"/>
    </row>
    <row r="3702" spans="9:12" x14ac:dyDescent="0.25">
      <c r="I3702" s="3"/>
      <c r="J3702" s="3"/>
      <c r="K3702" s="3"/>
      <c r="L3702" s="3"/>
    </row>
    <row r="3703" spans="9:12" x14ac:dyDescent="0.25">
      <c r="I3703" s="3"/>
      <c r="J3703" s="3"/>
      <c r="K3703" s="3"/>
      <c r="L3703" s="3"/>
    </row>
    <row r="3704" spans="9:12" x14ac:dyDescent="0.25">
      <c r="I3704" s="3"/>
      <c r="J3704" s="3"/>
      <c r="K3704" s="3"/>
      <c r="L3704" s="3"/>
    </row>
    <row r="3705" spans="9:12" x14ac:dyDescent="0.25">
      <c r="I3705" s="3"/>
      <c r="J3705" s="3"/>
      <c r="K3705" s="3"/>
      <c r="L3705" s="3"/>
    </row>
    <row r="3706" spans="9:12" x14ac:dyDescent="0.25">
      <c r="I3706" s="3"/>
      <c r="J3706" s="3"/>
      <c r="K3706" s="3"/>
      <c r="L3706" s="3"/>
    </row>
    <row r="3707" spans="9:12" x14ac:dyDescent="0.25">
      <c r="I3707" s="3"/>
      <c r="J3707" s="3"/>
      <c r="K3707" s="3"/>
      <c r="L3707" s="3"/>
    </row>
    <row r="3708" spans="9:12" x14ac:dyDescent="0.25">
      <c r="I3708" s="3"/>
      <c r="J3708" s="3"/>
      <c r="K3708" s="3"/>
      <c r="L3708" s="3"/>
    </row>
    <row r="3709" spans="9:12" x14ac:dyDescent="0.25">
      <c r="I3709" s="3"/>
      <c r="J3709" s="3"/>
      <c r="K3709" s="3"/>
      <c r="L3709" s="3"/>
    </row>
    <row r="3710" spans="9:12" x14ac:dyDescent="0.25">
      <c r="I3710" s="3"/>
      <c r="J3710" s="3"/>
      <c r="K3710" s="3"/>
      <c r="L3710" s="3"/>
    </row>
    <row r="3711" spans="9:12" x14ac:dyDescent="0.25">
      <c r="I3711" s="3"/>
      <c r="J3711" s="3"/>
      <c r="K3711" s="3"/>
      <c r="L3711" s="3"/>
    </row>
    <row r="3712" spans="9:12" x14ac:dyDescent="0.25">
      <c r="I3712" s="3"/>
      <c r="J3712" s="3"/>
      <c r="K3712" s="3"/>
      <c r="L3712" s="3"/>
    </row>
    <row r="3713" spans="9:12" x14ac:dyDescent="0.25">
      <c r="I3713" s="3"/>
      <c r="J3713" s="3"/>
      <c r="K3713" s="3"/>
      <c r="L3713" s="3"/>
    </row>
    <row r="3714" spans="9:12" x14ac:dyDescent="0.25">
      <c r="I3714" s="3"/>
      <c r="J3714" s="3"/>
      <c r="K3714" s="3"/>
      <c r="L3714" s="3"/>
    </row>
    <row r="3715" spans="9:12" x14ac:dyDescent="0.25">
      <c r="I3715" s="3"/>
      <c r="J3715" s="3"/>
      <c r="K3715" s="3"/>
      <c r="L3715" s="3"/>
    </row>
    <row r="3716" spans="9:12" x14ac:dyDescent="0.25">
      <c r="I3716" s="3"/>
      <c r="J3716" s="3"/>
      <c r="K3716" s="3"/>
      <c r="L3716" s="3"/>
    </row>
    <row r="3717" spans="9:12" x14ac:dyDescent="0.25">
      <c r="I3717" s="3"/>
      <c r="J3717" s="3"/>
      <c r="K3717" s="3"/>
      <c r="L3717" s="3"/>
    </row>
    <row r="3718" spans="9:12" x14ac:dyDescent="0.25">
      <c r="I3718" s="3"/>
      <c r="J3718" s="3"/>
      <c r="K3718" s="3"/>
      <c r="L3718" s="3"/>
    </row>
    <row r="3719" spans="9:12" x14ac:dyDescent="0.25">
      <c r="I3719" s="3"/>
      <c r="J3719" s="3"/>
      <c r="K3719" s="3"/>
      <c r="L3719" s="3"/>
    </row>
    <row r="3720" spans="9:12" x14ac:dyDescent="0.25">
      <c r="I3720" s="3"/>
      <c r="J3720" s="3"/>
      <c r="K3720" s="3"/>
      <c r="L3720" s="3"/>
    </row>
    <row r="3721" spans="9:12" x14ac:dyDescent="0.25">
      <c r="I3721" s="3"/>
      <c r="J3721" s="3"/>
      <c r="K3721" s="3"/>
      <c r="L3721" s="3"/>
    </row>
    <row r="3722" spans="9:12" x14ac:dyDescent="0.25">
      <c r="I3722" s="3"/>
      <c r="J3722" s="3"/>
      <c r="K3722" s="3"/>
      <c r="L3722" s="3"/>
    </row>
    <row r="3723" spans="9:12" x14ac:dyDescent="0.25">
      <c r="I3723" s="3"/>
      <c r="J3723" s="3"/>
      <c r="K3723" s="3"/>
      <c r="L3723" s="3"/>
    </row>
    <row r="3724" spans="9:12" x14ac:dyDescent="0.25">
      <c r="I3724" s="3"/>
      <c r="J3724" s="3"/>
      <c r="K3724" s="3"/>
      <c r="L3724" s="3"/>
    </row>
    <row r="3725" spans="9:12" x14ac:dyDescent="0.25">
      <c r="I3725" s="3"/>
      <c r="J3725" s="3"/>
      <c r="K3725" s="3"/>
      <c r="L3725" s="3"/>
    </row>
    <row r="3726" spans="9:12" x14ac:dyDescent="0.25">
      <c r="I3726" s="3"/>
      <c r="J3726" s="3"/>
      <c r="K3726" s="3"/>
      <c r="L3726" s="3"/>
    </row>
    <row r="3727" spans="9:12" x14ac:dyDescent="0.25">
      <c r="I3727" s="3"/>
      <c r="J3727" s="3"/>
      <c r="K3727" s="3"/>
      <c r="L3727" s="3"/>
    </row>
    <row r="3728" spans="9:12" x14ac:dyDescent="0.25">
      <c r="I3728" s="3"/>
      <c r="J3728" s="3"/>
      <c r="K3728" s="3"/>
      <c r="L3728" s="3"/>
    </row>
    <row r="3729" spans="9:12" x14ac:dyDescent="0.25">
      <c r="I3729" s="3"/>
      <c r="J3729" s="3"/>
      <c r="K3729" s="3"/>
      <c r="L3729" s="3"/>
    </row>
    <row r="3730" spans="9:12" x14ac:dyDescent="0.25">
      <c r="I3730" s="3"/>
      <c r="J3730" s="3"/>
      <c r="K3730" s="3"/>
      <c r="L3730" s="3"/>
    </row>
    <row r="3731" spans="9:12" x14ac:dyDescent="0.25">
      <c r="I3731" s="3"/>
      <c r="J3731" s="3"/>
      <c r="K3731" s="3"/>
      <c r="L3731" s="3"/>
    </row>
    <row r="3732" spans="9:12" x14ac:dyDescent="0.25">
      <c r="I3732" s="3"/>
      <c r="J3732" s="3"/>
      <c r="K3732" s="3"/>
      <c r="L3732" s="3"/>
    </row>
    <row r="3733" spans="9:12" x14ac:dyDescent="0.25">
      <c r="I3733" s="3"/>
      <c r="J3733" s="3"/>
      <c r="K3733" s="3"/>
      <c r="L3733" s="3"/>
    </row>
    <row r="3734" spans="9:12" x14ac:dyDescent="0.25">
      <c r="I3734" s="3"/>
      <c r="J3734" s="3"/>
      <c r="K3734" s="3"/>
      <c r="L3734" s="3"/>
    </row>
    <row r="3735" spans="9:12" x14ac:dyDescent="0.25">
      <c r="I3735" s="3"/>
      <c r="J3735" s="3"/>
      <c r="K3735" s="3"/>
      <c r="L3735" s="3"/>
    </row>
    <row r="3736" spans="9:12" x14ac:dyDescent="0.25">
      <c r="I3736" s="3"/>
      <c r="J3736" s="3"/>
      <c r="K3736" s="3"/>
      <c r="L3736" s="3"/>
    </row>
    <row r="3737" spans="9:12" x14ac:dyDescent="0.25">
      <c r="I3737" s="3"/>
      <c r="J3737" s="3"/>
      <c r="K3737" s="3"/>
      <c r="L3737" s="3"/>
    </row>
    <row r="3738" spans="9:12" x14ac:dyDescent="0.25">
      <c r="I3738" s="3"/>
      <c r="J3738" s="3"/>
      <c r="K3738" s="3"/>
      <c r="L3738" s="3"/>
    </row>
    <row r="3739" spans="9:12" x14ac:dyDescent="0.25">
      <c r="I3739" s="3"/>
      <c r="J3739" s="3"/>
      <c r="K3739" s="3"/>
      <c r="L3739" s="3"/>
    </row>
    <row r="3740" spans="9:12" x14ac:dyDescent="0.25">
      <c r="I3740" s="3"/>
      <c r="J3740" s="3"/>
      <c r="K3740" s="3"/>
      <c r="L3740" s="3"/>
    </row>
    <row r="3741" spans="9:12" x14ac:dyDescent="0.25">
      <c r="I3741" s="3"/>
      <c r="J3741" s="3"/>
      <c r="K3741" s="3"/>
      <c r="L3741" s="3"/>
    </row>
    <row r="3742" spans="9:12" x14ac:dyDescent="0.25">
      <c r="I3742" s="3"/>
      <c r="J3742" s="3"/>
      <c r="K3742" s="3"/>
      <c r="L3742" s="3"/>
    </row>
    <row r="3743" spans="9:12" x14ac:dyDescent="0.25">
      <c r="I3743" s="3"/>
      <c r="J3743" s="3"/>
      <c r="K3743" s="3"/>
      <c r="L3743" s="3"/>
    </row>
    <row r="3744" spans="9:12" x14ac:dyDescent="0.25">
      <c r="I3744" s="3"/>
      <c r="J3744" s="3"/>
      <c r="K3744" s="3"/>
      <c r="L3744" s="3"/>
    </row>
    <row r="3745" spans="9:12" x14ac:dyDescent="0.25">
      <c r="I3745" s="3"/>
      <c r="J3745" s="3"/>
      <c r="K3745" s="3"/>
      <c r="L3745" s="3"/>
    </row>
    <row r="3746" spans="9:12" x14ac:dyDescent="0.25">
      <c r="I3746" s="3"/>
      <c r="J3746" s="3"/>
      <c r="K3746" s="3"/>
      <c r="L3746" s="3"/>
    </row>
    <row r="3747" spans="9:12" x14ac:dyDescent="0.25">
      <c r="I3747" s="3"/>
      <c r="J3747" s="3"/>
      <c r="K3747" s="3"/>
      <c r="L3747" s="3"/>
    </row>
    <row r="3748" spans="9:12" x14ac:dyDescent="0.25">
      <c r="I3748" s="3"/>
      <c r="J3748" s="3"/>
      <c r="K3748" s="3"/>
      <c r="L3748" s="3"/>
    </row>
    <row r="3749" spans="9:12" x14ac:dyDescent="0.25">
      <c r="I3749" s="3"/>
      <c r="J3749" s="3"/>
      <c r="K3749" s="3"/>
      <c r="L3749" s="3"/>
    </row>
    <row r="3750" spans="9:12" x14ac:dyDescent="0.25">
      <c r="I3750" s="3"/>
      <c r="J3750" s="3"/>
      <c r="K3750" s="3"/>
      <c r="L3750" s="3"/>
    </row>
    <row r="3751" spans="9:12" x14ac:dyDescent="0.25">
      <c r="I3751" s="3"/>
      <c r="J3751" s="3"/>
      <c r="K3751" s="3"/>
      <c r="L3751" s="3"/>
    </row>
    <row r="3752" spans="9:12" x14ac:dyDescent="0.25">
      <c r="I3752" s="3"/>
      <c r="J3752" s="3"/>
      <c r="K3752" s="3"/>
      <c r="L3752" s="3"/>
    </row>
    <row r="3753" spans="9:12" x14ac:dyDescent="0.25">
      <c r="I3753" s="3"/>
      <c r="J3753" s="3"/>
      <c r="K3753" s="3"/>
      <c r="L3753" s="3"/>
    </row>
    <row r="3754" spans="9:12" x14ac:dyDescent="0.25">
      <c r="I3754" s="3"/>
      <c r="J3754" s="3"/>
      <c r="K3754" s="3"/>
      <c r="L3754" s="3"/>
    </row>
    <row r="3755" spans="9:12" x14ac:dyDescent="0.25">
      <c r="I3755" s="3"/>
      <c r="J3755" s="3"/>
      <c r="K3755" s="3"/>
      <c r="L3755" s="3"/>
    </row>
    <row r="3756" spans="9:12" x14ac:dyDescent="0.25">
      <c r="I3756" s="3"/>
      <c r="J3756" s="3"/>
      <c r="K3756" s="3"/>
      <c r="L3756" s="3"/>
    </row>
    <row r="3757" spans="9:12" x14ac:dyDescent="0.25">
      <c r="I3757" s="3"/>
      <c r="J3757" s="3"/>
      <c r="K3757" s="3"/>
      <c r="L3757" s="3"/>
    </row>
    <row r="3758" spans="9:12" x14ac:dyDescent="0.25">
      <c r="I3758" s="3"/>
      <c r="J3758" s="3"/>
      <c r="K3758" s="3"/>
      <c r="L3758" s="3"/>
    </row>
    <row r="3759" spans="9:12" x14ac:dyDescent="0.25">
      <c r="I3759" s="3"/>
      <c r="J3759" s="3"/>
      <c r="K3759" s="3"/>
      <c r="L3759" s="3"/>
    </row>
    <row r="3760" spans="9:12" x14ac:dyDescent="0.25">
      <c r="I3760" s="3"/>
      <c r="J3760" s="3"/>
      <c r="K3760" s="3"/>
      <c r="L3760" s="3"/>
    </row>
    <row r="3761" spans="9:12" x14ac:dyDescent="0.25">
      <c r="I3761" s="3"/>
      <c r="J3761" s="3"/>
      <c r="K3761" s="3"/>
      <c r="L3761" s="3"/>
    </row>
    <row r="3762" spans="9:12" x14ac:dyDescent="0.25">
      <c r="I3762" s="3"/>
      <c r="J3762" s="3"/>
      <c r="K3762" s="3"/>
      <c r="L3762" s="3"/>
    </row>
    <row r="3763" spans="9:12" x14ac:dyDescent="0.25">
      <c r="I3763" s="3"/>
      <c r="J3763" s="3"/>
      <c r="K3763" s="3"/>
      <c r="L3763" s="3"/>
    </row>
    <row r="3764" spans="9:12" x14ac:dyDescent="0.25">
      <c r="I3764" s="3"/>
      <c r="J3764" s="3"/>
      <c r="K3764" s="3"/>
      <c r="L3764" s="3"/>
    </row>
    <row r="3765" spans="9:12" x14ac:dyDescent="0.25">
      <c r="I3765" s="3"/>
      <c r="J3765" s="3"/>
      <c r="K3765" s="3"/>
      <c r="L3765" s="3"/>
    </row>
    <row r="3766" spans="9:12" x14ac:dyDescent="0.25">
      <c r="I3766" s="3"/>
      <c r="J3766" s="3"/>
      <c r="K3766" s="3"/>
      <c r="L3766" s="3"/>
    </row>
    <row r="3767" spans="9:12" x14ac:dyDescent="0.25">
      <c r="I3767" s="3"/>
      <c r="J3767" s="3"/>
      <c r="K3767" s="3"/>
      <c r="L3767" s="3"/>
    </row>
    <row r="3768" spans="9:12" x14ac:dyDescent="0.25">
      <c r="I3768" s="3"/>
      <c r="J3768" s="3"/>
      <c r="K3768" s="3"/>
      <c r="L3768" s="3"/>
    </row>
    <row r="3769" spans="9:12" x14ac:dyDescent="0.25">
      <c r="I3769" s="3"/>
      <c r="J3769" s="3"/>
      <c r="K3769" s="3"/>
      <c r="L3769" s="3"/>
    </row>
    <row r="3770" spans="9:12" x14ac:dyDescent="0.25">
      <c r="I3770" s="3"/>
      <c r="J3770" s="3"/>
      <c r="K3770" s="3"/>
      <c r="L3770" s="3"/>
    </row>
    <row r="3771" spans="9:12" x14ac:dyDescent="0.25">
      <c r="I3771" s="3"/>
      <c r="J3771" s="3"/>
      <c r="K3771" s="3"/>
      <c r="L3771" s="3"/>
    </row>
    <row r="3772" spans="9:12" x14ac:dyDescent="0.25">
      <c r="I3772" s="3"/>
      <c r="J3772" s="3"/>
      <c r="K3772" s="3"/>
      <c r="L3772" s="3"/>
    </row>
    <row r="3773" spans="9:12" x14ac:dyDescent="0.25">
      <c r="I3773" s="3"/>
      <c r="J3773" s="3"/>
      <c r="K3773" s="3"/>
      <c r="L3773" s="3"/>
    </row>
    <row r="3774" spans="9:12" x14ac:dyDescent="0.25">
      <c r="I3774" s="3"/>
      <c r="J3774" s="3"/>
      <c r="K3774" s="3"/>
      <c r="L3774" s="3"/>
    </row>
    <row r="3775" spans="9:12" x14ac:dyDescent="0.25">
      <c r="I3775" s="3"/>
      <c r="J3775" s="3"/>
      <c r="K3775" s="3"/>
      <c r="L3775" s="3"/>
    </row>
    <row r="3776" spans="9:12" x14ac:dyDescent="0.25">
      <c r="I3776" s="3"/>
      <c r="J3776" s="3"/>
      <c r="K3776" s="3"/>
      <c r="L3776" s="3"/>
    </row>
    <row r="3777" spans="9:12" x14ac:dyDescent="0.25">
      <c r="I3777" s="3"/>
      <c r="J3777" s="3"/>
      <c r="K3777" s="3"/>
      <c r="L3777" s="3"/>
    </row>
    <row r="3778" spans="9:12" x14ac:dyDescent="0.25">
      <c r="I3778" s="3"/>
      <c r="J3778" s="3"/>
      <c r="K3778" s="3"/>
      <c r="L3778" s="3"/>
    </row>
    <row r="3779" spans="9:12" x14ac:dyDescent="0.25">
      <c r="I3779" s="3"/>
      <c r="J3779" s="3"/>
      <c r="K3779" s="3"/>
      <c r="L3779" s="3"/>
    </row>
    <row r="3780" spans="9:12" x14ac:dyDescent="0.25">
      <c r="I3780" s="3"/>
      <c r="J3780" s="3"/>
      <c r="K3780" s="3"/>
      <c r="L3780" s="3"/>
    </row>
    <row r="3781" spans="9:12" x14ac:dyDescent="0.25">
      <c r="I3781" s="3"/>
      <c r="J3781" s="3"/>
      <c r="K3781" s="3"/>
      <c r="L3781" s="3"/>
    </row>
    <row r="3782" spans="9:12" x14ac:dyDescent="0.25">
      <c r="I3782" s="3"/>
      <c r="J3782" s="3"/>
      <c r="K3782" s="3"/>
      <c r="L3782" s="3"/>
    </row>
    <row r="3783" spans="9:12" x14ac:dyDescent="0.25">
      <c r="I3783" s="3"/>
      <c r="J3783" s="3"/>
      <c r="K3783" s="3"/>
      <c r="L3783" s="3"/>
    </row>
    <row r="3784" spans="9:12" x14ac:dyDescent="0.25">
      <c r="I3784" s="3"/>
      <c r="J3784" s="3"/>
      <c r="K3784" s="3"/>
      <c r="L3784" s="3"/>
    </row>
    <row r="3785" spans="9:12" x14ac:dyDescent="0.25">
      <c r="I3785" s="3"/>
      <c r="J3785" s="3"/>
      <c r="K3785" s="3"/>
      <c r="L3785" s="3"/>
    </row>
    <row r="3786" spans="9:12" x14ac:dyDescent="0.25">
      <c r="I3786" s="3"/>
      <c r="J3786" s="3"/>
      <c r="K3786" s="3"/>
      <c r="L3786" s="3"/>
    </row>
    <row r="3787" spans="9:12" x14ac:dyDescent="0.25">
      <c r="I3787" s="3"/>
      <c r="J3787" s="3"/>
      <c r="K3787" s="3"/>
      <c r="L3787" s="3"/>
    </row>
    <row r="3788" spans="9:12" x14ac:dyDescent="0.25">
      <c r="I3788" s="3"/>
      <c r="J3788" s="3"/>
      <c r="K3788" s="3"/>
      <c r="L3788" s="3"/>
    </row>
    <row r="3789" spans="9:12" x14ac:dyDescent="0.25">
      <c r="I3789" s="3"/>
      <c r="J3789" s="3"/>
      <c r="K3789" s="3"/>
      <c r="L3789" s="3"/>
    </row>
    <row r="3790" spans="9:12" x14ac:dyDescent="0.25">
      <c r="I3790" s="3"/>
      <c r="J3790" s="3"/>
      <c r="K3790" s="3"/>
      <c r="L3790" s="3"/>
    </row>
    <row r="3791" spans="9:12" x14ac:dyDescent="0.25">
      <c r="I3791" s="3"/>
      <c r="J3791" s="3"/>
      <c r="K3791" s="3"/>
      <c r="L3791" s="3"/>
    </row>
    <row r="3792" spans="9:12" x14ac:dyDescent="0.25">
      <c r="I3792" s="3"/>
      <c r="J3792" s="3"/>
      <c r="K3792" s="3"/>
      <c r="L3792" s="3"/>
    </row>
    <row r="3793" spans="9:12" x14ac:dyDescent="0.25">
      <c r="I3793" s="3"/>
      <c r="J3793" s="3"/>
      <c r="K3793" s="3"/>
      <c r="L3793" s="3"/>
    </row>
    <row r="3794" spans="9:12" x14ac:dyDescent="0.25">
      <c r="I3794" s="3"/>
      <c r="J3794" s="3"/>
      <c r="K3794" s="3"/>
      <c r="L3794" s="3"/>
    </row>
    <row r="3795" spans="9:12" x14ac:dyDescent="0.25">
      <c r="I3795" s="3"/>
      <c r="J3795" s="3"/>
      <c r="K3795" s="3"/>
      <c r="L3795" s="3"/>
    </row>
    <row r="3796" spans="9:12" x14ac:dyDescent="0.25">
      <c r="I3796" s="3"/>
      <c r="J3796" s="3"/>
      <c r="K3796" s="3"/>
      <c r="L3796" s="3"/>
    </row>
    <row r="3797" spans="9:12" x14ac:dyDescent="0.25">
      <c r="I3797" s="3"/>
      <c r="J3797" s="3"/>
      <c r="K3797" s="3"/>
      <c r="L3797" s="3"/>
    </row>
    <row r="3798" spans="9:12" x14ac:dyDescent="0.25">
      <c r="I3798" s="3"/>
      <c r="J3798" s="3"/>
      <c r="K3798" s="3"/>
      <c r="L3798" s="3"/>
    </row>
    <row r="3799" spans="9:12" x14ac:dyDescent="0.25">
      <c r="I3799" s="3"/>
      <c r="J3799" s="3"/>
      <c r="K3799" s="3"/>
      <c r="L3799" s="3"/>
    </row>
    <row r="3800" spans="9:12" x14ac:dyDescent="0.25">
      <c r="I3800" s="3"/>
      <c r="J3800" s="3"/>
      <c r="K3800" s="3"/>
      <c r="L3800" s="3"/>
    </row>
    <row r="3801" spans="9:12" x14ac:dyDescent="0.25">
      <c r="I3801" s="3"/>
      <c r="J3801" s="3"/>
      <c r="K3801" s="3"/>
      <c r="L3801" s="3"/>
    </row>
    <row r="3802" spans="9:12" x14ac:dyDescent="0.25">
      <c r="I3802" s="3"/>
      <c r="J3802" s="3"/>
      <c r="K3802" s="3"/>
      <c r="L3802" s="3"/>
    </row>
    <row r="3803" spans="9:12" x14ac:dyDescent="0.25">
      <c r="I3803" s="3"/>
      <c r="J3803" s="3"/>
      <c r="K3803" s="3"/>
      <c r="L3803" s="3"/>
    </row>
    <row r="3804" spans="9:12" x14ac:dyDescent="0.25">
      <c r="I3804" s="3"/>
      <c r="J3804" s="3"/>
      <c r="K3804" s="3"/>
      <c r="L3804" s="3"/>
    </row>
    <row r="3805" spans="9:12" x14ac:dyDescent="0.25">
      <c r="I3805" s="3"/>
      <c r="J3805" s="3"/>
      <c r="K3805" s="3"/>
      <c r="L3805" s="3"/>
    </row>
    <row r="3806" spans="9:12" x14ac:dyDescent="0.25">
      <c r="I3806" s="3"/>
      <c r="J3806" s="3"/>
      <c r="K3806" s="3"/>
      <c r="L3806" s="3"/>
    </row>
    <row r="3807" spans="9:12" x14ac:dyDescent="0.25">
      <c r="I3807" s="3"/>
      <c r="J3807" s="3"/>
      <c r="K3807" s="3"/>
      <c r="L3807" s="3"/>
    </row>
    <row r="3808" spans="9:12" x14ac:dyDescent="0.25">
      <c r="I3808" s="3"/>
      <c r="J3808" s="3"/>
      <c r="K3808" s="3"/>
      <c r="L3808" s="3"/>
    </row>
    <row r="3809" spans="9:12" x14ac:dyDescent="0.25">
      <c r="I3809" s="3"/>
      <c r="J3809" s="3"/>
      <c r="K3809" s="3"/>
      <c r="L3809" s="3"/>
    </row>
    <row r="3810" spans="9:12" x14ac:dyDescent="0.25">
      <c r="I3810" s="3"/>
      <c r="J3810" s="3"/>
      <c r="K3810" s="3"/>
      <c r="L3810" s="3"/>
    </row>
    <row r="3811" spans="9:12" x14ac:dyDescent="0.25">
      <c r="I3811" s="3"/>
      <c r="J3811" s="3"/>
      <c r="K3811" s="3"/>
      <c r="L3811" s="3"/>
    </row>
    <row r="3812" spans="9:12" x14ac:dyDescent="0.25">
      <c r="I3812" s="3"/>
      <c r="J3812" s="3"/>
      <c r="K3812" s="3"/>
      <c r="L3812" s="3"/>
    </row>
    <row r="3813" spans="9:12" x14ac:dyDescent="0.25">
      <c r="I3813" s="3"/>
      <c r="J3813" s="3"/>
      <c r="K3813" s="3"/>
      <c r="L3813" s="3"/>
    </row>
    <row r="3814" spans="9:12" x14ac:dyDescent="0.25">
      <c r="I3814" s="3"/>
      <c r="J3814" s="3"/>
      <c r="K3814" s="3"/>
      <c r="L3814" s="3"/>
    </row>
    <row r="3815" spans="9:12" x14ac:dyDescent="0.25">
      <c r="I3815" s="3"/>
      <c r="J3815" s="3"/>
      <c r="K3815" s="3"/>
      <c r="L3815" s="3"/>
    </row>
    <row r="3816" spans="9:12" x14ac:dyDescent="0.25">
      <c r="I3816" s="3"/>
      <c r="J3816" s="3"/>
      <c r="K3816" s="3"/>
      <c r="L3816" s="3"/>
    </row>
    <row r="3817" spans="9:12" x14ac:dyDescent="0.25">
      <c r="I3817" s="3"/>
      <c r="J3817" s="3"/>
      <c r="K3817" s="3"/>
      <c r="L3817" s="3"/>
    </row>
    <row r="3818" spans="9:12" x14ac:dyDescent="0.25">
      <c r="I3818" s="3"/>
      <c r="J3818" s="3"/>
      <c r="K3818" s="3"/>
      <c r="L3818" s="3"/>
    </row>
    <row r="3819" spans="9:12" x14ac:dyDescent="0.25">
      <c r="I3819" s="3"/>
      <c r="J3819" s="3"/>
      <c r="K3819" s="3"/>
      <c r="L3819" s="3"/>
    </row>
    <row r="3820" spans="9:12" x14ac:dyDescent="0.25">
      <c r="I3820" s="3"/>
      <c r="J3820" s="3"/>
      <c r="K3820" s="3"/>
      <c r="L3820" s="3"/>
    </row>
    <row r="3821" spans="9:12" x14ac:dyDescent="0.25">
      <c r="I3821" s="3"/>
      <c r="J3821" s="3"/>
      <c r="K3821" s="3"/>
      <c r="L3821" s="3"/>
    </row>
    <row r="3822" spans="9:12" x14ac:dyDescent="0.25">
      <c r="I3822" s="3"/>
      <c r="J3822" s="3"/>
      <c r="K3822" s="3"/>
      <c r="L3822" s="3"/>
    </row>
    <row r="3823" spans="9:12" x14ac:dyDescent="0.25">
      <c r="I3823" s="3"/>
      <c r="J3823" s="3"/>
      <c r="K3823" s="3"/>
      <c r="L3823" s="3"/>
    </row>
    <row r="3824" spans="9:12" x14ac:dyDescent="0.25">
      <c r="I3824" s="3"/>
      <c r="J3824" s="3"/>
      <c r="K3824" s="3"/>
      <c r="L3824" s="3"/>
    </row>
    <row r="3825" spans="9:12" x14ac:dyDescent="0.25">
      <c r="I3825" s="3"/>
      <c r="J3825" s="3"/>
      <c r="K3825" s="3"/>
      <c r="L3825" s="3"/>
    </row>
    <row r="3826" spans="9:12" x14ac:dyDescent="0.25">
      <c r="I3826" s="3"/>
      <c r="J3826" s="3"/>
      <c r="K3826" s="3"/>
      <c r="L3826" s="3"/>
    </row>
    <row r="3827" spans="9:12" x14ac:dyDescent="0.25">
      <c r="I3827" s="3"/>
      <c r="J3827" s="3"/>
      <c r="K3827" s="3"/>
      <c r="L3827" s="3"/>
    </row>
    <row r="3828" spans="9:12" x14ac:dyDescent="0.25">
      <c r="I3828" s="3"/>
      <c r="J3828" s="3"/>
      <c r="K3828" s="3"/>
      <c r="L3828" s="3"/>
    </row>
    <row r="3829" spans="9:12" x14ac:dyDescent="0.25">
      <c r="I3829" s="3"/>
      <c r="J3829" s="3"/>
      <c r="K3829" s="3"/>
      <c r="L3829" s="3"/>
    </row>
    <row r="3830" spans="9:12" x14ac:dyDescent="0.25">
      <c r="I3830" s="3"/>
      <c r="J3830" s="3"/>
      <c r="K3830" s="3"/>
      <c r="L3830" s="3"/>
    </row>
    <row r="3831" spans="9:12" x14ac:dyDescent="0.25">
      <c r="I3831" s="3"/>
      <c r="J3831" s="3"/>
      <c r="K3831" s="3"/>
      <c r="L3831" s="3"/>
    </row>
    <row r="3832" spans="9:12" x14ac:dyDescent="0.25">
      <c r="I3832" s="3"/>
      <c r="J3832" s="3"/>
      <c r="K3832" s="3"/>
      <c r="L3832" s="3"/>
    </row>
    <row r="3833" spans="9:12" x14ac:dyDescent="0.25">
      <c r="I3833" s="3"/>
      <c r="J3833" s="3"/>
      <c r="K3833" s="3"/>
      <c r="L3833" s="3"/>
    </row>
    <row r="3834" spans="9:12" x14ac:dyDescent="0.25">
      <c r="I3834" s="3"/>
      <c r="J3834" s="3"/>
      <c r="K3834" s="3"/>
      <c r="L3834" s="3"/>
    </row>
    <row r="3835" spans="9:12" x14ac:dyDescent="0.25">
      <c r="I3835" s="3"/>
      <c r="J3835" s="3"/>
      <c r="K3835" s="3"/>
      <c r="L3835" s="3"/>
    </row>
    <row r="3836" spans="9:12" x14ac:dyDescent="0.25">
      <c r="I3836" s="3"/>
      <c r="J3836" s="3"/>
      <c r="K3836" s="3"/>
      <c r="L3836" s="3"/>
    </row>
    <row r="3837" spans="9:12" x14ac:dyDescent="0.25">
      <c r="I3837" s="3"/>
      <c r="J3837" s="3"/>
      <c r="K3837" s="3"/>
      <c r="L3837" s="3"/>
    </row>
    <row r="3838" spans="9:12" x14ac:dyDescent="0.25">
      <c r="I3838" s="3"/>
      <c r="J3838" s="3"/>
      <c r="K3838" s="3"/>
      <c r="L3838" s="3"/>
    </row>
    <row r="3839" spans="9:12" x14ac:dyDescent="0.25">
      <c r="I3839" s="3"/>
      <c r="J3839" s="3"/>
      <c r="K3839" s="3"/>
      <c r="L3839" s="3"/>
    </row>
    <row r="3840" spans="9:12" x14ac:dyDescent="0.25">
      <c r="I3840" s="3"/>
      <c r="J3840" s="3"/>
      <c r="K3840" s="3"/>
      <c r="L3840" s="3"/>
    </row>
    <row r="3841" spans="9:12" x14ac:dyDescent="0.25">
      <c r="I3841" s="3"/>
      <c r="J3841" s="3"/>
      <c r="K3841" s="3"/>
      <c r="L3841" s="3"/>
    </row>
    <row r="3842" spans="9:12" x14ac:dyDescent="0.25">
      <c r="I3842" s="3"/>
      <c r="J3842" s="3"/>
      <c r="K3842" s="3"/>
      <c r="L3842" s="3"/>
    </row>
    <row r="3843" spans="9:12" x14ac:dyDescent="0.25">
      <c r="I3843" s="3"/>
      <c r="J3843" s="3"/>
      <c r="K3843" s="3"/>
      <c r="L3843" s="3"/>
    </row>
    <row r="3844" spans="9:12" x14ac:dyDescent="0.25">
      <c r="I3844" s="3"/>
      <c r="J3844" s="3"/>
      <c r="K3844" s="3"/>
      <c r="L3844" s="3"/>
    </row>
    <row r="3845" spans="9:12" x14ac:dyDescent="0.25">
      <c r="I3845" s="3"/>
      <c r="J3845" s="3"/>
      <c r="K3845" s="3"/>
      <c r="L3845" s="3"/>
    </row>
    <row r="3846" spans="9:12" x14ac:dyDescent="0.25">
      <c r="I3846" s="3"/>
      <c r="J3846" s="3"/>
      <c r="K3846" s="3"/>
      <c r="L3846" s="3"/>
    </row>
    <row r="3847" spans="9:12" x14ac:dyDescent="0.25">
      <c r="I3847" s="3"/>
      <c r="J3847" s="3"/>
      <c r="K3847" s="3"/>
      <c r="L3847" s="3"/>
    </row>
    <row r="3848" spans="9:12" x14ac:dyDescent="0.25">
      <c r="I3848" s="3"/>
      <c r="J3848" s="3"/>
      <c r="K3848" s="3"/>
      <c r="L3848" s="3"/>
    </row>
    <row r="3849" spans="9:12" x14ac:dyDescent="0.25">
      <c r="I3849" s="3"/>
      <c r="J3849" s="3"/>
      <c r="K3849" s="3"/>
      <c r="L3849" s="3"/>
    </row>
    <row r="3850" spans="9:12" x14ac:dyDescent="0.25">
      <c r="I3850" s="3"/>
      <c r="J3850" s="3"/>
      <c r="K3850" s="3"/>
      <c r="L3850" s="3"/>
    </row>
    <row r="3851" spans="9:12" x14ac:dyDescent="0.25">
      <c r="I3851" s="3"/>
      <c r="J3851" s="3"/>
      <c r="K3851" s="3"/>
      <c r="L3851" s="3"/>
    </row>
    <row r="3852" spans="9:12" x14ac:dyDescent="0.25">
      <c r="I3852" s="3"/>
      <c r="J3852" s="3"/>
      <c r="K3852" s="3"/>
      <c r="L3852" s="3"/>
    </row>
    <row r="3853" spans="9:12" x14ac:dyDescent="0.25">
      <c r="I3853" s="3"/>
      <c r="J3853" s="3"/>
      <c r="K3853" s="3"/>
      <c r="L3853" s="3"/>
    </row>
    <row r="3854" spans="9:12" x14ac:dyDescent="0.25">
      <c r="I3854" s="3"/>
      <c r="J3854" s="3"/>
      <c r="K3854" s="3"/>
      <c r="L3854" s="3"/>
    </row>
    <row r="3855" spans="9:12" x14ac:dyDescent="0.25">
      <c r="I3855" s="3"/>
      <c r="J3855" s="3"/>
      <c r="K3855" s="3"/>
      <c r="L3855" s="3"/>
    </row>
    <row r="3856" spans="9:12" x14ac:dyDescent="0.25">
      <c r="I3856" s="3"/>
      <c r="J3856" s="3"/>
      <c r="K3856" s="3"/>
      <c r="L3856" s="3"/>
    </row>
    <row r="3857" spans="9:12" x14ac:dyDescent="0.25">
      <c r="I3857" s="3"/>
      <c r="J3857" s="3"/>
      <c r="K3857" s="3"/>
      <c r="L3857" s="3"/>
    </row>
    <row r="3858" spans="9:12" x14ac:dyDescent="0.25">
      <c r="I3858" s="3"/>
      <c r="J3858" s="3"/>
      <c r="K3858" s="3"/>
      <c r="L3858" s="3"/>
    </row>
    <row r="3859" spans="9:12" x14ac:dyDescent="0.25">
      <c r="I3859" s="3"/>
      <c r="J3859" s="3"/>
      <c r="K3859" s="3"/>
      <c r="L3859" s="3"/>
    </row>
    <row r="3860" spans="9:12" x14ac:dyDescent="0.25">
      <c r="I3860" s="3"/>
      <c r="J3860" s="3"/>
      <c r="K3860" s="3"/>
      <c r="L3860" s="3"/>
    </row>
    <row r="3861" spans="9:12" x14ac:dyDescent="0.25">
      <c r="I3861" s="3"/>
      <c r="J3861" s="3"/>
      <c r="K3861" s="3"/>
      <c r="L3861" s="3"/>
    </row>
    <row r="3862" spans="9:12" x14ac:dyDescent="0.25">
      <c r="I3862" s="3"/>
      <c r="J3862" s="3"/>
      <c r="K3862" s="3"/>
      <c r="L3862" s="3"/>
    </row>
    <row r="3863" spans="9:12" x14ac:dyDescent="0.25">
      <c r="I3863" s="3"/>
      <c r="J3863" s="3"/>
      <c r="K3863" s="3"/>
      <c r="L3863" s="3"/>
    </row>
    <row r="3864" spans="9:12" x14ac:dyDescent="0.25">
      <c r="I3864" s="3"/>
      <c r="J3864" s="3"/>
      <c r="K3864" s="3"/>
      <c r="L3864" s="3"/>
    </row>
    <row r="3865" spans="9:12" x14ac:dyDescent="0.25">
      <c r="I3865" s="3"/>
      <c r="J3865" s="3"/>
      <c r="K3865" s="3"/>
      <c r="L3865" s="3"/>
    </row>
    <row r="3866" spans="9:12" x14ac:dyDescent="0.25">
      <c r="I3866" s="3"/>
      <c r="J3866" s="3"/>
      <c r="K3866" s="3"/>
      <c r="L3866" s="3"/>
    </row>
    <row r="3867" spans="9:12" x14ac:dyDescent="0.25">
      <c r="I3867" s="3"/>
      <c r="J3867" s="3"/>
      <c r="K3867" s="3"/>
      <c r="L3867" s="3"/>
    </row>
    <row r="3868" spans="9:12" x14ac:dyDescent="0.25">
      <c r="I3868" s="3"/>
      <c r="J3868" s="3"/>
      <c r="K3868" s="3"/>
      <c r="L3868" s="3"/>
    </row>
    <row r="3869" spans="9:12" x14ac:dyDescent="0.25">
      <c r="I3869" s="3"/>
      <c r="J3869" s="3"/>
      <c r="K3869" s="3"/>
      <c r="L3869" s="3"/>
    </row>
    <row r="3870" spans="9:12" x14ac:dyDescent="0.25">
      <c r="I3870" s="3"/>
      <c r="J3870" s="3"/>
      <c r="K3870" s="3"/>
      <c r="L3870" s="3"/>
    </row>
    <row r="3871" spans="9:12" x14ac:dyDescent="0.25">
      <c r="I3871" s="3"/>
      <c r="J3871" s="3"/>
      <c r="K3871" s="3"/>
      <c r="L3871" s="3"/>
    </row>
    <row r="3872" spans="9:12" x14ac:dyDescent="0.25">
      <c r="I3872" s="5"/>
      <c r="J3872" s="5"/>
      <c r="K3872" s="5"/>
      <c r="L3872" s="5"/>
    </row>
    <row r="3873" spans="9:12" x14ac:dyDescent="0.25">
      <c r="I3873" s="5"/>
      <c r="J3873" s="5"/>
      <c r="K3873" s="5"/>
      <c r="L3873" s="5"/>
    </row>
    <row r="3874" spans="9:12" x14ac:dyDescent="0.25">
      <c r="I3874" s="5"/>
      <c r="J3874" s="5"/>
      <c r="K3874" s="5"/>
      <c r="L3874" s="5"/>
    </row>
    <row r="3875" spans="9:12" x14ac:dyDescent="0.25">
      <c r="I3875" s="3"/>
      <c r="J3875" s="3"/>
      <c r="K3875" s="3"/>
      <c r="L3875" s="3"/>
    </row>
    <row r="3876" spans="9:12" x14ac:dyDescent="0.25">
      <c r="I3876" s="3"/>
      <c r="J3876" s="3"/>
      <c r="K3876" s="3"/>
      <c r="L3876" s="3"/>
    </row>
    <row r="3877" spans="9:12" x14ac:dyDescent="0.25">
      <c r="I3877" s="3"/>
      <c r="J3877" s="3"/>
      <c r="K3877" s="3"/>
      <c r="L3877" s="3"/>
    </row>
    <row r="3878" spans="9:12" x14ac:dyDescent="0.25">
      <c r="I3878" s="3"/>
      <c r="J3878" s="3"/>
      <c r="K3878" s="3"/>
      <c r="L3878" s="3"/>
    </row>
    <row r="3879" spans="9:12" x14ac:dyDescent="0.25">
      <c r="I3879" s="3"/>
      <c r="J3879" s="3"/>
      <c r="K3879" s="3"/>
      <c r="L3879" s="3"/>
    </row>
    <row r="3880" spans="9:12" x14ac:dyDescent="0.25">
      <c r="I3880" s="3"/>
      <c r="J3880" s="3"/>
      <c r="K3880" s="3"/>
      <c r="L3880" s="3"/>
    </row>
    <row r="3881" spans="9:12" x14ac:dyDescent="0.25">
      <c r="I3881" s="3"/>
      <c r="J3881" s="3"/>
      <c r="K3881" s="3"/>
      <c r="L3881" s="3"/>
    </row>
    <row r="3882" spans="9:12" x14ac:dyDescent="0.25">
      <c r="I3882" s="3"/>
      <c r="J3882" s="3"/>
      <c r="K3882" s="3"/>
      <c r="L3882" s="3"/>
    </row>
    <row r="3883" spans="9:12" x14ac:dyDescent="0.25">
      <c r="I3883" s="3"/>
      <c r="J3883" s="3"/>
      <c r="K3883" s="3"/>
      <c r="L3883" s="3"/>
    </row>
    <row r="3884" spans="9:12" x14ac:dyDescent="0.25">
      <c r="I3884" s="3"/>
      <c r="J3884" s="3"/>
      <c r="K3884" s="3"/>
      <c r="L3884" s="3"/>
    </row>
    <row r="3885" spans="9:12" x14ac:dyDescent="0.25">
      <c r="I3885" s="3"/>
      <c r="J3885" s="3"/>
      <c r="K3885" s="3"/>
      <c r="L3885" s="3"/>
    </row>
    <row r="3886" spans="9:12" x14ac:dyDescent="0.25">
      <c r="I3886" s="3"/>
      <c r="J3886" s="3"/>
      <c r="K3886" s="3"/>
      <c r="L3886" s="3"/>
    </row>
    <row r="3887" spans="9:12" x14ac:dyDescent="0.25">
      <c r="I3887" s="3"/>
      <c r="J3887" s="3"/>
      <c r="K3887" s="3"/>
      <c r="L3887" s="3"/>
    </row>
    <row r="3888" spans="9:12" x14ac:dyDescent="0.25">
      <c r="I3888" s="3"/>
      <c r="J3888" s="3"/>
      <c r="K3888" s="3"/>
      <c r="L3888" s="3"/>
    </row>
    <row r="3889" spans="9:12" x14ac:dyDescent="0.25">
      <c r="I3889" s="3"/>
      <c r="J3889" s="3"/>
      <c r="K3889" s="3"/>
      <c r="L3889" s="3"/>
    </row>
    <row r="3890" spans="9:12" x14ac:dyDescent="0.25">
      <c r="I3890" s="3"/>
      <c r="J3890" s="3"/>
      <c r="K3890" s="3"/>
      <c r="L3890" s="3"/>
    </row>
    <row r="3891" spans="9:12" x14ac:dyDescent="0.25">
      <c r="I3891" s="3"/>
      <c r="J3891" s="3"/>
      <c r="K3891" s="3"/>
      <c r="L3891" s="3"/>
    </row>
    <row r="3892" spans="9:12" x14ac:dyDescent="0.25">
      <c r="I3892" s="3"/>
      <c r="J3892" s="3"/>
      <c r="K3892" s="3"/>
      <c r="L3892" s="3"/>
    </row>
    <row r="3893" spans="9:12" x14ac:dyDescent="0.25">
      <c r="I3893" s="3"/>
      <c r="J3893" s="3"/>
      <c r="K3893" s="3"/>
      <c r="L3893" s="3"/>
    </row>
    <row r="3894" spans="9:12" x14ac:dyDescent="0.25">
      <c r="I3894" s="3"/>
      <c r="J3894" s="3"/>
      <c r="K3894" s="3"/>
      <c r="L3894" s="3"/>
    </row>
    <row r="3895" spans="9:12" x14ac:dyDescent="0.25">
      <c r="I3895" s="3"/>
      <c r="J3895" s="3"/>
      <c r="K3895" s="3"/>
      <c r="L3895" s="3"/>
    </row>
    <row r="3896" spans="9:12" x14ac:dyDescent="0.25">
      <c r="I3896" s="3"/>
      <c r="J3896" s="3"/>
      <c r="K3896" s="3"/>
      <c r="L3896" s="3"/>
    </row>
    <row r="3897" spans="9:12" x14ac:dyDescent="0.25">
      <c r="I3897" s="3"/>
      <c r="J3897" s="3"/>
      <c r="K3897" s="3"/>
      <c r="L3897" s="3"/>
    </row>
    <row r="3898" spans="9:12" x14ac:dyDescent="0.25">
      <c r="I3898" s="3"/>
      <c r="J3898" s="3"/>
      <c r="K3898" s="3"/>
      <c r="L3898" s="3"/>
    </row>
    <row r="3899" spans="9:12" x14ac:dyDescent="0.25">
      <c r="I3899" s="3"/>
      <c r="J3899" s="3"/>
      <c r="K3899" s="3"/>
      <c r="L3899" s="3"/>
    </row>
    <row r="3900" spans="9:12" x14ac:dyDescent="0.25">
      <c r="I3900" s="3"/>
      <c r="J3900" s="3"/>
      <c r="K3900" s="3"/>
      <c r="L3900" s="3"/>
    </row>
    <row r="3901" spans="9:12" x14ac:dyDescent="0.25">
      <c r="I3901" s="3"/>
      <c r="J3901" s="3"/>
      <c r="K3901" s="3"/>
      <c r="L3901" s="3"/>
    </row>
    <row r="3902" spans="9:12" x14ac:dyDescent="0.25">
      <c r="I3902" s="3"/>
      <c r="J3902" s="3"/>
      <c r="K3902" s="3"/>
      <c r="L3902" s="3"/>
    </row>
    <row r="3903" spans="9:12" x14ac:dyDescent="0.25">
      <c r="I3903" s="4"/>
      <c r="J3903" s="4"/>
      <c r="K3903" s="4"/>
      <c r="L3903" s="4"/>
    </row>
    <row r="3904" spans="9:12" x14ac:dyDescent="0.25">
      <c r="I3904" s="4"/>
      <c r="J3904" s="4"/>
      <c r="K3904" s="4"/>
      <c r="L3904" s="4"/>
    </row>
    <row r="3905" spans="9:12" x14ac:dyDescent="0.25">
      <c r="I3905" s="3"/>
      <c r="J3905" s="3"/>
      <c r="K3905" s="3"/>
      <c r="L3905" s="3"/>
    </row>
    <row r="3906" spans="9:12" x14ac:dyDescent="0.25">
      <c r="I3906" s="3"/>
      <c r="J3906" s="3"/>
      <c r="K3906" s="3"/>
      <c r="L3906" s="3"/>
    </row>
    <row r="3907" spans="9:12" x14ac:dyDescent="0.25">
      <c r="I3907" s="3"/>
      <c r="J3907" s="3"/>
      <c r="K3907" s="3"/>
      <c r="L3907" s="3"/>
    </row>
    <row r="3908" spans="9:12" x14ac:dyDescent="0.25">
      <c r="I3908" s="3"/>
      <c r="J3908" s="3"/>
      <c r="K3908" s="3"/>
      <c r="L3908" s="3"/>
    </row>
    <row r="3909" spans="9:12" x14ac:dyDescent="0.25">
      <c r="I3909" s="3"/>
      <c r="J3909" s="3"/>
      <c r="K3909" s="3"/>
      <c r="L3909" s="3"/>
    </row>
    <row r="3910" spans="9:12" x14ac:dyDescent="0.25">
      <c r="I3910" s="3"/>
      <c r="J3910" s="3"/>
      <c r="K3910" s="3"/>
      <c r="L3910" s="3"/>
    </row>
    <row r="3911" spans="9:12" x14ac:dyDescent="0.25">
      <c r="I3911" s="3"/>
      <c r="J3911" s="3"/>
      <c r="K3911" s="3"/>
      <c r="L3911" s="3"/>
    </row>
    <row r="3912" spans="9:12" x14ac:dyDescent="0.25">
      <c r="I3912" s="3"/>
      <c r="J3912" s="3"/>
      <c r="K3912" s="3"/>
      <c r="L3912" s="3"/>
    </row>
    <row r="3913" spans="9:12" x14ac:dyDescent="0.25">
      <c r="I3913" s="3"/>
      <c r="J3913" s="3"/>
      <c r="K3913" s="3"/>
      <c r="L3913" s="3"/>
    </row>
    <row r="3914" spans="9:12" x14ac:dyDescent="0.25">
      <c r="I3914" s="3"/>
      <c r="J3914" s="3"/>
      <c r="K3914" s="3"/>
      <c r="L3914" s="3"/>
    </row>
    <row r="3915" spans="9:12" x14ac:dyDescent="0.25">
      <c r="I3915" s="3"/>
      <c r="J3915" s="3"/>
      <c r="K3915" s="3"/>
      <c r="L3915" s="3"/>
    </row>
    <row r="3916" spans="9:12" x14ac:dyDescent="0.25">
      <c r="I3916" s="3"/>
      <c r="J3916" s="3"/>
      <c r="K3916" s="3"/>
      <c r="L3916" s="3"/>
    </row>
    <row r="3917" spans="9:12" x14ac:dyDescent="0.25">
      <c r="I3917" s="3"/>
      <c r="J3917" s="3"/>
      <c r="K3917" s="3"/>
      <c r="L3917" s="3"/>
    </row>
    <row r="3918" spans="9:12" x14ac:dyDescent="0.25">
      <c r="I3918" s="3"/>
      <c r="J3918" s="3"/>
      <c r="K3918" s="3"/>
      <c r="L3918" s="3"/>
    </row>
    <row r="3919" spans="9:12" x14ac:dyDescent="0.25">
      <c r="I3919" s="3"/>
      <c r="J3919" s="3"/>
      <c r="K3919" s="3"/>
      <c r="L3919" s="3"/>
    </row>
    <row r="3920" spans="9:12" x14ac:dyDescent="0.25">
      <c r="I3920" s="3"/>
      <c r="J3920" s="3"/>
      <c r="K3920" s="3"/>
      <c r="L3920" s="3"/>
    </row>
    <row r="3921" spans="9:12" x14ac:dyDescent="0.25">
      <c r="I3921" s="3"/>
      <c r="J3921" s="3"/>
      <c r="K3921" s="3"/>
      <c r="L3921" s="3"/>
    </row>
    <row r="3922" spans="9:12" x14ac:dyDescent="0.25">
      <c r="I3922" s="3"/>
      <c r="J3922" s="3"/>
      <c r="K3922" s="3"/>
      <c r="L3922" s="3"/>
    </row>
    <row r="3923" spans="9:12" x14ac:dyDescent="0.25">
      <c r="I3923" s="3"/>
      <c r="J3923" s="3"/>
      <c r="K3923" s="3"/>
      <c r="L3923" s="3"/>
    </row>
    <row r="3924" spans="9:12" x14ac:dyDescent="0.25">
      <c r="I3924" s="3"/>
      <c r="J3924" s="3"/>
      <c r="K3924" s="3"/>
      <c r="L3924" s="3"/>
    </row>
    <row r="3925" spans="9:12" x14ac:dyDescent="0.25">
      <c r="I3925" s="3"/>
      <c r="J3925" s="3"/>
      <c r="K3925" s="3"/>
      <c r="L3925" s="3"/>
    </row>
    <row r="3926" spans="9:12" x14ac:dyDescent="0.25">
      <c r="I3926" s="3"/>
      <c r="J3926" s="3"/>
      <c r="K3926" s="3"/>
      <c r="L3926" s="3"/>
    </row>
    <row r="3927" spans="9:12" x14ac:dyDescent="0.25">
      <c r="I3927" s="3"/>
      <c r="J3927" s="3"/>
      <c r="K3927" s="3"/>
      <c r="L3927" s="3"/>
    </row>
    <row r="3928" spans="9:12" x14ac:dyDescent="0.25">
      <c r="I3928" s="3"/>
      <c r="J3928" s="3"/>
      <c r="K3928" s="3"/>
      <c r="L3928" s="3"/>
    </row>
    <row r="3929" spans="9:12" x14ac:dyDescent="0.25">
      <c r="I3929" s="3"/>
      <c r="J3929" s="3"/>
      <c r="K3929" s="3"/>
      <c r="L3929" s="3"/>
    </row>
    <row r="3930" spans="9:12" x14ac:dyDescent="0.25">
      <c r="I3930" s="3"/>
      <c r="J3930" s="3"/>
      <c r="K3930" s="3"/>
      <c r="L3930" s="3"/>
    </row>
    <row r="3931" spans="9:12" x14ac:dyDescent="0.25">
      <c r="I3931" s="3"/>
      <c r="J3931" s="3"/>
      <c r="K3931" s="3"/>
      <c r="L3931" s="3"/>
    </row>
    <row r="3932" spans="9:12" x14ac:dyDescent="0.25">
      <c r="I3932" s="3"/>
      <c r="J3932" s="3"/>
      <c r="K3932" s="3"/>
      <c r="L3932" s="3"/>
    </row>
    <row r="3933" spans="9:12" x14ac:dyDescent="0.25">
      <c r="I3933" s="3"/>
      <c r="J3933" s="3"/>
      <c r="K3933" s="3"/>
      <c r="L3933" s="3"/>
    </row>
    <row r="3934" spans="9:12" x14ac:dyDescent="0.25">
      <c r="I3934" s="3"/>
      <c r="J3934" s="3"/>
      <c r="K3934" s="3"/>
      <c r="L3934" s="3"/>
    </row>
    <row r="3935" spans="9:12" x14ac:dyDescent="0.25">
      <c r="I3935" s="3"/>
      <c r="J3935" s="3"/>
      <c r="K3935" s="3"/>
      <c r="L3935" s="3"/>
    </row>
    <row r="3936" spans="9:12" x14ac:dyDescent="0.25">
      <c r="I3936" s="3"/>
      <c r="J3936" s="3"/>
      <c r="K3936" s="3"/>
      <c r="L3936" s="3"/>
    </row>
    <row r="3937" spans="9:12" x14ac:dyDescent="0.25">
      <c r="I3937" s="3"/>
      <c r="J3937" s="3"/>
      <c r="K3937" s="3"/>
      <c r="L3937" s="3"/>
    </row>
    <row r="3938" spans="9:12" x14ac:dyDescent="0.25">
      <c r="I3938" s="3"/>
      <c r="J3938" s="3"/>
      <c r="K3938" s="3"/>
      <c r="L3938" s="3"/>
    </row>
    <row r="3939" spans="9:12" x14ac:dyDescent="0.25">
      <c r="I3939" s="3"/>
      <c r="J3939" s="3"/>
      <c r="K3939" s="3"/>
      <c r="L3939" s="3"/>
    </row>
    <row r="3940" spans="9:12" x14ac:dyDescent="0.25">
      <c r="I3940" s="3"/>
      <c r="J3940" s="3"/>
      <c r="K3940" s="3"/>
      <c r="L3940" s="3"/>
    </row>
    <row r="3941" spans="9:12" x14ac:dyDescent="0.25">
      <c r="I3941" s="3"/>
      <c r="J3941" s="3"/>
      <c r="K3941" s="3"/>
      <c r="L3941" s="3"/>
    </row>
    <row r="3942" spans="9:12" x14ac:dyDescent="0.25">
      <c r="I3942" s="3"/>
      <c r="J3942" s="3"/>
      <c r="K3942" s="3"/>
      <c r="L3942" s="3"/>
    </row>
    <row r="3943" spans="9:12" x14ac:dyDescent="0.25">
      <c r="I3943" s="3"/>
      <c r="J3943" s="3"/>
      <c r="K3943" s="3"/>
      <c r="L3943" s="3"/>
    </row>
    <row r="3944" spans="9:12" x14ac:dyDescent="0.25">
      <c r="I3944" s="3"/>
      <c r="J3944" s="3"/>
      <c r="K3944" s="3"/>
      <c r="L3944" s="3"/>
    </row>
    <row r="3945" spans="9:12" x14ac:dyDescent="0.25">
      <c r="I3945" s="3"/>
      <c r="J3945" s="3"/>
      <c r="K3945" s="3"/>
      <c r="L3945" s="3"/>
    </row>
    <row r="3946" spans="9:12" x14ac:dyDescent="0.25">
      <c r="I3946" s="3"/>
      <c r="J3946" s="3"/>
      <c r="K3946" s="3"/>
      <c r="L3946" s="3"/>
    </row>
    <row r="3947" spans="9:12" x14ac:dyDescent="0.25">
      <c r="I3947" s="3"/>
      <c r="J3947" s="3"/>
      <c r="K3947" s="3"/>
      <c r="L3947" s="3"/>
    </row>
    <row r="3948" spans="9:12" x14ac:dyDescent="0.25">
      <c r="I3948" s="3"/>
      <c r="J3948" s="3"/>
      <c r="K3948" s="3"/>
      <c r="L3948" s="3"/>
    </row>
    <row r="3949" spans="9:12" x14ac:dyDescent="0.25">
      <c r="I3949" s="3"/>
      <c r="J3949" s="3"/>
      <c r="K3949" s="3"/>
      <c r="L3949" s="3"/>
    </row>
    <row r="3950" spans="9:12" x14ac:dyDescent="0.25">
      <c r="I3950" s="3"/>
      <c r="J3950" s="3"/>
      <c r="K3950" s="3"/>
      <c r="L3950" s="3"/>
    </row>
    <row r="3951" spans="9:12" x14ac:dyDescent="0.25">
      <c r="I3951" s="3"/>
      <c r="J3951" s="3"/>
      <c r="K3951" s="3"/>
      <c r="L3951" s="3"/>
    </row>
    <row r="3952" spans="9:12" x14ac:dyDescent="0.25">
      <c r="I3952" s="3"/>
      <c r="J3952" s="3"/>
      <c r="K3952" s="3"/>
      <c r="L3952" s="3"/>
    </row>
    <row r="3953" spans="9:12" x14ac:dyDescent="0.25">
      <c r="I3953" s="3"/>
      <c r="J3953" s="3"/>
      <c r="K3953" s="3"/>
      <c r="L3953" s="3"/>
    </row>
    <row r="3954" spans="9:12" x14ac:dyDescent="0.25">
      <c r="I3954" s="3"/>
      <c r="J3954" s="3"/>
      <c r="K3954" s="3"/>
      <c r="L3954" s="3"/>
    </row>
    <row r="3955" spans="9:12" x14ac:dyDescent="0.25">
      <c r="I3955" s="3"/>
      <c r="J3955" s="3"/>
      <c r="K3955" s="3"/>
      <c r="L3955" s="3"/>
    </row>
    <row r="3956" spans="9:12" x14ac:dyDescent="0.25">
      <c r="I3956" s="3"/>
      <c r="J3956" s="3"/>
      <c r="K3956" s="3"/>
      <c r="L3956" s="3"/>
    </row>
    <row r="3957" spans="9:12" x14ac:dyDescent="0.25">
      <c r="I3957" s="3"/>
      <c r="J3957" s="3"/>
      <c r="K3957" s="3"/>
      <c r="L3957" s="3"/>
    </row>
    <row r="3958" spans="9:12" x14ac:dyDescent="0.25">
      <c r="I3958" s="3"/>
      <c r="J3958" s="3"/>
      <c r="K3958" s="3"/>
      <c r="L3958" s="3"/>
    </row>
    <row r="3959" spans="9:12" x14ac:dyDescent="0.25">
      <c r="I3959" s="3"/>
      <c r="J3959" s="3"/>
      <c r="K3959" s="3"/>
      <c r="L3959" s="3"/>
    </row>
    <row r="3960" spans="9:12" x14ac:dyDescent="0.25">
      <c r="I3960" s="3"/>
      <c r="J3960" s="3"/>
      <c r="K3960" s="3"/>
      <c r="L3960" s="3"/>
    </row>
    <row r="3961" spans="9:12" x14ac:dyDescent="0.25">
      <c r="I3961" s="3"/>
      <c r="J3961" s="3"/>
      <c r="K3961" s="3"/>
      <c r="L3961" s="3"/>
    </row>
    <row r="3962" spans="9:12" x14ac:dyDescent="0.25">
      <c r="I3962" s="3"/>
      <c r="J3962" s="3"/>
      <c r="K3962" s="3"/>
      <c r="L3962" s="3"/>
    </row>
    <row r="3963" spans="9:12" x14ac:dyDescent="0.25">
      <c r="I3963" s="3"/>
      <c r="J3963" s="3"/>
      <c r="K3963" s="3"/>
      <c r="L3963" s="3"/>
    </row>
    <row r="3964" spans="9:12" x14ac:dyDescent="0.25">
      <c r="I3964" s="3"/>
      <c r="J3964" s="3"/>
      <c r="K3964" s="3"/>
      <c r="L3964" s="3"/>
    </row>
    <row r="3965" spans="9:12" x14ac:dyDescent="0.25">
      <c r="I3965" s="3"/>
      <c r="J3965" s="3"/>
      <c r="K3965" s="3"/>
      <c r="L3965" s="3"/>
    </row>
    <row r="3966" spans="9:12" x14ac:dyDescent="0.25">
      <c r="I3966" s="3"/>
      <c r="J3966" s="3"/>
      <c r="K3966" s="3"/>
      <c r="L3966" s="3"/>
    </row>
    <row r="3967" spans="9:12" x14ac:dyDescent="0.25">
      <c r="I3967" s="3"/>
      <c r="J3967" s="3"/>
      <c r="K3967" s="3"/>
      <c r="L3967" s="3"/>
    </row>
    <row r="3968" spans="9:12" x14ac:dyDescent="0.25">
      <c r="I3968" s="3"/>
      <c r="J3968" s="3"/>
      <c r="K3968" s="3"/>
      <c r="L3968" s="3"/>
    </row>
    <row r="3969" spans="9:12" x14ac:dyDescent="0.25">
      <c r="I3969" s="3"/>
      <c r="J3969" s="3"/>
      <c r="K3969" s="3"/>
      <c r="L3969" s="3"/>
    </row>
    <row r="3970" spans="9:12" x14ac:dyDescent="0.25">
      <c r="I3970" s="3"/>
      <c r="J3970" s="3"/>
      <c r="K3970" s="3"/>
      <c r="L3970" s="3"/>
    </row>
    <row r="3971" spans="9:12" x14ac:dyDescent="0.25">
      <c r="I3971" s="3"/>
      <c r="J3971" s="3"/>
      <c r="K3971" s="3"/>
      <c r="L3971" s="3"/>
    </row>
    <row r="3972" spans="9:12" x14ac:dyDescent="0.25">
      <c r="I3972" s="3"/>
      <c r="J3972" s="3"/>
      <c r="K3972" s="3"/>
      <c r="L3972" s="3"/>
    </row>
    <row r="3973" spans="9:12" x14ac:dyDescent="0.25">
      <c r="I3973" s="3"/>
      <c r="J3973" s="3"/>
      <c r="K3973" s="3"/>
      <c r="L3973" s="3"/>
    </row>
    <row r="3974" spans="9:12" x14ac:dyDescent="0.25">
      <c r="I3974" s="3"/>
      <c r="J3974" s="3"/>
      <c r="K3974" s="3"/>
      <c r="L3974" s="3"/>
    </row>
    <row r="3975" spans="9:12" x14ac:dyDescent="0.25">
      <c r="I3975" s="3"/>
      <c r="J3975" s="3"/>
      <c r="K3975" s="3"/>
      <c r="L3975" s="3"/>
    </row>
    <row r="3976" spans="9:12" x14ac:dyDescent="0.25">
      <c r="I3976" s="3"/>
      <c r="J3976" s="3"/>
      <c r="K3976" s="3"/>
      <c r="L3976" s="3"/>
    </row>
    <row r="3977" spans="9:12" x14ac:dyDescent="0.25">
      <c r="I3977" s="3"/>
      <c r="J3977" s="3"/>
      <c r="K3977" s="3"/>
      <c r="L3977" s="3"/>
    </row>
    <row r="3978" spans="9:12" x14ac:dyDescent="0.25">
      <c r="I3978" s="3"/>
      <c r="J3978" s="3"/>
      <c r="K3978" s="3"/>
      <c r="L3978" s="3"/>
    </row>
    <row r="3979" spans="9:12" x14ac:dyDescent="0.25">
      <c r="I3979" s="3"/>
      <c r="J3979" s="3"/>
      <c r="K3979" s="3"/>
      <c r="L3979" s="3"/>
    </row>
    <row r="3980" spans="9:12" x14ac:dyDescent="0.25">
      <c r="I3980" s="3"/>
      <c r="J3980" s="3"/>
      <c r="K3980" s="3"/>
      <c r="L3980" s="3"/>
    </row>
    <row r="3981" spans="9:12" x14ac:dyDescent="0.25">
      <c r="I3981" s="3"/>
      <c r="J3981" s="3"/>
      <c r="K3981" s="3"/>
      <c r="L3981" s="3"/>
    </row>
    <row r="3982" spans="9:12" x14ac:dyDescent="0.25">
      <c r="I3982" s="3"/>
      <c r="J3982" s="3"/>
      <c r="K3982" s="3"/>
      <c r="L3982" s="3"/>
    </row>
    <row r="3983" spans="9:12" x14ac:dyDescent="0.25">
      <c r="I3983" s="3"/>
      <c r="J3983" s="3"/>
      <c r="K3983" s="3"/>
      <c r="L3983" s="3"/>
    </row>
    <row r="3984" spans="9:12" x14ac:dyDescent="0.25">
      <c r="I3984" s="3"/>
      <c r="J3984" s="3"/>
      <c r="K3984" s="3"/>
      <c r="L3984" s="3"/>
    </row>
    <row r="3985" spans="9:12" x14ac:dyDescent="0.25">
      <c r="I3985" s="3"/>
      <c r="J3985" s="3"/>
      <c r="K3985" s="3"/>
      <c r="L3985" s="3"/>
    </row>
    <row r="3986" spans="9:12" x14ac:dyDescent="0.25">
      <c r="I3986" s="3"/>
      <c r="J3986" s="3"/>
      <c r="K3986" s="3"/>
      <c r="L3986" s="3"/>
    </row>
    <row r="3987" spans="9:12" x14ac:dyDescent="0.25">
      <c r="I3987" s="3"/>
      <c r="J3987" s="3"/>
      <c r="K3987" s="3"/>
      <c r="L3987" s="3"/>
    </row>
    <row r="3988" spans="9:12" x14ac:dyDescent="0.25">
      <c r="I3988" s="3"/>
      <c r="J3988" s="3"/>
      <c r="K3988" s="3"/>
      <c r="L3988" s="3"/>
    </row>
    <row r="3989" spans="9:12" x14ac:dyDescent="0.25">
      <c r="I3989" s="3"/>
      <c r="J3989" s="3"/>
      <c r="K3989" s="3"/>
      <c r="L3989" s="3"/>
    </row>
    <row r="3990" spans="9:12" x14ac:dyDescent="0.25">
      <c r="I3990" s="3"/>
      <c r="J3990" s="3"/>
      <c r="K3990" s="3"/>
      <c r="L3990" s="3"/>
    </row>
    <row r="3991" spans="9:12" x14ac:dyDescent="0.25">
      <c r="I3991" s="3"/>
      <c r="J3991" s="3"/>
      <c r="K3991" s="3"/>
      <c r="L3991" s="3"/>
    </row>
    <row r="3992" spans="9:12" x14ac:dyDescent="0.25">
      <c r="I3992" s="3"/>
      <c r="J3992" s="3"/>
      <c r="K3992" s="3"/>
      <c r="L3992" s="3"/>
    </row>
    <row r="3993" spans="9:12" x14ac:dyDescent="0.25">
      <c r="I3993" s="3"/>
      <c r="J3993" s="3"/>
      <c r="K3993" s="3"/>
      <c r="L3993" s="3"/>
    </row>
    <row r="3994" spans="9:12" x14ac:dyDescent="0.25">
      <c r="I3994" s="3"/>
      <c r="J3994" s="3"/>
      <c r="K3994" s="3"/>
      <c r="L3994" s="3"/>
    </row>
    <row r="3995" spans="9:12" x14ac:dyDescent="0.25">
      <c r="I3995" s="3"/>
      <c r="J3995" s="3"/>
      <c r="K3995" s="3"/>
      <c r="L3995" s="3"/>
    </row>
    <row r="3996" spans="9:12" x14ac:dyDescent="0.25">
      <c r="I3996" s="3"/>
      <c r="J3996" s="3"/>
      <c r="K3996" s="3"/>
      <c r="L3996" s="3"/>
    </row>
    <row r="3997" spans="9:12" x14ac:dyDescent="0.25">
      <c r="I3997" s="3"/>
      <c r="J3997" s="3"/>
      <c r="K3997" s="3"/>
      <c r="L3997" s="3"/>
    </row>
    <row r="3998" spans="9:12" x14ac:dyDescent="0.25">
      <c r="I3998" s="3"/>
      <c r="J3998" s="3"/>
      <c r="K3998" s="3"/>
      <c r="L3998" s="3"/>
    </row>
    <row r="3999" spans="9:12" x14ac:dyDescent="0.25">
      <c r="I3999" s="3"/>
      <c r="J3999" s="3"/>
      <c r="K3999" s="3"/>
      <c r="L3999" s="3"/>
    </row>
    <row r="4000" spans="9:12" x14ac:dyDescent="0.25">
      <c r="I4000" s="3"/>
      <c r="J4000" s="3"/>
      <c r="K4000" s="3"/>
      <c r="L4000" s="3"/>
    </row>
    <row r="4001" spans="9:12" x14ac:dyDescent="0.25">
      <c r="I4001" s="3"/>
      <c r="J4001" s="3"/>
      <c r="K4001" s="3"/>
      <c r="L4001" s="3"/>
    </row>
    <row r="4002" spans="9:12" x14ac:dyDescent="0.25">
      <c r="I4002" s="3"/>
      <c r="J4002" s="3"/>
      <c r="K4002" s="3"/>
      <c r="L4002" s="3"/>
    </row>
    <row r="4003" spans="9:12" x14ac:dyDescent="0.25">
      <c r="I4003" s="3"/>
      <c r="J4003" s="3"/>
      <c r="K4003" s="3"/>
      <c r="L4003" s="3"/>
    </row>
    <row r="4004" spans="9:12" x14ac:dyDescent="0.25">
      <c r="I4004" s="3"/>
      <c r="J4004" s="3"/>
      <c r="K4004" s="3"/>
      <c r="L4004" s="3"/>
    </row>
    <row r="4005" spans="9:12" x14ac:dyDescent="0.25">
      <c r="I4005" s="3"/>
      <c r="J4005" s="3"/>
      <c r="K4005" s="3"/>
      <c r="L4005" s="3"/>
    </row>
    <row r="4006" spans="9:12" x14ac:dyDescent="0.25">
      <c r="I4006" s="3"/>
      <c r="J4006" s="3"/>
      <c r="K4006" s="3"/>
      <c r="L4006" s="3"/>
    </row>
    <row r="4007" spans="9:12" x14ac:dyDescent="0.25">
      <c r="I4007" s="3"/>
      <c r="J4007" s="3"/>
      <c r="K4007" s="3"/>
      <c r="L4007" s="3"/>
    </row>
    <row r="4008" spans="9:12" x14ac:dyDescent="0.25">
      <c r="I4008" s="3"/>
      <c r="J4008" s="3"/>
      <c r="K4008" s="3"/>
      <c r="L4008" s="3"/>
    </row>
    <row r="4009" spans="9:12" x14ac:dyDescent="0.25">
      <c r="I4009" s="4"/>
      <c r="J4009" s="4"/>
      <c r="K4009" s="4"/>
      <c r="L4009" s="4"/>
    </row>
    <row r="4010" spans="9:12" x14ac:dyDescent="0.25">
      <c r="I4010" s="4"/>
      <c r="J4010" s="4"/>
      <c r="K4010" s="4"/>
      <c r="L4010" s="4"/>
    </row>
    <row r="4011" spans="9:12" x14ac:dyDescent="0.25">
      <c r="I4011" s="4"/>
      <c r="J4011" s="4"/>
      <c r="K4011" s="4"/>
      <c r="L4011" s="4"/>
    </row>
    <row r="4012" spans="9:12" x14ac:dyDescent="0.25">
      <c r="I4012" s="3"/>
      <c r="J4012" s="3"/>
      <c r="K4012" s="3"/>
      <c r="L4012" s="3"/>
    </row>
    <row r="4013" spans="9:12" x14ac:dyDescent="0.25">
      <c r="I4013" s="3"/>
      <c r="J4013" s="3"/>
      <c r="K4013" s="3"/>
      <c r="L4013" s="3"/>
    </row>
    <row r="4014" spans="9:12" x14ac:dyDescent="0.25">
      <c r="I4014" s="3"/>
      <c r="J4014" s="3"/>
      <c r="K4014" s="3"/>
      <c r="L4014" s="3"/>
    </row>
    <row r="4015" spans="9:12" x14ac:dyDescent="0.25">
      <c r="I4015" s="3"/>
      <c r="J4015" s="3"/>
      <c r="K4015" s="3"/>
      <c r="L4015" s="3"/>
    </row>
    <row r="4016" spans="9:12" x14ac:dyDescent="0.25">
      <c r="I4016" s="3"/>
      <c r="J4016" s="3"/>
      <c r="K4016" s="3"/>
      <c r="L4016" s="3"/>
    </row>
    <row r="4017" spans="9:12" x14ac:dyDescent="0.25">
      <c r="I4017" s="3"/>
      <c r="J4017" s="3"/>
      <c r="K4017" s="3"/>
      <c r="L4017" s="3"/>
    </row>
    <row r="4018" spans="9:12" x14ac:dyDescent="0.25">
      <c r="I4018" s="3"/>
      <c r="J4018" s="3"/>
      <c r="K4018" s="3"/>
      <c r="L4018" s="3"/>
    </row>
    <row r="4019" spans="9:12" x14ac:dyDescent="0.25">
      <c r="I4019" s="3"/>
      <c r="J4019" s="3"/>
      <c r="K4019" s="3"/>
      <c r="L4019" s="3"/>
    </row>
    <row r="4020" spans="9:12" x14ac:dyDescent="0.25">
      <c r="I4020" s="3"/>
      <c r="J4020" s="3"/>
      <c r="K4020" s="3"/>
      <c r="L4020" s="3"/>
    </row>
    <row r="4021" spans="9:12" x14ac:dyDescent="0.25">
      <c r="I4021" s="3"/>
      <c r="J4021" s="3"/>
      <c r="K4021" s="3"/>
      <c r="L4021" s="3"/>
    </row>
    <row r="4022" spans="9:12" x14ac:dyDescent="0.25">
      <c r="I4022" s="3"/>
      <c r="J4022" s="3"/>
      <c r="K4022" s="3"/>
      <c r="L4022" s="3"/>
    </row>
    <row r="4023" spans="9:12" x14ac:dyDescent="0.25">
      <c r="I4023" s="3"/>
      <c r="J4023" s="3"/>
      <c r="K4023" s="3"/>
      <c r="L4023" s="3"/>
    </row>
    <row r="4024" spans="9:12" x14ac:dyDescent="0.25">
      <c r="I4024" s="3"/>
      <c r="J4024" s="3"/>
      <c r="K4024" s="3"/>
      <c r="L4024" s="3"/>
    </row>
    <row r="4025" spans="9:12" x14ac:dyDescent="0.25">
      <c r="I4025" s="3"/>
      <c r="J4025" s="3"/>
      <c r="K4025" s="3"/>
      <c r="L4025" s="3"/>
    </row>
    <row r="4026" spans="9:12" x14ac:dyDescent="0.25">
      <c r="I4026" s="3"/>
      <c r="J4026" s="3"/>
      <c r="K4026" s="3"/>
      <c r="L4026" s="3"/>
    </row>
    <row r="4027" spans="9:12" x14ac:dyDescent="0.25">
      <c r="I4027" s="3"/>
      <c r="J4027" s="3"/>
      <c r="K4027" s="3"/>
      <c r="L4027" s="3"/>
    </row>
    <row r="4028" spans="9:12" x14ac:dyDescent="0.25">
      <c r="I4028" s="3"/>
      <c r="J4028" s="3"/>
      <c r="K4028" s="3"/>
      <c r="L4028" s="3"/>
    </row>
    <row r="4029" spans="9:12" x14ac:dyDescent="0.25">
      <c r="I4029" s="3"/>
      <c r="J4029" s="3"/>
      <c r="K4029" s="3"/>
      <c r="L4029" s="3"/>
    </row>
    <row r="4030" spans="9:12" x14ac:dyDescent="0.25">
      <c r="I4030" s="3"/>
      <c r="J4030" s="3"/>
      <c r="K4030" s="3"/>
      <c r="L4030" s="3"/>
    </row>
    <row r="4031" spans="9:12" x14ac:dyDescent="0.25">
      <c r="I4031" s="3"/>
      <c r="J4031" s="3"/>
      <c r="K4031" s="3"/>
      <c r="L4031" s="3"/>
    </row>
    <row r="4032" spans="9:12" x14ac:dyDescent="0.25">
      <c r="I4032" s="3"/>
      <c r="J4032" s="3"/>
      <c r="K4032" s="3"/>
      <c r="L4032" s="3"/>
    </row>
    <row r="4033" spans="9:12" x14ac:dyDescent="0.25">
      <c r="I4033" s="3"/>
      <c r="J4033" s="3"/>
      <c r="K4033" s="3"/>
      <c r="L4033" s="3"/>
    </row>
    <row r="4034" spans="9:12" x14ac:dyDescent="0.25">
      <c r="I4034" s="3"/>
      <c r="J4034" s="3"/>
      <c r="K4034" s="3"/>
      <c r="L4034" s="3"/>
    </row>
    <row r="4035" spans="9:12" x14ac:dyDescent="0.25">
      <c r="I4035" s="3"/>
      <c r="J4035" s="3"/>
      <c r="K4035" s="3"/>
      <c r="L4035" s="3"/>
    </row>
    <row r="4036" spans="9:12" x14ac:dyDescent="0.25">
      <c r="I4036" s="3"/>
      <c r="J4036" s="3"/>
      <c r="K4036" s="3"/>
      <c r="L4036" s="3"/>
    </row>
    <row r="4037" spans="9:12" x14ac:dyDescent="0.25">
      <c r="I4037" s="3"/>
      <c r="J4037" s="3"/>
      <c r="K4037" s="3"/>
      <c r="L4037" s="3"/>
    </row>
    <row r="4038" spans="9:12" x14ac:dyDescent="0.25">
      <c r="I4038" s="3"/>
      <c r="J4038" s="3"/>
      <c r="K4038" s="3"/>
      <c r="L4038" s="3"/>
    </row>
    <row r="4039" spans="9:12" x14ac:dyDescent="0.25">
      <c r="I4039" s="3"/>
      <c r="J4039" s="3"/>
      <c r="K4039" s="3"/>
      <c r="L4039" s="3"/>
    </row>
    <row r="4040" spans="9:12" x14ac:dyDescent="0.25">
      <c r="I4040" s="3"/>
      <c r="J4040" s="3"/>
      <c r="K4040" s="3"/>
      <c r="L4040" s="3"/>
    </row>
    <row r="4041" spans="9:12" x14ac:dyDescent="0.25">
      <c r="I4041" s="3"/>
      <c r="J4041" s="3"/>
      <c r="K4041" s="3"/>
      <c r="L4041" s="3"/>
    </row>
    <row r="4042" spans="9:12" x14ac:dyDescent="0.25">
      <c r="I4042" s="3"/>
      <c r="J4042" s="3"/>
      <c r="K4042" s="3"/>
      <c r="L4042" s="3"/>
    </row>
    <row r="4043" spans="9:12" x14ac:dyDescent="0.25">
      <c r="I4043" s="3"/>
      <c r="J4043" s="3"/>
      <c r="K4043" s="3"/>
      <c r="L4043" s="3"/>
    </row>
    <row r="4044" spans="9:12" x14ac:dyDescent="0.25">
      <c r="I4044" s="3"/>
      <c r="J4044" s="3"/>
      <c r="K4044" s="3"/>
      <c r="L4044" s="3"/>
    </row>
    <row r="4045" spans="9:12" x14ac:dyDescent="0.25">
      <c r="I4045" s="3"/>
      <c r="J4045" s="3"/>
      <c r="K4045" s="3"/>
      <c r="L4045" s="3"/>
    </row>
    <row r="4046" spans="9:12" x14ac:dyDescent="0.25">
      <c r="I4046" s="3"/>
      <c r="J4046" s="3"/>
      <c r="K4046" s="3"/>
      <c r="L4046" s="3"/>
    </row>
    <row r="4047" spans="9:12" x14ac:dyDescent="0.25">
      <c r="I4047" s="3"/>
      <c r="J4047" s="3"/>
      <c r="K4047" s="3"/>
      <c r="L4047" s="3"/>
    </row>
    <row r="4048" spans="9:12" x14ac:dyDescent="0.25">
      <c r="I4048" s="3"/>
      <c r="J4048" s="3"/>
      <c r="K4048" s="3"/>
      <c r="L4048" s="3"/>
    </row>
    <row r="4049" spans="9:12" x14ac:dyDescent="0.25">
      <c r="I4049" s="3"/>
      <c r="J4049" s="3"/>
      <c r="K4049" s="3"/>
      <c r="L4049" s="3"/>
    </row>
    <row r="4050" spans="9:12" x14ac:dyDescent="0.25">
      <c r="I4050" s="3"/>
      <c r="J4050" s="3"/>
      <c r="K4050" s="3"/>
      <c r="L4050" s="3"/>
    </row>
    <row r="4051" spans="9:12" x14ac:dyDescent="0.25">
      <c r="I4051" s="3"/>
      <c r="J4051" s="3"/>
      <c r="K4051" s="3"/>
      <c r="L4051" s="3"/>
    </row>
    <row r="4052" spans="9:12" x14ac:dyDescent="0.25">
      <c r="I4052" s="3"/>
      <c r="J4052" s="3"/>
      <c r="K4052" s="3"/>
      <c r="L4052" s="3"/>
    </row>
    <row r="4053" spans="9:12" x14ac:dyDescent="0.25">
      <c r="I4053" s="3"/>
      <c r="J4053" s="3"/>
      <c r="K4053" s="3"/>
      <c r="L4053" s="3"/>
    </row>
    <row r="4054" spans="9:12" x14ac:dyDescent="0.25">
      <c r="I4054" s="3"/>
      <c r="J4054" s="3"/>
      <c r="K4054" s="3"/>
      <c r="L4054" s="3"/>
    </row>
    <row r="4055" spans="9:12" x14ac:dyDescent="0.25">
      <c r="I4055" s="3"/>
      <c r="J4055" s="3"/>
      <c r="K4055" s="3"/>
      <c r="L4055" s="3"/>
    </row>
    <row r="4056" spans="9:12" x14ac:dyDescent="0.25">
      <c r="I4056" s="3"/>
      <c r="J4056" s="3"/>
      <c r="K4056" s="3"/>
      <c r="L4056" s="3"/>
    </row>
    <row r="4057" spans="9:12" x14ac:dyDescent="0.25">
      <c r="I4057" s="3"/>
      <c r="J4057" s="3"/>
      <c r="K4057" s="3"/>
      <c r="L4057" s="3"/>
    </row>
    <row r="4058" spans="9:12" x14ac:dyDescent="0.25">
      <c r="I4058" s="3"/>
      <c r="J4058" s="3"/>
      <c r="K4058" s="3"/>
      <c r="L4058" s="3"/>
    </row>
    <row r="4059" spans="9:12" x14ac:dyDescent="0.25">
      <c r="I4059" s="3"/>
      <c r="J4059" s="3"/>
      <c r="K4059" s="3"/>
      <c r="L4059" s="3"/>
    </row>
    <row r="4060" spans="9:12" x14ac:dyDescent="0.25">
      <c r="I4060" s="3"/>
      <c r="J4060" s="3"/>
      <c r="K4060" s="3"/>
      <c r="L4060" s="3"/>
    </row>
    <row r="4061" spans="9:12" x14ac:dyDescent="0.25">
      <c r="I4061" s="3"/>
      <c r="J4061" s="3"/>
      <c r="K4061" s="3"/>
      <c r="L4061" s="3"/>
    </row>
    <row r="4062" spans="9:12" x14ac:dyDescent="0.25">
      <c r="I4062" s="3"/>
      <c r="J4062" s="3"/>
      <c r="K4062" s="3"/>
      <c r="L4062" s="3"/>
    </row>
    <row r="4063" spans="9:12" x14ac:dyDescent="0.25">
      <c r="I4063" s="3"/>
      <c r="J4063" s="3"/>
      <c r="K4063" s="3"/>
      <c r="L4063" s="3"/>
    </row>
    <row r="4064" spans="9:12" x14ac:dyDescent="0.25">
      <c r="I4064" s="3"/>
      <c r="J4064" s="3"/>
      <c r="K4064" s="3"/>
      <c r="L4064" s="3"/>
    </row>
    <row r="4065" spans="9:12" x14ac:dyDescent="0.25">
      <c r="I4065" s="3"/>
      <c r="J4065" s="3"/>
      <c r="K4065" s="3"/>
      <c r="L4065" s="3"/>
    </row>
    <row r="4066" spans="9:12" x14ac:dyDescent="0.25">
      <c r="I4066" s="3"/>
      <c r="J4066" s="3"/>
      <c r="K4066" s="3"/>
      <c r="L4066" s="3"/>
    </row>
    <row r="4067" spans="9:12" x14ac:dyDescent="0.25">
      <c r="I4067" s="3"/>
      <c r="J4067" s="3"/>
      <c r="K4067" s="3"/>
      <c r="L4067" s="3"/>
    </row>
    <row r="4068" spans="9:12" x14ac:dyDescent="0.25">
      <c r="I4068" s="3"/>
      <c r="J4068" s="3"/>
      <c r="K4068" s="3"/>
      <c r="L4068" s="3"/>
    </row>
    <row r="4069" spans="9:12" x14ac:dyDescent="0.25">
      <c r="I4069" s="3"/>
      <c r="J4069" s="3"/>
      <c r="K4069" s="3"/>
      <c r="L4069" s="3"/>
    </row>
    <row r="4070" spans="9:12" x14ac:dyDescent="0.25">
      <c r="I4070" s="3"/>
      <c r="J4070" s="3"/>
      <c r="K4070" s="3"/>
      <c r="L4070" s="3"/>
    </row>
    <row r="4071" spans="9:12" x14ac:dyDescent="0.25">
      <c r="I4071" s="3"/>
      <c r="J4071" s="3"/>
      <c r="K4071" s="3"/>
      <c r="L4071" s="3"/>
    </row>
    <row r="4072" spans="9:12" x14ac:dyDescent="0.25">
      <c r="I4072" s="3"/>
      <c r="J4072" s="3"/>
      <c r="K4072" s="3"/>
      <c r="L4072" s="3"/>
    </row>
    <row r="4073" spans="9:12" x14ac:dyDescent="0.25">
      <c r="I4073" s="3"/>
      <c r="J4073" s="3"/>
      <c r="K4073" s="3"/>
      <c r="L4073" s="3"/>
    </row>
    <row r="4074" spans="9:12" x14ac:dyDescent="0.25">
      <c r="I4074" s="3"/>
      <c r="J4074" s="3"/>
      <c r="K4074" s="3"/>
      <c r="L4074" s="3"/>
    </row>
    <row r="4075" spans="9:12" x14ac:dyDescent="0.25">
      <c r="I4075" s="3"/>
      <c r="J4075" s="3"/>
      <c r="K4075" s="3"/>
      <c r="L4075" s="3"/>
    </row>
    <row r="4076" spans="9:12" x14ac:dyDescent="0.25">
      <c r="I4076" s="3"/>
      <c r="J4076" s="3"/>
      <c r="K4076" s="3"/>
      <c r="L4076" s="3"/>
    </row>
    <row r="4077" spans="9:12" x14ac:dyDescent="0.25">
      <c r="I4077" s="3"/>
      <c r="J4077" s="3"/>
      <c r="K4077" s="3"/>
      <c r="L4077" s="3"/>
    </row>
    <row r="4078" spans="9:12" x14ac:dyDescent="0.25">
      <c r="I4078" s="3"/>
      <c r="J4078" s="3"/>
      <c r="K4078" s="3"/>
      <c r="L4078" s="3"/>
    </row>
    <row r="4079" spans="9:12" x14ac:dyDescent="0.25">
      <c r="I4079" s="3"/>
      <c r="J4079" s="3"/>
      <c r="K4079" s="3"/>
      <c r="L4079" s="3"/>
    </row>
    <row r="4080" spans="9:12" x14ac:dyDescent="0.25">
      <c r="I4080" s="3"/>
      <c r="J4080" s="3"/>
      <c r="K4080" s="3"/>
      <c r="L4080" s="3"/>
    </row>
    <row r="4081" spans="9:12" x14ac:dyDescent="0.25">
      <c r="I4081" s="3"/>
      <c r="J4081" s="3"/>
      <c r="K4081" s="3"/>
      <c r="L4081" s="3"/>
    </row>
    <row r="4082" spans="9:12" x14ac:dyDescent="0.25">
      <c r="I4082" s="3"/>
      <c r="J4082" s="3"/>
      <c r="K4082" s="3"/>
      <c r="L4082" s="3"/>
    </row>
    <row r="4083" spans="9:12" x14ac:dyDescent="0.25">
      <c r="I4083" s="3"/>
      <c r="J4083" s="3"/>
      <c r="K4083" s="3"/>
      <c r="L4083" s="3"/>
    </row>
    <row r="4084" spans="9:12" x14ac:dyDescent="0.25">
      <c r="I4084" s="3"/>
      <c r="J4084" s="3"/>
      <c r="K4084" s="3"/>
      <c r="L4084" s="3"/>
    </row>
    <row r="4085" spans="9:12" x14ac:dyDescent="0.25">
      <c r="I4085" s="3"/>
      <c r="J4085" s="3"/>
      <c r="K4085" s="3"/>
      <c r="L4085" s="3"/>
    </row>
    <row r="4086" spans="9:12" x14ac:dyDescent="0.25">
      <c r="I4086" s="3"/>
      <c r="J4086" s="3"/>
      <c r="K4086" s="3"/>
      <c r="L4086" s="3"/>
    </row>
    <row r="4087" spans="9:12" x14ac:dyDescent="0.25">
      <c r="I4087" s="3"/>
      <c r="J4087" s="3"/>
      <c r="K4087" s="3"/>
      <c r="L4087" s="3"/>
    </row>
    <row r="4088" spans="9:12" x14ac:dyDescent="0.25">
      <c r="I4088" s="3"/>
      <c r="J4088" s="3"/>
      <c r="K4088" s="3"/>
      <c r="L4088" s="3"/>
    </row>
    <row r="4089" spans="9:12" x14ac:dyDescent="0.25">
      <c r="I4089" s="3"/>
      <c r="J4089" s="3"/>
      <c r="K4089" s="3"/>
      <c r="L4089" s="3"/>
    </row>
    <row r="4090" spans="9:12" x14ac:dyDescent="0.25">
      <c r="I4090" s="3"/>
      <c r="J4090" s="3"/>
      <c r="K4090" s="3"/>
      <c r="L4090" s="3"/>
    </row>
    <row r="4091" spans="9:12" x14ac:dyDescent="0.25">
      <c r="I4091" s="3"/>
      <c r="J4091" s="3"/>
      <c r="K4091" s="3"/>
      <c r="L4091" s="3"/>
    </row>
    <row r="4092" spans="9:12" x14ac:dyDescent="0.25">
      <c r="I4092" s="3"/>
      <c r="J4092" s="3"/>
      <c r="K4092" s="3"/>
      <c r="L4092" s="3"/>
    </row>
    <row r="4093" spans="9:12" x14ac:dyDescent="0.25">
      <c r="I4093" s="3"/>
      <c r="J4093" s="3"/>
      <c r="K4093" s="3"/>
      <c r="L4093" s="3"/>
    </row>
    <row r="4094" spans="9:12" x14ac:dyDescent="0.25">
      <c r="I4094" s="3"/>
      <c r="J4094" s="3"/>
      <c r="K4094" s="3"/>
      <c r="L4094" s="3"/>
    </row>
    <row r="4095" spans="9:12" x14ac:dyDescent="0.25">
      <c r="I4095" s="3"/>
      <c r="J4095" s="3"/>
      <c r="K4095" s="3"/>
      <c r="L4095" s="3"/>
    </row>
    <row r="4096" spans="9:12" x14ac:dyDescent="0.25">
      <c r="I4096" s="3"/>
      <c r="J4096" s="3"/>
      <c r="K4096" s="3"/>
      <c r="L4096" s="3"/>
    </row>
    <row r="4097" spans="9:12" x14ac:dyDescent="0.25">
      <c r="I4097" s="3"/>
      <c r="J4097" s="3"/>
      <c r="K4097" s="3"/>
      <c r="L4097" s="3"/>
    </row>
    <row r="4098" spans="9:12" x14ac:dyDescent="0.25">
      <c r="I4098" s="3"/>
      <c r="J4098" s="3"/>
      <c r="K4098" s="3"/>
      <c r="L4098" s="3"/>
    </row>
    <row r="4099" spans="9:12" x14ac:dyDescent="0.25">
      <c r="I4099" s="3"/>
      <c r="J4099" s="3"/>
      <c r="K4099" s="3"/>
      <c r="L4099" s="3"/>
    </row>
    <row r="4100" spans="9:12" x14ac:dyDescent="0.25">
      <c r="I4100" s="3"/>
      <c r="J4100" s="3"/>
      <c r="K4100" s="3"/>
      <c r="L4100" s="3"/>
    </row>
    <row r="4101" spans="9:12" x14ac:dyDescent="0.25">
      <c r="I4101" s="3"/>
      <c r="J4101" s="3"/>
      <c r="K4101" s="3"/>
      <c r="L4101" s="3"/>
    </row>
    <row r="4102" spans="9:12" x14ac:dyDescent="0.25">
      <c r="I4102" s="3"/>
      <c r="J4102" s="3"/>
      <c r="K4102" s="3"/>
      <c r="L4102" s="3"/>
    </row>
    <row r="4103" spans="9:12" x14ac:dyDescent="0.25">
      <c r="I4103" s="3"/>
      <c r="J4103" s="3"/>
      <c r="K4103" s="3"/>
      <c r="L4103" s="3"/>
    </row>
    <row r="4104" spans="9:12" x14ac:dyDescent="0.25">
      <c r="I4104" s="3"/>
      <c r="J4104" s="3"/>
      <c r="K4104" s="3"/>
      <c r="L4104" s="3"/>
    </row>
    <row r="4105" spans="9:12" x14ac:dyDescent="0.25">
      <c r="I4105" s="3"/>
      <c r="J4105" s="3"/>
      <c r="K4105" s="3"/>
      <c r="L4105" s="3"/>
    </row>
    <row r="4106" spans="9:12" x14ac:dyDescent="0.25">
      <c r="I4106" s="3"/>
      <c r="J4106" s="3"/>
      <c r="K4106" s="3"/>
      <c r="L4106" s="3"/>
    </row>
    <row r="4107" spans="9:12" x14ac:dyDescent="0.25">
      <c r="I4107" s="3"/>
      <c r="J4107" s="3"/>
      <c r="K4107" s="3"/>
      <c r="L4107" s="3"/>
    </row>
    <row r="4108" spans="9:12" x14ac:dyDescent="0.25">
      <c r="I4108" s="3"/>
      <c r="J4108" s="3"/>
      <c r="K4108" s="3"/>
      <c r="L4108" s="3"/>
    </row>
    <row r="4109" spans="9:12" x14ac:dyDescent="0.25">
      <c r="I4109" s="3"/>
      <c r="J4109" s="3"/>
      <c r="K4109" s="3"/>
      <c r="L4109" s="3"/>
    </row>
    <row r="4110" spans="9:12" x14ac:dyDescent="0.25">
      <c r="I4110" s="3"/>
      <c r="J4110" s="3"/>
      <c r="K4110" s="3"/>
      <c r="L4110" s="3"/>
    </row>
    <row r="4111" spans="9:12" x14ac:dyDescent="0.25">
      <c r="I4111" s="3"/>
      <c r="J4111" s="3"/>
      <c r="K4111" s="3"/>
      <c r="L4111" s="3"/>
    </row>
    <row r="4112" spans="9:12" x14ac:dyDescent="0.25">
      <c r="I4112" s="3"/>
      <c r="J4112" s="3"/>
      <c r="K4112" s="3"/>
      <c r="L4112" s="3"/>
    </row>
    <row r="4113" spans="9:12" x14ac:dyDescent="0.25">
      <c r="I4113" s="3"/>
      <c r="J4113" s="3"/>
      <c r="K4113" s="3"/>
      <c r="L4113" s="3"/>
    </row>
    <row r="4114" spans="9:12" x14ac:dyDescent="0.25">
      <c r="I4114" s="3"/>
      <c r="J4114" s="3"/>
      <c r="K4114" s="3"/>
      <c r="L4114" s="3"/>
    </row>
    <row r="4115" spans="9:12" x14ac:dyDescent="0.25">
      <c r="I4115" s="3"/>
      <c r="J4115" s="3"/>
      <c r="K4115" s="3"/>
      <c r="L4115" s="3"/>
    </row>
    <row r="4116" spans="9:12" x14ac:dyDescent="0.25">
      <c r="I4116" s="3"/>
      <c r="J4116" s="3"/>
      <c r="K4116" s="3"/>
      <c r="L4116" s="3"/>
    </row>
    <row r="4117" spans="9:12" x14ac:dyDescent="0.25">
      <c r="I4117" s="3"/>
      <c r="J4117" s="3"/>
      <c r="K4117" s="3"/>
      <c r="L4117" s="3"/>
    </row>
    <row r="4118" spans="9:12" x14ac:dyDescent="0.25">
      <c r="I4118" s="3"/>
      <c r="J4118" s="3"/>
      <c r="K4118" s="3"/>
      <c r="L4118" s="3"/>
    </row>
    <row r="4119" spans="9:12" x14ac:dyDescent="0.25">
      <c r="I4119" s="3"/>
      <c r="J4119" s="3"/>
      <c r="K4119" s="3"/>
      <c r="L4119" s="3"/>
    </row>
    <row r="4120" spans="9:12" x14ac:dyDescent="0.25">
      <c r="I4120" s="3"/>
      <c r="J4120" s="3"/>
      <c r="K4120" s="3"/>
      <c r="L4120" s="3"/>
    </row>
    <row r="4121" spans="9:12" x14ac:dyDescent="0.25">
      <c r="I4121" s="3"/>
      <c r="J4121" s="3"/>
      <c r="K4121" s="3"/>
      <c r="L4121" s="3"/>
    </row>
    <row r="4122" spans="9:12" x14ac:dyDescent="0.25">
      <c r="I4122" s="3"/>
      <c r="J4122" s="3"/>
      <c r="K4122" s="3"/>
      <c r="L4122" s="3"/>
    </row>
    <row r="4123" spans="9:12" x14ac:dyDescent="0.25">
      <c r="I4123" s="3"/>
      <c r="J4123" s="3"/>
      <c r="K4123" s="3"/>
      <c r="L4123" s="3"/>
    </row>
    <row r="4124" spans="9:12" x14ac:dyDescent="0.25">
      <c r="I4124" s="3"/>
      <c r="J4124" s="3"/>
      <c r="K4124" s="3"/>
      <c r="L4124" s="3"/>
    </row>
    <row r="4125" spans="9:12" x14ac:dyDescent="0.25">
      <c r="I4125" s="3"/>
      <c r="J4125" s="3"/>
      <c r="K4125" s="3"/>
      <c r="L4125" s="3"/>
    </row>
    <row r="4126" spans="9:12" x14ac:dyDescent="0.25">
      <c r="I4126" s="3"/>
      <c r="J4126" s="3"/>
      <c r="K4126" s="3"/>
      <c r="L4126" s="3"/>
    </row>
    <row r="4127" spans="9:12" x14ac:dyDescent="0.25">
      <c r="I4127" s="3"/>
      <c r="J4127" s="3"/>
      <c r="K4127" s="3"/>
      <c r="L4127" s="3"/>
    </row>
    <row r="4128" spans="9:12" x14ac:dyDescent="0.25">
      <c r="I4128" s="3"/>
      <c r="J4128" s="3"/>
      <c r="K4128" s="3"/>
      <c r="L4128" s="3"/>
    </row>
    <row r="4129" spans="9:12" x14ac:dyDescent="0.25">
      <c r="I4129" s="3"/>
      <c r="J4129" s="3"/>
      <c r="K4129" s="3"/>
      <c r="L4129" s="3"/>
    </row>
    <row r="4130" spans="9:12" x14ac:dyDescent="0.25">
      <c r="I4130" s="3"/>
      <c r="J4130" s="3"/>
      <c r="K4130" s="3"/>
      <c r="L4130" s="3"/>
    </row>
    <row r="4131" spans="9:12" x14ac:dyDescent="0.25">
      <c r="I4131" s="3"/>
      <c r="J4131" s="3"/>
      <c r="K4131" s="3"/>
      <c r="L4131" s="3"/>
    </row>
    <row r="4132" spans="9:12" x14ac:dyDescent="0.25">
      <c r="I4132" s="3"/>
      <c r="J4132" s="3"/>
      <c r="K4132" s="3"/>
      <c r="L4132" s="3"/>
    </row>
    <row r="4133" spans="9:12" x14ac:dyDescent="0.25">
      <c r="I4133" s="3"/>
      <c r="J4133" s="3"/>
      <c r="K4133" s="3"/>
      <c r="L4133" s="3"/>
    </row>
    <row r="4134" spans="9:12" x14ac:dyDescent="0.25">
      <c r="I4134" s="3"/>
      <c r="J4134" s="3"/>
      <c r="K4134" s="3"/>
      <c r="L4134" s="3"/>
    </row>
    <row r="4135" spans="9:12" x14ac:dyDescent="0.25">
      <c r="I4135" s="3"/>
      <c r="J4135" s="3"/>
      <c r="K4135" s="3"/>
      <c r="L4135" s="3"/>
    </row>
    <row r="4136" spans="9:12" x14ac:dyDescent="0.25">
      <c r="I4136" s="3"/>
      <c r="J4136" s="3"/>
      <c r="K4136" s="3"/>
      <c r="L4136" s="3"/>
    </row>
    <row r="4137" spans="9:12" x14ac:dyDescent="0.25">
      <c r="I4137" s="3"/>
      <c r="J4137" s="3"/>
      <c r="K4137" s="3"/>
      <c r="L4137" s="3"/>
    </row>
    <row r="4138" spans="9:12" x14ac:dyDescent="0.25">
      <c r="I4138" s="3"/>
      <c r="J4138" s="3"/>
      <c r="K4138" s="3"/>
      <c r="L4138" s="3"/>
    </row>
    <row r="4139" spans="9:12" x14ac:dyDescent="0.25">
      <c r="I4139" s="3"/>
      <c r="J4139" s="3"/>
      <c r="K4139" s="3"/>
      <c r="L4139" s="3"/>
    </row>
    <row r="4140" spans="9:12" x14ac:dyDescent="0.25">
      <c r="I4140" s="3"/>
      <c r="J4140" s="3"/>
      <c r="K4140" s="3"/>
      <c r="L4140" s="3"/>
    </row>
    <row r="4141" spans="9:12" x14ac:dyDescent="0.25">
      <c r="I4141" s="4"/>
      <c r="J4141" s="4"/>
      <c r="K4141" s="4"/>
      <c r="L4141" s="4"/>
    </row>
    <row r="4142" spans="9:12" x14ac:dyDescent="0.25">
      <c r="I4142" s="3"/>
      <c r="J4142" s="3"/>
      <c r="K4142" s="3"/>
      <c r="L4142" s="3"/>
    </row>
    <row r="4143" spans="9:12" x14ac:dyDescent="0.25">
      <c r="I4143" s="3"/>
      <c r="J4143" s="3"/>
      <c r="K4143" s="3"/>
      <c r="L4143" s="3"/>
    </row>
    <row r="4144" spans="9:12" x14ac:dyDescent="0.25">
      <c r="I4144" s="3"/>
      <c r="J4144" s="3"/>
      <c r="K4144" s="3"/>
      <c r="L4144" s="3"/>
    </row>
    <row r="4145" spans="9:12" x14ac:dyDescent="0.25">
      <c r="I4145" s="3"/>
      <c r="J4145" s="3"/>
      <c r="K4145" s="3"/>
      <c r="L4145" s="3"/>
    </row>
    <row r="4146" spans="9:12" x14ac:dyDescent="0.25">
      <c r="I4146" s="3"/>
      <c r="J4146" s="3"/>
      <c r="K4146" s="3"/>
      <c r="L4146" s="3"/>
    </row>
    <row r="4147" spans="9:12" x14ac:dyDescent="0.25">
      <c r="I4147" s="3"/>
      <c r="J4147" s="3"/>
      <c r="K4147" s="3"/>
      <c r="L4147" s="3"/>
    </row>
    <row r="4148" spans="9:12" x14ac:dyDescent="0.25">
      <c r="I4148" s="3"/>
      <c r="J4148" s="3"/>
      <c r="K4148" s="3"/>
      <c r="L4148" s="3"/>
    </row>
    <row r="4149" spans="9:12" x14ac:dyDescent="0.25">
      <c r="I4149" s="3"/>
      <c r="J4149" s="3"/>
      <c r="K4149" s="3"/>
      <c r="L4149" s="3"/>
    </row>
    <row r="4150" spans="9:12" x14ac:dyDescent="0.25">
      <c r="I4150" s="3"/>
      <c r="J4150" s="3"/>
      <c r="K4150" s="3"/>
      <c r="L4150" s="3"/>
    </row>
    <row r="4151" spans="9:12" x14ac:dyDescent="0.25">
      <c r="I4151" s="3"/>
      <c r="J4151" s="3"/>
      <c r="K4151" s="3"/>
      <c r="L4151" s="3"/>
    </row>
    <row r="4152" spans="9:12" x14ac:dyDescent="0.25">
      <c r="I4152" s="3"/>
      <c r="J4152" s="3"/>
      <c r="K4152" s="3"/>
      <c r="L4152" s="3"/>
    </row>
    <row r="4153" spans="9:12" x14ac:dyDescent="0.25">
      <c r="I4153" s="3"/>
      <c r="J4153" s="3"/>
      <c r="K4153" s="3"/>
      <c r="L4153" s="3"/>
    </row>
    <row r="4154" spans="9:12" x14ac:dyDescent="0.25">
      <c r="I4154" s="3"/>
      <c r="J4154" s="3"/>
      <c r="K4154" s="3"/>
      <c r="L4154" s="3"/>
    </row>
    <row r="4155" spans="9:12" x14ac:dyDescent="0.25">
      <c r="I4155" s="3"/>
      <c r="J4155" s="3"/>
      <c r="K4155" s="3"/>
      <c r="L4155" s="3"/>
    </row>
    <row r="4156" spans="9:12" x14ac:dyDescent="0.25">
      <c r="I4156" s="3"/>
      <c r="J4156" s="3"/>
      <c r="K4156" s="3"/>
      <c r="L4156" s="3"/>
    </row>
    <row r="4157" spans="9:12" x14ac:dyDescent="0.25">
      <c r="I4157" s="3"/>
      <c r="J4157" s="3"/>
      <c r="K4157" s="3"/>
      <c r="L4157" s="3"/>
    </row>
    <row r="4158" spans="9:12" x14ac:dyDescent="0.25">
      <c r="I4158" s="3"/>
      <c r="J4158" s="3"/>
      <c r="K4158" s="3"/>
      <c r="L4158" s="3"/>
    </row>
    <row r="4159" spans="9:12" x14ac:dyDescent="0.25">
      <c r="I4159" s="3"/>
      <c r="J4159" s="3"/>
      <c r="K4159" s="3"/>
      <c r="L4159" s="3"/>
    </row>
    <row r="4160" spans="9:12" x14ac:dyDescent="0.25">
      <c r="I4160" s="3"/>
      <c r="J4160" s="3"/>
      <c r="K4160" s="3"/>
      <c r="L4160" s="3"/>
    </row>
    <row r="4161" spans="9:12" x14ac:dyDescent="0.25">
      <c r="I4161" s="3"/>
      <c r="J4161" s="3"/>
      <c r="K4161" s="3"/>
      <c r="L4161" s="3"/>
    </row>
    <row r="4162" spans="9:12" x14ac:dyDescent="0.25">
      <c r="I4162" s="3"/>
      <c r="J4162" s="3"/>
      <c r="K4162" s="3"/>
      <c r="L4162" s="3"/>
    </row>
    <row r="4163" spans="9:12" x14ac:dyDescent="0.25">
      <c r="I4163" s="3"/>
      <c r="J4163" s="3"/>
      <c r="K4163" s="3"/>
      <c r="L4163" s="3"/>
    </row>
    <row r="4164" spans="9:12" x14ac:dyDescent="0.25">
      <c r="I4164" s="3"/>
      <c r="J4164" s="3"/>
      <c r="K4164" s="3"/>
      <c r="L4164" s="3"/>
    </row>
    <row r="4165" spans="9:12" x14ac:dyDescent="0.25">
      <c r="I4165" s="3"/>
      <c r="J4165" s="3"/>
      <c r="K4165" s="3"/>
      <c r="L4165" s="3"/>
    </row>
    <row r="4166" spans="9:12" x14ac:dyDescent="0.25">
      <c r="I4166" s="3"/>
      <c r="J4166" s="3"/>
      <c r="K4166" s="3"/>
      <c r="L4166" s="3"/>
    </row>
    <row r="4167" spans="9:12" x14ac:dyDescent="0.25">
      <c r="I4167" s="3"/>
      <c r="J4167" s="3"/>
      <c r="K4167" s="3"/>
      <c r="L4167" s="3"/>
    </row>
    <row r="4168" spans="9:12" x14ac:dyDescent="0.25">
      <c r="I4168" s="3"/>
      <c r="J4168" s="3"/>
      <c r="K4168" s="3"/>
      <c r="L4168" s="3"/>
    </row>
    <row r="4169" spans="9:12" x14ac:dyDescent="0.25">
      <c r="I4169" s="3"/>
      <c r="J4169" s="3"/>
      <c r="K4169" s="3"/>
      <c r="L4169" s="3"/>
    </row>
    <row r="4170" spans="9:12" x14ac:dyDescent="0.25">
      <c r="I4170" s="3"/>
      <c r="J4170" s="3"/>
      <c r="K4170" s="3"/>
      <c r="L4170" s="3"/>
    </row>
    <row r="4171" spans="9:12" x14ac:dyDescent="0.25">
      <c r="I4171" s="3"/>
      <c r="J4171" s="3"/>
      <c r="K4171" s="3"/>
      <c r="L4171" s="3"/>
    </row>
    <row r="4172" spans="9:12" x14ac:dyDescent="0.25">
      <c r="I4172" s="3"/>
      <c r="J4172" s="3"/>
      <c r="K4172" s="3"/>
      <c r="L4172" s="3"/>
    </row>
    <row r="4173" spans="9:12" x14ac:dyDescent="0.25">
      <c r="I4173" s="3"/>
      <c r="J4173" s="3"/>
      <c r="K4173" s="3"/>
      <c r="L4173" s="3"/>
    </row>
    <row r="4174" spans="9:12" x14ac:dyDescent="0.25">
      <c r="I4174" s="3"/>
      <c r="J4174" s="3"/>
      <c r="K4174" s="3"/>
      <c r="L4174" s="3"/>
    </row>
    <row r="4175" spans="9:12" x14ac:dyDescent="0.25">
      <c r="I4175" s="3"/>
      <c r="J4175" s="3"/>
      <c r="K4175" s="3"/>
      <c r="L4175" s="3"/>
    </row>
    <row r="4176" spans="9:12" x14ac:dyDescent="0.25">
      <c r="I4176" s="3"/>
      <c r="J4176" s="3"/>
      <c r="K4176" s="3"/>
      <c r="L4176" s="3"/>
    </row>
    <row r="4177" spans="9:12" x14ac:dyDescent="0.25">
      <c r="I4177" s="3"/>
      <c r="J4177" s="3"/>
      <c r="K4177" s="3"/>
      <c r="L4177" s="3"/>
    </row>
    <row r="4178" spans="9:12" x14ac:dyDescent="0.25">
      <c r="I4178" s="3"/>
      <c r="J4178" s="3"/>
      <c r="K4178" s="3"/>
      <c r="L4178" s="3"/>
    </row>
    <row r="4179" spans="9:12" x14ac:dyDescent="0.25">
      <c r="I4179" s="3"/>
      <c r="J4179" s="3"/>
      <c r="K4179" s="3"/>
      <c r="L4179" s="3"/>
    </row>
    <row r="4180" spans="9:12" x14ac:dyDescent="0.25">
      <c r="I4180" s="3"/>
      <c r="J4180" s="3"/>
      <c r="K4180" s="3"/>
      <c r="L4180" s="3"/>
    </row>
    <row r="4181" spans="9:12" x14ac:dyDescent="0.25">
      <c r="I4181" s="3"/>
      <c r="J4181" s="3"/>
      <c r="K4181" s="3"/>
      <c r="L4181" s="3"/>
    </row>
    <row r="4182" spans="9:12" x14ac:dyDescent="0.25">
      <c r="I4182" s="3"/>
      <c r="J4182" s="3"/>
      <c r="K4182" s="3"/>
      <c r="L4182" s="3"/>
    </row>
    <row r="4183" spans="9:12" x14ac:dyDescent="0.25">
      <c r="I4183" s="3"/>
      <c r="J4183" s="3"/>
      <c r="K4183" s="3"/>
      <c r="L4183" s="3"/>
    </row>
    <row r="4184" spans="9:12" x14ac:dyDescent="0.25">
      <c r="I4184" s="3"/>
      <c r="J4184" s="3"/>
      <c r="K4184" s="3"/>
      <c r="L4184" s="3"/>
    </row>
    <row r="4185" spans="9:12" x14ac:dyDescent="0.25">
      <c r="I4185" s="3"/>
      <c r="J4185" s="3"/>
      <c r="K4185" s="3"/>
      <c r="L4185" s="3"/>
    </row>
    <row r="4186" spans="9:12" x14ac:dyDescent="0.25">
      <c r="I4186" s="3"/>
      <c r="J4186" s="3"/>
      <c r="K4186" s="3"/>
      <c r="L4186" s="3"/>
    </row>
    <row r="4187" spans="9:12" x14ac:dyDescent="0.25">
      <c r="I4187" s="3"/>
      <c r="J4187" s="3"/>
      <c r="K4187" s="3"/>
      <c r="L4187" s="3"/>
    </row>
    <row r="4188" spans="9:12" x14ac:dyDescent="0.25">
      <c r="I4188" s="3"/>
      <c r="J4188" s="3"/>
      <c r="K4188" s="3"/>
      <c r="L4188" s="3"/>
    </row>
    <row r="4189" spans="9:12" x14ac:dyDescent="0.25">
      <c r="I4189" s="3"/>
      <c r="J4189" s="3"/>
      <c r="K4189" s="3"/>
      <c r="L4189" s="3"/>
    </row>
    <row r="4190" spans="9:12" x14ac:dyDescent="0.25">
      <c r="I4190" s="3"/>
      <c r="J4190" s="3"/>
      <c r="K4190" s="3"/>
      <c r="L4190" s="3"/>
    </row>
    <row r="4191" spans="9:12" x14ac:dyDescent="0.25">
      <c r="I4191" s="3"/>
      <c r="J4191" s="3"/>
      <c r="K4191" s="3"/>
      <c r="L4191" s="3"/>
    </row>
    <row r="4192" spans="9:12" x14ac:dyDescent="0.25">
      <c r="I4192" s="3"/>
      <c r="J4192" s="3"/>
      <c r="K4192" s="3"/>
      <c r="L4192" s="3"/>
    </row>
    <row r="4193" spans="9:12" x14ac:dyDescent="0.25">
      <c r="I4193" s="3"/>
      <c r="J4193" s="3"/>
      <c r="K4193" s="3"/>
      <c r="L4193" s="3"/>
    </row>
    <row r="4194" spans="9:12" x14ac:dyDescent="0.25">
      <c r="I4194" s="3"/>
      <c r="J4194" s="3"/>
      <c r="K4194" s="3"/>
      <c r="L4194" s="3"/>
    </row>
    <row r="4195" spans="9:12" x14ac:dyDescent="0.25">
      <c r="I4195" s="3"/>
      <c r="J4195" s="3"/>
      <c r="K4195" s="3"/>
      <c r="L4195" s="3"/>
    </row>
    <row r="4196" spans="9:12" x14ac:dyDescent="0.25">
      <c r="I4196" s="3"/>
      <c r="J4196" s="3"/>
      <c r="K4196" s="3"/>
      <c r="L4196" s="3"/>
    </row>
    <row r="4197" spans="9:12" x14ac:dyDescent="0.25">
      <c r="I4197" s="3"/>
      <c r="J4197" s="3"/>
      <c r="K4197" s="3"/>
      <c r="L4197" s="3"/>
    </row>
    <row r="4198" spans="9:12" x14ac:dyDescent="0.25">
      <c r="I4198" s="3"/>
      <c r="J4198" s="3"/>
      <c r="K4198" s="3"/>
      <c r="L4198" s="3"/>
    </row>
    <row r="4199" spans="9:12" x14ac:dyDescent="0.25">
      <c r="I4199" s="3"/>
      <c r="J4199" s="3"/>
      <c r="K4199" s="3"/>
      <c r="L4199" s="3"/>
    </row>
    <row r="4200" spans="9:12" x14ac:dyDescent="0.25">
      <c r="I4200" s="3"/>
      <c r="J4200" s="3"/>
      <c r="K4200" s="3"/>
      <c r="L4200" s="3"/>
    </row>
    <row r="4201" spans="9:12" x14ac:dyDescent="0.25">
      <c r="I4201" s="3"/>
      <c r="J4201" s="3"/>
      <c r="K4201" s="3"/>
      <c r="L4201" s="3"/>
    </row>
    <row r="4202" spans="9:12" x14ac:dyDescent="0.25">
      <c r="I4202" s="3"/>
      <c r="J4202" s="3"/>
      <c r="K4202" s="3"/>
      <c r="L4202" s="3"/>
    </row>
    <row r="4203" spans="9:12" x14ac:dyDescent="0.25">
      <c r="I4203" s="3"/>
      <c r="J4203" s="3"/>
      <c r="K4203" s="3"/>
      <c r="L4203" s="3"/>
    </row>
    <row r="4204" spans="9:12" x14ac:dyDescent="0.25">
      <c r="I4204" s="3"/>
      <c r="J4204" s="3"/>
      <c r="K4204" s="3"/>
      <c r="L4204" s="3"/>
    </row>
    <row r="4205" spans="9:12" x14ac:dyDescent="0.25">
      <c r="I4205" s="3"/>
      <c r="J4205" s="3"/>
      <c r="K4205" s="3"/>
      <c r="L4205" s="3"/>
    </row>
    <row r="4206" spans="9:12" x14ac:dyDescent="0.25">
      <c r="I4206" s="3"/>
      <c r="J4206" s="3"/>
      <c r="K4206" s="3"/>
      <c r="L4206" s="3"/>
    </row>
    <row r="4207" spans="9:12" x14ac:dyDescent="0.25">
      <c r="I4207" s="3"/>
      <c r="J4207" s="3"/>
      <c r="K4207" s="3"/>
      <c r="L4207" s="3"/>
    </row>
    <row r="4208" spans="9:12" x14ac:dyDescent="0.25">
      <c r="I4208" s="3"/>
      <c r="J4208" s="3"/>
      <c r="K4208" s="3"/>
      <c r="L4208" s="3"/>
    </row>
    <row r="4209" spans="9:12" x14ac:dyDescent="0.25">
      <c r="I4209" s="3"/>
      <c r="J4209" s="3"/>
      <c r="K4209" s="3"/>
      <c r="L4209" s="3"/>
    </row>
    <row r="4210" spans="9:12" x14ac:dyDescent="0.25">
      <c r="I4210" s="3"/>
      <c r="J4210" s="3"/>
      <c r="K4210" s="3"/>
      <c r="L4210" s="3"/>
    </row>
    <row r="4211" spans="9:12" x14ac:dyDescent="0.25">
      <c r="I4211" s="3"/>
      <c r="J4211" s="3"/>
      <c r="K4211" s="3"/>
      <c r="L4211" s="3"/>
    </row>
    <row r="4212" spans="9:12" x14ac:dyDescent="0.25">
      <c r="I4212" s="3"/>
      <c r="J4212" s="3"/>
      <c r="K4212" s="3"/>
      <c r="L4212" s="3"/>
    </row>
    <row r="4213" spans="9:12" x14ac:dyDescent="0.25">
      <c r="I4213" s="3"/>
      <c r="J4213" s="3"/>
      <c r="K4213" s="3"/>
      <c r="L4213" s="3"/>
    </row>
    <row r="4214" spans="9:12" x14ac:dyDescent="0.25">
      <c r="I4214" s="3"/>
      <c r="J4214" s="3"/>
      <c r="K4214" s="3"/>
      <c r="L4214" s="3"/>
    </row>
    <row r="4215" spans="9:12" x14ac:dyDescent="0.25">
      <c r="I4215" s="3"/>
      <c r="J4215" s="3"/>
      <c r="K4215" s="3"/>
      <c r="L4215" s="3"/>
    </row>
    <row r="4216" spans="9:12" x14ac:dyDescent="0.25">
      <c r="I4216" s="3"/>
      <c r="J4216" s="3"/>
      <c r="K4216" s="3"/>
      <c r="L4216" s="3"/>
    </row>
    <row r="4217" spans="9:12" x14ac:dyDescent="0.25">
      <c r="I4217" s="3"/>
      <c r="J4217" s="3"/>
      <c r="K4217" s="3"/>
      <c r="L4217" s="3"/>
    </row>
    <row r="4218" spans="9:12" x14ac:dyDescent="0.25">
      <c r="I4218" s="3"/>
      <c r="J4218" s="3"/>
      <c r="K4218" s="3"/>
      <c r="L4218" s="3"/>
    </row>
    <row r="4219" spans="9:12" x14ac:dyDescent="0.25">
      <c r="I4219" s="3"/>
      <c r="J4219" s="3"/>
      <c r="K4219" s="3"/>
      <c r="L4219" s="3"/>
    </row>
    <row r="4220" spans="9:12" x14ac:dyDescent="0.25">
      <c r="I4220" s="3"/>
      <c r="J4220" s="3"/>
      <c r="K4220" s="3"/>
      <c r="L4220" s="3"/>
    </row>
    <row r="4221" spans="9:12" x14ac:dyDescent="0.25">
      <c r="I4221" s="3"/>
      <c r="J4221" s="3"/>
      <c r="K4221" s="3"/>
      <c r="L4221" s="3"/>
    </row>
    <row r="4222" spans="9:12" x14ac:dyDescent="0.25">
      <c r="I4222" s="3"/>
      <c r="J4222" s="3"/>
      <c r="K4222" s="3"/>
      <c r="L4222" s="3"/>
    </row>
    <row r="4223" spans="9:12" x14ac:dyDescent="0.25">
      <c r="I4223" s="3"/>
      <c r="J4223" s="3"/>
      <c r="K4223" s="3"/>
      <c r="L4223" s="3"/>
    </row>
    <row r="4224" spans="9:12" x14ac:dyDescent="0.25">
      <c r="I4224" s="3"/>
      <c r="J4224" s="3"/>
      <c r="K4224" s="3"/>
      <c r="L4224" s="3"/>
    </row>
    <row r="4225" spans="9:12" x14ac:dyDescent="0.25">
      <c r="I4225" s="3"/>
      <c r="J4225" s="3"/>
      <c r="K4225" s="3"/>
      <c r="L4225" s="3"/>
    </row>
    <row r="4226" spans="9:12" x14ac:dyDescent="0.25">
      <c r="I4226" s="3"/>
      <c r="J4226" s="3"/>
      <c r="K4226" s="3"/>
      <c r="L4226" s="3"/>
    </row>
    <row r="4227" spans="9:12" x14ac:dyDescent="0.25">
      <c r="I4227" s="3"/>
      <c r="J4227" s="3"/>
      <c r="K4227" s="3"/>
      <c r="L4227" s="3"/>
    </row>
    <row r="4228" spans="9:12" x14ac:dyDescent="0.25">
      <c r="I4228" s="3"/>
      <c r="J4228" s="3"/>
      <c r="K4228" s="3"/>
      <c r="L4228" s="3"/>
    </row>
    <row r="4229" spans="9:12" x14ac:dyDescent="0.25">
      <c r="I4229" s="3"/>
      <c r="J4229" s="3"/>
      <c r="K4229" s="3"/>
      <c r="L4229" s="3"/>
    </row>
    <row r="4230" spans="9:12" x14ac:dyDescent="0.25">
      <c r="I4230" s="3"/>
      <c r="J4230" s="3"/>
      <c r="K4230" s="3"/>
      <c r="L4230" s="3"/>
    </row>
    <row r="4231" spans="9:12" x14ac:dyDescent="0.25">
      <c r="I4231" s="4"/>
      <c r="J4231" s="4"/>
      <c r="K4231" s="4"/>
      <c r="L4231" s="4"/>
    </row>
    <row r="4232" spans="9:12" x14ac:dyDescent="0.25">
      <c r="I4232" s="3"/>
      <c r="J4232" s="3"/>
      <c r="K4232" s="3"/>
      <c r="L4232" s="3"/>
    </row>
    <row r="4233" spans="9:12" x14ac:dyDescent="0.25">
      <c r="I4233" s="3"/>
      <c r="J4233" s="3"/>
      <c r="K4233" s="3"/>
      <c r="L4233" s="3"/>
    </row>
    <row r="4234" spans="9:12" x14ac:dyDescent="0.25">
      <c r="I4234" s="4"/>
      <c r="J4234" s="4"/>
      <c r="K4234" s="4"/>
      <c r="L4234" s="4"/>
    </row>
    <row r="4235" spans="9:12" x14ac:dyDescent="0.25">
      <c r="I4235" s="4"/>
      <c r="J4235" s="4"/>
      <c r="K4235" s="4"/>
      <c r="L4235" s="4"/>
    </row>
    <row r="4236" spans="9:12" x14ac:dyDescent="0.25">
      <c r="I4236" s="4"/>
      <c r="J4236" s="4"/>
      <c r="K4236" s="4"/>
      <c r="L4236" s="4"/>
    </row>
    <row r="4237" spans="9:12" x14ac:dyDescent="0.25">
      <c r="I4237" s="4"/>
      <c r="J4237" s="4"/>
      <c r="K4237" s="4"/>
      <c r="L4237" s="4"/>
    </row>
    <row r="4238" spans="9:12" x14ac:dyDescent="0.25">
      <c r="I4238" s="4"/>
      <c r="J4238" s="4"/>
      <c r="K4238" s="4"/>
      <c r="L4238" s="4"/>
    </row>
    <row r="4239" spans="9:12" x14ac:dyDescent="0.25">
      <c r="I4239" s="3"/>
      <c r="J4239" s="3"/>
      <c r="K4239" s="3"/>
      <c r="L4239" s="3"/>
    </row>
    <row r="4240" spans="9:12" x14ac:dyDescent="0.25">
      <c r="I4240" s="3"/>
      <c r="J4240" s="3"/>
      <c r="K4240" s="3"/>
      <c r="L4240" s="3"/>
    </row>
    <row r="4241" spans="9:12" x14ac:dyDescent="0.25">
      <c r="I4241" s="3"/>
      <c r="J4241" s="3"/>
      <c r="K4241" s="3"/>
      <c r="L4241" s="3"/>
    </row>
    <row r="4242" spans="9:12" x14ac:dyDescent="0.25">
      <c r="I4242" s="3"/>
      <c r="J4242" s="3"/>
      <c r="K4242" s="3"/>
      <c r="L4242" s="3"/>
    </row>
    <row r="4243" spans="9:12" x14ac:dyDescent="0.25">
      <c r="I4243" s="3"/>
      <c r="J4243" s="3"/>
      <c r="K4243" s="3"/>
      <c r="L4243" s="3"/>
    </row>
    <row r="4244" spans="9:12" x14ac:dyDescent="0.25">
      <c r="I4244" s="3"/>
      <c r="J4244" s="3"/>
      <c r="K4244" s="3"/>
      <c r="L4244" s="3"/>
    </row>
    <row r="4245" spans="9:12" x14ac:dyDescent="0.25">
      <c r="I4245" s="3"/>
      <c r="J4245" s="3"/>
      <c r="K4245" s="3"/>
      <c r="L4245" s="3"/>
    </row>
    <row r="4246" spans="9:12" x14ac:dyDescent="0.25">
      <c r="I4246" s="3"/>
      <c r="J4246" s="3"/>
      <c r="K4246" s="3"/>
      <c r="L4246" s="3"/>
    </row>
    <row r="4247" spans="9:12" x14ac:dyDescent="0.25">
      <c r="I4247" s="3"/>
      <c r="J4247" s="3"/>
      <c r="K4247" s="3"/>
      <c r="L4247" s="3"/>
    </row>
    <row r="4248" spans="9:12" x14ac:dyDescent="0.25">
      <c r="I4248" s="3"/>
      <c r="J4248" s="3"/>
      <c r="K4248" s="3"/>
      <c r="L4248" s="3"/>
    </row>
    <row r="4249" spans="9:12" x14ac:dyDescent="0.25">
      <c r="I4249" s="3"/>
      <c r="J4249" s="3"/>
      <c r="K4249" s="3"/>
      <c r="L4249" s="3"/>
    </row>
    <row r="4250" spans="9:12" x14ac:dyDescent="0.25">
      <c r="I4250" s="3"/>
      <c r="J4250" s="3"/>
      <c r="K4250" s="3"/>
      <c r="L4250" s="3"/>
    </row>
    <row r="4251" spans="9:12" x14ac:dyDescent="0.25">
      <c r="I4251" s="3"/>
      <c r="J4251" s="3"/>
      <c r="K4251" s="3"/>
      <c r="L4251" s="3"/>
    </row>
    <row r="4252" spans="9:12" x14ac:dyDescent="0.25">
      <c r="I4252" s="3"/>
      <c r="J4252" s="3"/>
      <c r="K4252" s="3"/>
      <c r="L4252" s="3"/>
    </row>
    <row r="4253" spans="9:12" x14ac:dyDescent="0.25">
      <c r="I4253" s="3"/>
      <c r="J4253" s="3"/>
      <c r="K4253" s="3"/>
      <c r="L4253" s="3"/>
    </row>
    <row r="4254" spans="9:12" x14ac:dyDescent="0.25">
      <c r="I4254" s="3"/>
      <c r="J4254" s="3"/>
      <c r="K4254" s="3"/>
      <c r="L4254" s="3"/>
    </row>
    <row r="4255" spans="9:12" x14ac:dyDescent="0.25">
      <c r="I4255" s="3"/>
      <c r="J4255" s="3"/>
      <c r="K4255" s="3"/>
      <c r="L4255" s="3"/>
    </row>
    <row r="4256" spans="9:12" x14ac:dyDescent="0.25">
      <c r="I4256" s="3"/>
      <c r="J4256" s="3"/>
      <c r="K4256" s="3"/>
      <c r="L4256" s="3"/>
    </row>
    <row r="4257" spans="9:12" x14ac:dyDescent="0.25">
      <c r="I4257" s="3"/>
      <c r="J4257" s="3"/>
      <c r="K4257" s="3"/>
      <c r="L4257" s="3"/>
    </row>
    <row r="4258" spans="9:12" x14ac:dyDescent="0.25">
      <c r="I4258" s="3"/>
      <c r="J4258" s="3"/>
      <c r="K4258" s="3"/>
      <c r="L4258" s="3"/>
    </row>
    <row r="4259" spans="9:12" x14ac:dyDescent="0.25">
      <c r="I4259" s="3"/>
      <c r="J4259" s="3"/>
      <c r="K4259" s="3"/>
      <c r="L4259" s="3"/>
    </row>
    <row r="4260" spans="9:12" x14ac:dyDescent="0.25">
      <c r="I4260" s="3"/>
      <c r="J4260" s="3"/>
      <c r="K4260" s="3"/>
      <c r="L4260" s="3"/>
    </row>
    <row r="4261" spans="9:12" x14ac:dyDescent="0.25">
      <c r="I4261" s="3"/>
      <c r="J4261" s="3"/>
      <c r="K4261" s="3"/>
      <c r="L4261" s="3"/>
    </row>
    <row r="4262" spans="9:12" x14ac:dyDescent="0.25">
      <c r="I4262" s="3"/>
      <c r="J4262" s="3"/>
      <c r="K4262" s="3"/>
      <c r="L4262" s="3"/>
    </row>
    <row r="4263" spans="9:12" x14ac:dyDescent="0.25">
      <c r="I4263" s="3"/>
      <c r="J4263" s="3"/>
      <c r="K4263" s="3"/>
      <c r="L4263" s="3"/>
    </row>
    <row r="4264" spans="9:12" x14ac:dyDescent="0.25">
      <c r="I4264" s="3"/>
      <c r="J4264" s="3"/>
      <c r="K4264" s="3"/>
      <c r="L4264" s="3"/>
    </row>
    <row r="4265" spans="9:12" x14ac:dyDescent="0.25">
      <c r="I4265" s="3"/>
      <c r="J4265" s="3"/>
      <c r="K4265" s="3"/>
      <c r="L4265" s="3"/>
    </row>
    <row r="4266" spans="9:12" x14ac:dyDescent="0.25">
      <c r="I4266" s="3"/>
      <c r="J4266" s="3"/>
      <c r="K4266" s="3"/>
      <c r="L4266" s="3"/>
    </row>
    <row r="4267" spans="9:12" x14ac:dyDescent="0.25">
      <c r="I4267" s="3"/>
      <c r="J4267" s="3"/>
      <c r="K4267" s="3"/>
      <c r="L4267" s="3"/>
    </row>
    <row r="4268" spans="9:12" x14ac:dyDescent="0.25">
      <c r="I4268" s="3"/>
      <c r="J4268" s="3"/>
      <c r="K4268" s="3"/>
      <c r="L4268" s="3"/>
    </row>
    <row r="4269" spans="9:12" x14ac:dyDescent="0.25">
      <c r="I4269" s="3"/>
      <c r="J4269" s="3"/>
      <c r="K4269" s="3"/>
      <c r="L4269" s="3"/>
    </row>
    <row r="4270" spans="9:12" x14ac:dyDescent="0.25">
      <c r="I4270" s="3"/>
      <c r="J4270" s="3"/>
      <c r="K4270" s="3"/>
      <c r="L4270" s="3"/>
    </row>
    <row r="4271" spans="9:12" x14ac:dyDescent="0.25">
      <c r="I4271" s="3"/>
      <c r="J4271" s="3"/>
      <c r="K4271" s="3"/>
      <c r="L4271" s="3"/>
    </row>
    <row r="4272" spans="9:12" x14ac:dyDescent="0.25">
      <c r="I4272" s="3"/>
      <c r="J4272" s="3"/>
      <c r="K4272" s="3"/>
      <c r="L4272" s="3"/>
    </row>
    <row r="4273" spans="9:12" x14ac:dyDescent="0.25">
      <c r="I4273" s="3"/>
      <c r="J4273" s="3"/>
      <c r="K4273" s="3"/>
      <c r="L4273" s="3"/>
    </row>
    <row r="4274" spans="9:12" x14ac:dyDescent="0.25">
      <c r="I4274" s="3"/>
      <c r="J4274" s="3"/>
      <c r="K4274" s="3"/>
      <c r="L4274" s="3"/>
    </row>
    <row r="4275" spans="9:12" x14ac:dyDescent="0.25">
      <c r="I4275" s="3"/>
      <c r="J4275" s="3"/>
      <c r="K4275" s="3"/>
      <c r="L4275" s="3"/>
    </row>
    <row r="4276" spans="9:12" x14ac:dyDescent="0.25">
      <c r="I4276" s="3"/>
      <c r="J4276" s="3"/>
      <c r="K4276" s="3"/>
      <c r="L4276" s="3"/>
    </row>
    <row r="4277" spans="9:12" x14ac:dyDescent="0.25">
      <c r="I4277" s="3"/>
      <c r="J4277" s="3"/>
      <c r="K4277" s="3"/>
      <c r="L4277" s="3"/>
    </row>
    <row r="4278" spans="9:12" x14ac:dyDescent="0.25">
      <c r="I4278" s="3"/>
      <c r="J4278" s="3"/>
      <c r="K4278" s="3"/>
      <c r="L4278" s="3"/>
    </row>
    <row r="4279" spans="9:12" x14ac:dyDescent="0.25">
      <c r="I4279" s="3"/>
      <c r="J4279" s="3"/>
      <c r="K4279" s="3"/>
      <c r="L4279" s="3"/>
    </row>
    <row r="4280" spans="9:12" x14ac:dyDescent="0.25">
      <c r="I4280" s="3"/>
      <c r="J4280" s="3"/>
      <c r="K4280" s="3"/>
      <c r="L4280" s="3"/>
    </row>
    <row r="4281" spans="9:12" x14ac:dyDescent="0.25">
      <c r="I4281" s="3"/>
      <c r="J4281" s="3"/>
      <c r="K4281" s="3"/>
      <c r="L4281" s="3"/>
    </row>
    <row r="4282" spans="9:12" x14ac:dyDescent="0.25">
      <c r="I4282" s="3"/>
      <c r="J4282" s="3"/>
      <c r="K4282" s="3"/>
      <c r="L4282" s="3"/>
    </row>
    <row r="4283" spans="9:12" x14ac:dyDescent="0.25">
      <c r="I4283" s="3"/>
      <c r="J4283" s="3"/>
      <c r="K4283" s="3"/>
      <c r="L4283" s="3"/>
    </row>
    <row r="4284" spans="9:12" x14ac:dyDescent="0.25">
      <c r="I4284" s="3"/>
      <c r="J4284" s="3"/>
      <c r="K4284" s="3"/>
      <c r="L4284" s="3"/>
    </row>
    <row r="4285" spans="9:12" x14ac:dyDescent="0.25">
      <c r="I4285" s="3"/>
      <c r="J4285" s="3"/>
      <c r="K4285" s="3"/>
      <c r="L4285" s="3"/>
    </row>
    <row r="4286" spans="9:12" x14ac:dyDescent="0.25">
      <c r="I4286" s="3"/>
      <c r="J4286" s="3"/>
      <c r="K4286" s="3"/>
      <c r="L4286" s="3"/>
    </row>
    <row r="4287" spans="9:12" x14ac:dyDescent="0.25">
      <c r="I4287" s="3"/>
      <c r="J4287" s="3"/>
      <c r="K4287" s="3"/>
      <c r="L4287" s="3"/>
    </row>
    <row r="4288" spans="9:12" x14ac:dyDescent="0.25">
      <c r="I4288" s="3"/>
      <c r="J4288" s="3"/>
      <c r="K4288" s="3"/>
      <c r="L4288" s="3"/>
    </row>
    <row r="4289" spans="9:12" x14ac:dyDescent="0.25">
      <c r="I4289" s="3"/>
      <c r="J4289" s="3"/>
      <c r="K4289" s="3"/>
      <c r="L4289" s="3"/>
    </row>
    <row r="4290" spans="9:12" x14ac:dyDescent="0.25">
      <c r="I4290" s="3"/>
      <c r="J4290" s="3"/>
      <c r="K4290" s="3"/>
      <c r="L4290" s="3"/>
    </row>
    <row r="4291" spans="9:12" x14ac:dyDescent="0.25">
      <c r="I4291" s="3"/>
      <c r="J4291" s="3"/>
      <c r="K4291" s="3"/>
      <c r="L4291" s="3"/>
    </row>
    <row r="4292" spans="9:12" x14ac:dyDescent="0.25">
      <c r="I4292" s="3"/>
      <c r="J4292" s="3"/>
      <c r="K4292" s="3"/>
      <c r="L4292" s="3"/>
    </row>
    <row r="4293" spans="9:12" x14ac:dyDescent="0.25">
      <c r="I4293" s="3"/>
      <c r="J4293" s="3"/>
      <c r="K4293" s="3"/>
      <c r="L4293" s="3"/>
    </row>
    <row r="4294" spans="9:12" x14ac:dyDescent="0.25">
      <c r="I4294" s="3"/>
      <c r="J4294" s="3"/>
      <c r="K4294" s="3"/>
      <c r="L4294" s="3"/>
    </row>
    <row r="4295" spans="9:12" x14ac:dyDescent="0.25">
      <c r="I4295" s="3"/>
      <c r="J4295" s="3"/>
      <c r="K4295" s="3"/>
      <c r="L4295" s="3"/>
    </row>
    <row r="4296" spans="9:12" x14ac:dyDescent="0.25">
      <c r="I4296" s="3"/>
      <c r="J4296" s="3"/>
      <c r="K4296" s="3"/>
      <c r="L4296" s="3"/>
    </row>
    <row r="4297" spans="9:12" x14ac:dyDescent="0.25">
      <c r="I4297" s="3"/>
      <c r="J4297" s="3"/>
      <c r="K4297" s="3"/>
      <c r="L4297" s="3"/>
    </row>
    <row r="4298" spans="9:12" x14ac:dyDescent="0.25">
      <c r="I4298" s="3"/>
      <c r="J4298" s="3"/>
      <c r="K4298" s="3"/>
      <c r="L4298" s="3"/>
    </row>
    <row r="4299" spans="9:12" x14ac:dyDescent="0.25">
      <c r="I4299" s="3"/>
      <c r="J4299" s="3"/>
      <c r="K4299" s="3"/>
      <c r="L4299" s="3"/>
    </row>
    <row r="4300" spans="9:12" x14ac:dyDescent="0.25">
      <c r="I4300" s="3"/>
      <c r="J4300" s="3"/>
      <c r="K4300" s="3"/>
      <c r="L4300" s="3"/>
    </row>
    <row r="4301" spans="9:12" x14ac:dyDescent="0.25">
      <c r="I4301" s="3"/>
      <c r="J4301" s="3"/>
      <c r="K4301" s="3"/>
      <c r="L4301" s="3"/>
    </row>
    <row r="4302" spans="9:12" x14ac:dyDescent="0.25">
      <c r="I4302" s="3"/>
      <c r="J4302" s="3"/>
      <c r="K4302" s="3"/>
      <c r="L4302" s="3"/>
    </row>
    <row r="4303" spans="9:12" x14ac:dyDescent="0.25">
      <c r="I4303" s="3"/>
      <c r="J4303" s="3"/>
      <c r="K4303" s="3"/>
      <c r="L4303" s="3"/>
    </row>
    <row r="4304" spans="9:12" x14ac:dyDescent="0.25">
      <c r="I4304" s="3"/>
      <c r="J4304" s="3"/>
      <c r="K4304" s="3"/>
      <c r="L4304" s="3"/>
    </row>
    <row r="4305" spans="9:12" x14ac:dyDescent="0.25">
      <c r="I4305" s="3"/>
      <c r="J4305" s="3"/>
      <c r="K4305" s="3"/>
      <c r="L4305" s="3"/>
    </row>
    <row r="4306" spans="9:12" x14ac:dyDescent="0.25">
      <c r="I4306" s="3"/>
      <c r="J4306" s="3"/>
      <c r="K4306" s="3"/>
      <c r="L4306" s="3"/>
    </row>
    <row r="4307" spans="9:12" x14ac:dyDescent="0.25">
      <c r="I4307" s="3"/>
      <c r="J4307" s="3"/>
      <c r="K4307" s="3"/>
      <c r="L4307" s="3"/>
    </row>
    <row r="4308" spans="9:12" x14ac:dyDescent="0.25">
      <c r="I4308" s="3"/>
      <c r="J4308" s="3"/>
      <c r="K4308" s="3"/>
      <c r="L4308" s="3"/>
    </row>
    <row r="4309" spans="9:12" x14ac:dyDescent="0.25">
      <c r="I4309" s="3"/>
      <c r="J4309" s="3"/>
      <c r="K4309" s="3"/>
      <c r="L4309" s="3"/>
    </row>
    <row r="4310" spans="9:12" x14ac:dyDescent="0.25">
      <c r="I4310" s="3"/>
      <c r="J4310" s="3"/>
      <c r="K4310" s="3"/>
      <c r="L4310" s="3"/>
    </row>
    <row r="4311" spans="9:12" x14ac:dyDescent="0.25">
      <c r="I4311" s="3"/>
      <c r="J4311" s="3"/>
      <c r="K4311" s="3"/>
      <c r="L4311" s="3"/>
    </row>
    <row r="4312" spans="9:12" x14ac:dyDescent="0.25">
      <c r="I4312" s="3"/>
      <c r="J4312" s="3"/>
      <c r="K4312" s="3"/>
      <c r="L4312" s="3"/>
    </row>
    <row r="4313" spans="9:12" x14ac:dyDescent="0.25">
      <c r="I4313" s="3"/>
      <c r="J4313" s="3"/>
      <c r="K4313" s="3"/>
      <c r="L4313" s="3"/>
    </row>
    <row r="4314" spans="9:12" x14ac:dyDescent="0.25">
      <c r="I4314" s="3"/>
      <c r="J4314" s="3"/>
      <c r="K4314" s="3"/>
      <c r="L4314" s="3"/>
    </row>
    <row r="4315" spans="9:12" x14ac:dyDescent="0.25">
      <c r="I4315" s="3"/>
      <c r="J4315" s="3"/>
      <c r="K4315" s="3"/>
      <c r="L4315" s="3"/>
    </row>
    <row r="4316" spans="9:12" x14ac:dyDescent="0.25">
      <c r="I4316" s="3"/>
      <c r="J4316" s="3"/>
      <c r="K4316" s="3"/>
      <c r="L4316" s="3"/>
    </row>
    <row r="4317" spans="9:12" x14ac:dyDescent="0.25">
      <c r="I4317" s="3"/>
      <c r="J4317" s="3"/>
      <c r="K4317" s="3"/>
      <c r="L4317" s="3"/>
    </row>
    <row r="4318" spans="9:12" x14ac:dyDescent="0.25">
      <c r="I4318" s="3"/>
      <c r="J4318" s="3"/>
      <c r="K4318" s="3"/>
      <c r="L4318" s="3"/>
    </row>
    <row r="4319" spans="9:12" x14ac:dyDescent="0.25">
      <c r="I4319" s="3"/>
      <c r="J4319" s="3"/>
      <c r="K4319" s="3"/>
      <c r="L4319" s="3"/>
    </row>
    <row r="4320" spans="9:12" x14ac:dyDescent="0.25">
      <c r="I4320" s="3"/>
      <c r="J4320" s="3"/>
      <c r="K4320" s="3"/>
      <c r="L4320" s="3"/>
    </row>
    <row r="4321" spans="9:12" x14ac:dyDescent="0.25">
      <c r="I4321" s="3"/>
      <c r="J4321" s="3"/>
      <c r="K4321" s="3"/>
      <c r="L4321" s="3"/>
    </row>
    <row r="4322" spans="9:12" x14ac:dyDescent="0.25">
      <c r="I4322" s="3"/>
      <c r="J4322" s="3"/>
      <c r="K4322" s="3"/>
      <c r="L4322" s="3"/>
    </row>
    <row r="4323" spans="9:12" x14ac:dyDescent="0.25">
      <c r="I4323" s="3"/>
      <c r="J4323" s="3"/>
      <c r="K4323" s="3"/>
      <c r="L4323" s="3"/>
    </row>
    <row r="4324" spans="9:12" x14ac:dyDescent="0.25">
      <c r="I4324" s="3"/>
      <c r="J4324" s="3"/>
      <c r="K4324" s="3"/>
      <c r="L4324" s="3"/>
    </row>
    <row r="4325" spans="9:12" x14ac:dyDescent="0.25">
      <c r="I4325" s="3"/>
      <c r="J4325" s="3"/>
      <c r="K4325" s="3"/>
      <c r="L4325" s="3"/>
    </row>
    <row r="4326" spans="9:12" x14ac:dyDescent="0.25">
      <c r="I4326" s="3"/>
      <c r="J4326" s="3"/>
      <c r="K4326" s="3"/>
      <c r="L4326" s="3"/>
    </row>
    <row r="4327" spans="9:12" x14ac:dyDescent="0.25">
      <c r="I4327" s="3"/>
      <c r="J4327" s="3"/>
      <c r="K4327" s="3"/>
      <c r="L4327" s="3"/>
    </row>
    <row r="4328" spans="9:12" x14ac:dyDescent="0.25">
      <c r="I4328" s="3"/>
      <c r="J4328" s="3"/>
      <c r="K4328" s="3"/>
      <c r="L4328" s="3"/>
    </row>
    <row r="4329" spans="9:12" x14ac:dyDescent="0.25">
      <c r="I4329" s="3"/>
      <c r="J4329" s="3"/>
      <c r="K4329" s="3"/>
      <c r="L4329" s="3"/>
    </row>
    <row r="4330" spans="9:12" x14ac:dyDescent="0.25">
      <c r="I4330" s="3"/>
      <c r="J4330" s="3"/>
      <c r="K4330" s="3"/>
      <c r="L4330" s="3"/>
    </row>
    <row r="4331" spans="9:12" x14ac:dyDescent="0.25">
      <c r="I4331" s="3"/>
      <c r="J4331" s="3"/>
      <c r="K4331" s="3"/>
      <c r="L4331" s="3"/>
    </row>
    <row r="4332" spans="9:12" x14ac:dyDescent="0.25">
      <c r="I4332" s="3"/>
      <c r="J4332" s="3"/>
      <c r="K4332" s="3"/>
      <c r="L4332" s="3"/>
    </row>
    <row r="4333" spans="9:12" x14ac:dyDescent="0.25">
      <c r="I4333" s="3"/>
      <c r="J4333" s="3"/>
      <c r="K4333" s="3"/>
      <c r="L4333" s="3"/>
    </row>
    <row r="4334" spans="9:12" x14ac:dyDescent="0.25">
      <c r="I4334" s="3"/>
      <c r="J4334" s="3"/>
      <c r="K4334" s="3"/>
      <c r="L4334" s="3"/>
    </row>
    <row r="4335" spans="9:12" x14ac:dyDescent="0.25">
      <c r="I4335" s="3"/>
      <c r="J4335" s="3"/>
      <c r="K4335" s="3"/>
      <c r="L4335" s="3"/>
    </row>
    <row r="4336" spans="9:12" x14ac:dyDescent="0.25">
      <c r="I4336" s="3"/>
      <c r="J4336" s="3"/>
      <c r="K4336" s="3"/>
      <c r="L4336" s="3"/>
    </row>
    <row r="4337" spans="9:12" x14ac:dyDescent="0.25">
      <c r="I4337" s="3"/>
      <c r="J4337" s="3"/>
      <c r="K4337" s="3"/>
      <c r="L4337" s="3"/>
    </row>
    <row r="4338" spans="9:12" x14ac:dyDescent="0.25">
      <c r="I4338" s="3"/>
      <c r="J4338" s="3"/>
      <c r="K4338" s="3"/>
      <c r="L4338" s="3"/>
    </row>
    <row r="4339" spans="9:12" x14ac:dyDescent="0.25">
      <c r="I4339" s="3"/>
      <c r="J4339" s="3"/>
      <c r="K4339" s="3"/>
      <c r="L4339" s="3"/>
    </row>
    <row r="4340" spans="9:12" x14ac:dyDescent="0.25">
      <c r="I4340" s="3"/>
      <c r="J4340" s="3"/>
      <c r="K4340" s="3"/>
      <c r="L4340" s="3"/>
    </row>
    <row r="4341" spans="9:12" x14ac:dyDescent="0.25">
      <c r="I4341" s="3"/>
      <c r="J4341" s="3"/>
      <c r="K4341" s="3"/>
      <c r="L4341" s="3"/>
    </row>
    <row r="4342" spans="9:12" x14ac:dyDescent="0.25">
      <c r="I4342" s="3"/>
      <c r="J4342" s="3"/>
      <c r="K4342" s="3"/>
      <c r="L4342" s="3"/>
    </row>
    <row r="4343" spans="9:12" x14ac:dyDescent="0.25">
      <c r="I4343" s="3"/>
      <c r="J4343" s="3"/>
      <c r="K4343" s="3"/>
      <c r="L4343" s="3"/>
    </row>
    <row r="4344" spans="9:12" x14ac:dyDescent="0.25">
      <c r="I4344" s="3"/>
      <c r="J4344" s="3"/>
      <c r="K4344" s="3"/>
      <c r="L4344" s="3"/>
    </row>
    <row r="4345" spans="9:12" x14ac:dyDescent="0.25">
      <c r="I4345" s="3"/>
      <c r="J4345" s="3"/>
      <c r="K4345" s="3"/>
      <c r="L4345" s="3"/>
    </row>
    <row r="4346" spans="9:12" x14ac:dyDescent="0.25">
      <c r="I4346" s="3"/>
      <c r="J4346" s="3"/>
      <c r="K4346" s="3"/>
      <c r="L4346" s="3"/>
    </row>
    <row r="4347" spans="9:12" x14ac:dyDescent="0.25">
      <c r="I4347" s="3"/>
      <c r="J4347" s="3"/>
      <c r="K4347" s="3"/>
      <c r="L4347" s="3"/>
    </row>
    <row r="4348" spans="9:12" x14ac:dyDescent="0.25">
      <c r="I4348" s="3"/>
      <c r="J4348" s="3"/>
      <c r="K4348" s="3"/>
      <c r="L4348" s="3"/>
    </row>
    <row r="4349" spans="9:12" x14ac:dyDescent="0.25">
      <c r="I4349" s="3"/>
      <c r="J4349" s="3"/>
      <c r="K4349" s="3"/>
      <c r="L4349" s="3"/>
    </row>
    <row r="4350" spans="9:12" x14ac:dyDescent="0.25">
      <c r="I4350" s="3"/>
      <c r="J4350" s="3"/>
      <c r="K4350" s="3"/>
      <c r="L4350" s="3"/>
    </row>
    <row r="4351" spans="9:12" x14ac:dyDescent="0.25">
      <c r="I4351" s="3"/>
      <c r="J4351" s="3"/>
      <c r="K4351" s="3"/>
      <c r="L4351" s="3"/>
    </row>
    <row r="4352" spans="9:12" x14ac:dyDescent="0.25">
      <c r="I4352" s="3"/>
      <c r="J4352" s="3"/>
      <c r="K4352" s="3"/>
      <c r="L4352" s="3"/>
    </row>
    <row r="4353" spans="9:12" x14ac:dyDescent="0.25">
      <c r="I4353" s="3"/>
      <c r="J4353" s="3"/>
      <c r="K4353" s="3"/>
      <c r="L4353" s="3"/>
    </row>
    <row r="4354" spans="9:12" x14ac:dyDescent="0.25">
      <c r="I4354" s="3"/>
      <c r="J4354" s="3"/>
      <c r="K4354" s="3"/>
      <c r="L4354" s="3"/>
    </row>
    <row r="4355" spans="9:12" x14ac:dyDescent="0.25">
      <c r="I4355" s="3"/>
      <c r="J4355" s="3"/>
      <c r="K4355" s="3"/>
      <c r="L4355" s="3"/>
    </row>
    <row r="4356" spans="9:12" x14ac:dyDescent="0.25">
      <c r="I4356" s="3"/>
      <c r="J4356" s="3"/>
      <c r="K4356" s="3"/>
      <c r="L4356" s="3"/>
    </row>
    <row r="4357" spans="9:12" x14ac:dyDescent="0.25">
      <c r="I4357" s="3"/>
      <c r="J4357" s="3"/>
      <c r="K4357" s="3"/>
      <c r="L4357" s="3"/>
    </row>
    <row r="4358" spans="9:12" x14ac:dyDescent="0.25">
      <c r="I4358" s="3"/>
      <c r="J4358" s="3"/>
      <c r="K4358" s="3"/>
      <c r="L4358" s="3"/>
    </row>
    <row r="4359" spans="9:12" x14ac:dyDescent="0.25">
      <c r="I4359" s="3"/>
      <c r="J4359" s="3"/>
      <c r="K4359" s="3"/>
      <c r="L4359" s="3"/>
    </row>
    <row r="4360" spans="9:12" x14ac:dyDescent="0.25">
      <c r="I4360" s="3"/>
      <c r="J4360" s="3"/>
      <c r="K4360" s="3"/>
      <c r="L4360" s="3"/>
    </row>
    <row r="4361" spans="9:12" x14ac:dyDescent="0.25">
      <c r="I4361" s="3"/>
      <c r="J4361" s="3"/>
      <c r="K4361" s="3"/>
      <c r="L4361" s="3"/>
    </row>
    <row r="4362" spans="9:12" x14ac:dyDescent="0.25">
      <c r="I4362" s="3"/>
      <c r="J4362" s="3"/>
      <c r="K4362" s="3"/>
      <c r="L4362" s="3"/>
    </row>
    <row r="4363" spans="9:12" x14ac:dyDescent="0.25">
      <c r="I4363" s="3"/>
      <c r="J4363" s="3"/>
      <c r="K4363" s="3"/>
      <c r="L4363" s="3"/>
    </row>
    <row r="4364" spans="9:12" x14ac:dyDescent="0.25">
      <c r="I4364" s="3"/>
      <c r="J4364" s="3"/>
      <c r="K4364" s="3"/>
      <c r="L4364" s="3"/>
    </row>
    <row r="4365" spans="9:12" x14ac:dyDescent="0.25">
      <c r="I4365" s="3"/>
      <c r="J4365" s="3"/>
      <c r="K4365" s="3"/>
      <c r="L4365" s="3"/>
    </row>
    <row r="4366" spans="9:12" x14ac:dyDescent="0.25">
      <c r="I4366" s="3"/>
      <c r="J4366" s="3"/>
      <c r="K4366" s="3"/>
      <c r="L4366" s="3"/>
    </row>
    <row r="4367" spans="9:12" x14ac:dyDescent="0.25">
      <c r="I4367" s="3"/>
      <c r="J4367" s="3"/>
      <c r="K4367" s="3"/>
      <c r="L4367" s="3"/>
    </row>
    <row r="4368" spans="9:12" x14ac:dyDescent="0.25">
      <c r="I4368" s="3"/>
      <c r="J4368" s="3"/>
      <c r="K4368" s="3"/>
      <c r="L4368" s="3"/>
    </row>
    <row r="4369" spans="9:12" x14ac:dyDescent="0.25">
      <c r="I4369" s="3"/>
      <c r="J4369" s="3"/>
      <c r="K4369" s="3"/>
      <c r="L4369" s="3"/>
    </row>
    <row r="4370" spans="9:12" x14ac:dyDescent="0.25">
      <c r="I4370" s="3"/>
      <c r="J4370" s="3"/>
      <c r="K4370" s="3"/>
      <c r="L4370" s="3"/>
    </row>
    <row r="4371" spans="9:12" x14ac:dyDescent="0.25">
      <c r="I4371" s="3"/>
      <c r="J4371" s="3"/>
      <c r="K4371" s="3"/>
      <c r="L4371" s="3"/>
    </row>
    <row r="4372" spans="9:12" x14ac:dyDescent="0.25">
      <c r="I4372" s="3"/>
      <c r="J4372" s="3"/>
      <c r="K4372" s="3"/>
      <c r="L4372" s="3"/>
    </row>
    <row r="4373" spans="9:12" x14ac:dyDescent="0.25">
      <c r="I4373" s="3"/>
      <c r="J4373" s="3"/>
      <c r="K4373" s="3"/>
      <c r="L4373" s="3"/>
    </row>
    <row r="4374" spans="9:12" x14ac:dyDescent="0.25">
      <c r="I4374" s="3"/>
      <c r="J4374" s="3"/>
      <c r="K4374" s="3"/>
      <c r="L4374" s="3"/>
    </row>
    <row r="4375" spans="9:12" x14ac:dyDescent="0.25">
      <c r="I4375" s="3"/>
      <c r="J4375" s="3"/>
      <c r="K4375" s="3"/>
      <c r="L4375" s="3"/>
    </row>
    <row r="4376" spans="9:12" x14ac:dyDescent="0.25">
      <c r="I4376" s="3"/>
      <c r="J4376" s="3"/>
      <c r="K4376" s="3"/>
      <c r="L4376" s="3"/>
    </row>
    <row r="4377" spans="9:12" x14ac:dyDescent="0.25">
      <c r="I4377" s="3"/>
      <c r="J4377" s="3"/>
      <c r="K4377" s="3"/>
      <c r="L4377" s="3"/>
    </row>
    <row r="4378" spans="9:12" x14ac:dyDescent="0.25">
      <c r="I4378" s="3"/>
      <c r="J4378" s="3"/>
      <c r="K4378" s="3"/>
      <c r="L4378" s="3"/>
    </row>
    <row r="4379" spans="9:12" x14ac:dyDescent="0.25">
      <c r="I4379" s="3"/>
      <c r="J4379" s="3"/>
      <c r="K4379" s="3"/>
      <c r="L4379" s="3"/>
    </row>
    <row r="4380" spans="9:12" x14ac:dyDescent="0.25">
      <c r="I4380" s="3"/>
      <c r="J4380" s="3"/>
      <c r="K4380" s="3"/>
      <c r="L4380" s="3"/>
    </row>
    <row r="4381" spans="9:12" x14ac:dyDescent="0.25">
      <c r="I4381" s="3"/>
      <c r="J4381" s="3"/>
      <c r="K4381" s="3"/>
      <c r="L4381" s="3"/>
    </row>
    <row r="4382" spans="9:12" x14ac:dyDescent="0.25">
      <c r="I4382" s="3"/>
      <c r="J4382" s="3"/>
      <c r="K4382" s="3"/>
      <c r="L4382" s="3"/>
    </row>
    <row r="4383" spans="9:12" x14ac:dyDescent="0.25">
      <c r="I4383" s="3"/>
      <c r="J4383" s="3"/>
      <c r="K4383" s="3"/>
      <c r="L4383" s="3"/>
    </row>
    <row r="4384" spans="9:12" x14ac:dyDescent="0.25">
      <c r="I4384" s="3"/>
      <c r="J4384" s="3"/>
      <c r="K4384" s="3"/>
      <c r="L4384" s="3"/>
    </row>
    <row r="4385" spans="9:12" x14ac:dyDescent="0.25">
      <c r="I4385" s="3"/>
      <c r="J4385" s="3"/>
      <c r="K4385" s="3"/>
      <c r="L4385" s="3"/>
    </row>
    <row r="4386" spans="9:12" x14ac:dyDescent="0.25">
      <c r="I4386" s="3"/>
      <c r="J4386" s="3"/>
      <c r="K4386" s="3"/>
      <c r="L4386" s="3"/>
    </row>
    <row r="4387" spans="9:12" x14ac:dyDescent="0.25">
      <c r="I4387" s="3"/>
      <c r="J4387" s="3"/>
      <c r="K4387" s="3"/>
      <c r="L4387" s="3"/>
    </row>
    <row r="4388" spans="9:12" x14ac:dyDescent="0.25">
      <c r="I4388" s="3"/>
      <c r="J4388" s="3"/>
      <c r="K4388" s="3"/>
      <c r="L4388" s="3"/>
    </row>
    <row r="4389" spans="9:12" x14ac:dyDescent="0.25">
      <c r="I4389" s="3"/>
      <c r="J4389" s="3"/>
      <c r="K4389" s="3"/>
      <c r="L4389" s="3"/>
    </row>
    <row r="4390" spans="9:12" x14ac:dyDescent="0.25">
      <c r="I4390" s="3"/>
      <c r="J4390" s="3"/>
      <c r="K4390" s="3"/>
      <c r="L4390" s="3"/>
    </row>
    <row r="4391" spans="9:12" x14ac:dyDescent="0.25">
      <c r="I4391" s="3"/>
      <c r="J4391" s="3"/>
      <c r="K4391" s="3"/>
      <c r="L4391" s="3"/>
    </row>
    <row r="4392" spans="9:12" x14ac:dyDescent="0.25">
      <c r="I4392" s="3"/>
      <c r="J4392" s="3"/>
      <c r="K4392" s="3"/>
      <c r="L4392" s="3"/>
    </row>
    <row r="4393" spans="9:12" x14ac:dyDescent="0.25">
      <c r="I4393" s="3"/>
      <c r="J4393" s="3"/>
      <c r="K4393" s="3"/>
      <c r="L4393" s="3"/>
    </row>
    <row r="4394" spans="9:12" x14ac:dyDescent="0.25">
      <c r="I4394" s="3"/>
      <c r="J4394" s="3"/>
      <c r="K4394" s="3"/>
      <c r="L4394" s="3"/>
    </row>
    <row r="4395" spans="9:12" x14ac:dyDescent="0.25">
      <c r="I4395" s="3"/>
      <c r="J4395" s="3"/>
      <c r="K4395" s="3"/>
      <c r="L4395" s="3"/>
    </row>
    <row r="4396" spans="9:12" x14ac:dyDescent="0.25">
      <c r="I4396" s="3"/>
      <c r="J4396" s="3"/>
      <c r="K4396" s="3"/>
      <c r="L4396" s="3"/>
    </row>
    <row r="4397" spans="9:12" x14ac:dyDescent="0.25">
      <c r="I4397" s="3"/>
      <c r="J4397" s="3"/>
      <c r="K4397" s="3"/>
      <c r="L4397" s="3"/>
    </row>
    <row r="4398" spans="9:12" x14ac:dyDescent="0.25">
      <c r="I4398" s="3"/>
      <c r="J4398" s="3"/>
      <c r="K4398" s="3"/>
      <c r="L4398" s="3"/>
    </row>
    <row r="4399" spans="9:12" x14ac:dyDescent="0.25">
      <c r="I4399" s="3"/>
      <c r="J4399" s="3"/>
      <c r="K4399" s="3"/>
      <c r="L4399" s="3"/>
    </row>
    <row r="4400" spans="9:12" x14ac:dyDescent="0.25">
      <c r="I4400" s="3"/>
      <c r="J4400" s="3"/>
      <c r="K4400" s="3"/>
      <c r="L4400" s="3"/>
    </row>
    <row r="4401" spans="9:12" x14ac:dyDescent="0.25">
      <c r="I4401" s="3"/>
      <c r="J4401" s="3"/>
      <c r="K4401" s="3"/>
      <c r="L4401" s="3"/>
    </row>
    <row r="4402" spans="9:12" x14ac:dyDescent="0.25">
      <c r="I4402" s="3"/>
      <c r="J4402" s="3"/>
      <c r="K4402" s="3"/>
      <c r="L4402" s="3"/>
    </row>
    <row r="4403" spans="9:12" x14ac:dyDescent="0.25">
      <c r="I4403" s="3"/>
      <c r="J4403" s="3"/>
      <c r="K4403" s="3"/>
      <c r="L4403" s="3"/>
    </row>
    <row r="4404" spans="9:12" x14ac:dyDescent="0.25">
      <c r="I4404" s="3"/>
      <c r="J4404" s="3"/>
      <c r="K4404" s="3"/>
      <c r="L4404" s="3"/>
    </row>
    <row r="4405" spans="9:12" x14ac:dyDescent="0.25">
      <c r="I4405" s="3"/>
      <c r="J4405" s="3"/>
      <c r="K4405" s="3"/>
      <c r="L4405" s="3"/>
    </row>
    <row r="4406" spans="9:12" x14ac:dyDescent="0.25">
      <c r="I4406" s="3"/>
      <c r="J4406" s="3"/>
      <c r="K4406" s="3"/>
      <c r="L4406" s="3"/>
    </row>
    <row r="4407" spans="9:12" x14ac:dyDescent="0.25">
      <c r="I4407" s="3"/>
      <c r="J4407" s="3"/>
      <c r="K4407" s="3"/>
      <c r="L4407" s="3"/>
    </row>
    <row r="4408" spans="9:12" x14ac:dyDescent="0.25">
      <c r="I4408" s="3"/>
      <c r="J4408" s="3"/>
      <c r="K4408" s="3"/>
      <c r="L4408" s="3"/>
    </row>
    <row r="4409" spans="9:12" x14ac:dyDescent="0.25">
      <c r="I4409" s="3"/>
      <c r="J4409" s="3"/>
      <c r="K4409" s="3"/>
      <c r="L4409" s="3"/>
    </row>
    <row r="4410" spans="9:12" x14ac:dyDescent="0.25">
      <c r="I4410" s="3"/>
      <c r="J4410" s="3"/>
      <c r="K4410" s="3"/>
      <c r="L4410" s="3"/>
    </row>
    <row r="4411" spans="9:12" x14ac:dyDescent="0.25">
      <c r="I4411" s="3"/>
      <c r="J4411" s="3"/>
      <c r="K4411" s="3"/>
      <c r="L4411" s="3"/>
    </row>
    <row r="4412" spans="9:12" x14ac:dyDescent="0.25">
      <c r="I4412" s="3"/>
      <c r="J4412" s="3"/>
      <c r="K4412" s="3"/>
      <c r="L4412" s="3"/>
    </row>
    <row r="4413" spans="9:12" x14ac:dyDescent="0.25">
      <c r="I4413" s="3"/>
      <c r="J4413" s="3"/>
      <c r="K4413" s="3"/>
      <c r="L4413" s="3"/>
    </row>
    <row r="4414" spans="9:12" x14ac:dyDescent="0.25">
      <c r="I4414" s="3"/>
      <c r="J4414" s="3"/>
      <c r="K4414" s="3"/>
      <c r="L4414" s="3"/>
    </row>
    <row r="4415" spans="9:12" x14ac:dyDescent="0.25">
      <c r="I4415" s="3"/>
      <c r="J4415" s="3"/>
      <c r="K4415" s="3"/>
      <c r="L4415" s="3"/>
    </row>
    <row r="4416" spans="9:12" x14ac:dyDescent="0.25">
      <c r="I4416" s="3"/>
      <c r="J4416" s="3"/>
      <c r="K4416" s="3"/>
      <c r="L4416" s="3"/>
    </row>
    <row r="4417" spans="9:12" x14ac:dyDescent="0.25">
      <c r="I4417" s="3"/>
      <c r="J4417" s="3"/>
      <c r="K4417" s="3"/>
      <c r="L4417" s="3"/>
    </row>
    <row r="4418" spans="9:12" x14ac:dyDescent="0.25">
      <c r="I4418" s="3"/>
      <c r="J4418" s="3"/>
      <c r="K4418" s="3"/>
      <c r="L4418" s="3"/>
    </row>
    <row r="4419" spans="9:12" x14ac:dyDescent="0.25">
      <c r="I4419" s="3"/>
      <c r="J4419" s="3"/>
      <c r="K4419" s="3"/>
      <c r="L4419" s="3"/>
    </row>
    <row r="4420" spans="9:12" x14ac:dyDescent="0.25">
      <c r="I4420" s="3"/>
      <c r="J4420" s="3"/>
      <c r="K4420" s="3"/>
      <c r="L4420" s="3"/>
    </row>
    <row r="4421" spans="9:12" x14ac:dyDescent="0.25">
      <c r="I4421" s="3"/>
      <c r="J4421" s="3"/>
      <c r="K4421" s="3"/>
      <c r="L4421" s="3"/>
    </row>
    <row r="4422" spans="9:12" x14ac:dyDescent="0.25">
      <c r="I4422" s="3"/>
      <c r="J4422" s="3"/>
      <c r="K4422" s="3"/>
      <c r="L4422" s="3"/>
    </row>
    <row r="4423" spans="9:12" x14ac:dyDescent="0.25">
      <c r="I4423" s="3"/>
      <c r="J4423" s="3"/>
      <c r="K4423" s="3"/>
      <c r="L4423" s="3"/>
    </row>
    <row r="4424" spans="9:12" x14ac:dyDescent="0.25">
      <c r="I4424" s="3"/>
      <c r="J4424" s="3"/>
      <c r="K4424" s="3"/>
      <c r="L4424" s="3"/>
    </row>
    <row r="4425" spans="9:12" x14ac:dyDescent="0.25">
      <c r="I4425" s="3"/>
      <c r="J4425" s="3"/>
      <c r="K4425" s="3"/>
      <c r="L4425" s="3"/>
    </row>
    <row r="4426" spans="9:12" x14ac:dyDescent="0.25">
      <c r="I4426" s="3"/>
      <c r="J4426" s="3"/>
      <c r="K4426" s="3"/>
      <c r="L4426" s="3"/>
    </row>
    <row r="4427" spans="9:12" x14ac:dyDescent="0.25">
      <c r="I4427" s="3"/>
      <c r="J4427" s="3"/>
      <c r="K4427" s="3"/>
      <c r="L4427" s="3"/>
    </row>
    <row r="4428" spans="9:12" x14ac:dyDescent="0.25">
      <c r="I4428" s="3"/>
      <c r="J4428" s="3"/>
      <c r="K4428" s="3"/>
      <c r="L4428" s="3"/>
    </row>
    <row r="4429" spans="9:12" x14ac:dyDescent="0.25">
      <c r="I4429" s="3"/>
      <c r="J4429" s="3"/>
      <c r="K4429" s="3"/>
      <c r="L4429" s="3"/>
    </row>
    <row r="4430" spans="9:12" x14ac:dyDescent="0.25">
      <c r="I4430" s="3"/>
      <c r="J4430" s="3"/>
      <c r="K4430" s="3"/>
      <c r="L4430" s="3"/>
    </row>
    <row r="4431" spans="9:12" x14ac:dyDescent="0.25">
      <c r="I4431" s="3"/>
      <c r="J4431" s="3"/>
      <c r="K4431" s="3"/>
      <c r="L4431" s="3"/>
    </row>
    <row r="4432" spans="9:12" x14ac:dyDescent="0.25">
      <c r="I4432" s="3"/>
      <c r="J4432" s="3"/>
      <c r="K4432" s="3"/>
      <c r="L4432" s="3"/>
    </row>
    <row r="4433" spans="9:12" x14ac:dyDescent="0.25">
      <c r="I4433" s="3"/>
      <c r="J4433" s="3"/>
      <c r="K4433" s="3"/>
      <c r="L4433" s="3"/>
    </row>
    <row r="4434" spans="9:12" x14ac:dyDescent="0.25">
      <c r="I4434" s="3"/>
      <c r="J4434" s="3"/>
      <c r="K4434" s="3"/>
      <c r="L4434" s="3"/>
    </row>
    <row r="4435" spans="9:12" x14ac:dyDescent="0.25">
      <c r="I4435" s="3"/>
      <c r="J4435" s="3"/>
      <c r="K4435" s="3"/>
      <c r="L4435" s="3"/>
    </row>
    <row r="4436" spans="9:12" x14ac:dyDescent="0.25">
      <c r="I4436" s="3"/>
      <c r="J4436" s="3"/>
      <c r="K4436" s="3"/>
      <c r="L4436" s="3"/>
    </row>
    <row r="4437" spans="9:12" x14ac:dyDescent="0.25">
      <c r="I4437" s="3"/>
      <c r="J4437" s="3"/>
      <c r="K4437" s="3"/>
      <c r="L4437" s="3"/>
    </row>
    <row r="4438" spans="9:12" x14ac:dyDescent="0.25">
      <c r="I4438" s="3"/>
      <c r="J4438" s="3"/>
      <c r="K4438" s="3"/>
      <c r="L4438" s="3"/>
    </row>
    <row r="4439" spans="9:12" x14ac:dyDescent="0.25">
      <c r="I4439" s="3"/>
      <c r="J4439" s="3"/>
      <c r="K4439" s="3"/>
      <c r="L4439" s="3"/>
    </row>
    <row r="4440" spans="9:12" x14ac:dyDescent="0.25">
      <c r="I4440" s="3"/>
      <c r="J4440" s="3"/>
      <c r="K4440" s="3"/>
      <c r="L4440" s="3"/>
    </row>
    <row r="4441" spans="9:12" x14ac:dyDescent="0.25">
      <c r="I4441" s="3"/>
      <c r="J4441" s="3"/>
      <c r="K4441" s="3"/>
      <c r="L4441" s="3"/>
    </row>
    <row r="4442" spans="9:12" x14ac:dyDescent="0.25">
      <c r="I4442" s="3"/>
      <c r="J4442" s="3"/>
      <c r="K4442" s="3"/>
      <c r="L4442" s="3"/>
    </row>
    <row r="4443" spans="9:12" x14ac:dyDescent="0.25">
      <c r="I4443" s="3"/>
      <c r="J4443" s="3"/>
      <c r="K4443" s="3"/>
      <c r="L4443" s="3"/>
    </row>
    <row r="4444" spans="9:12" x14ac:dyDescent="0.25">
      <c r="I4444" s="3"/>
      <c r="J4444" s="3"/>
      <c r="K4444" s="3"/>
      <c r="L4444" s="3"/>
    </row>
    <row r="4445" spans="9:12" x14ac:dyDescent="0.25">
      <c r="I4445" s="3"/>
      <c r="J4445" s="3"/>
      <c r="K4445" s="3"/>
      <c r="L4445" s="3"/>
    </row>
    <row r="4446" spans="9:12" x14ac:dyDescent="0.25">
      <c r="I4446" s="3"/>
      <c r="J4446" s="3"/>
      <c r="K4446" s="3"/>
      <c r="L4446" s="3"/>
    </row>
    <row r="4447" spans="9:12" x14ac:dyDescent="0.25">
      <c r="I4447" s="3"/>
      <c r="J4447" s="3"/>
      <c r="K4447" s="3"/>
      <c r="L4447" s="3"/>
    </row>
    <row r="4448" spans="9:12" x14ac:dyDescent="0.25">
      <c r="I4448" s="3"/>
      <c r="J4448" s="3"/>
      <c r="K4448" s="3"/>
      <c r="L4448" s="3"/>
    </row>
    <row r="4449" spans="9:12" x14ac:dyDescent="0.25">
      <c r="I4449" s="3"/>
      <c r="J4449" s="3"/>
      <c r="K4449" s="3"/>
      <c r="L4449" s="3"/>
    </row>
    <row r="4450" spans="9:12" x14ac:dyDescent="0.25">
      <c r="I4450" s="3"/>
      <c r="J4450" s="3"/>
      <c r="K4450" s="3"/>
      <c r="L4450" s="3"/>
    </row>
    <row r="4451" spans="9:12" x14ac:dyDescent="0.25">
      <c r="I4451" s="3"/>
      <c r="J4451" s="3"/>
      <c r="K4451" s="3"/>
      <c r="L4451" s="3"/>
    </row>
    <row r="4452" spans="9:12" x14ac:dyDescent="0.25">
      <c r="I4452" s="3"/>
      <c r="J4452" s="3"/>
      <c r="K4452" s="3"/>
      <c r="L4452" s="3"/>
    </row>
    <row r="4453" spans="9:12" x14ac:dyDescent="0.25">
      <c r="I4453" s="4"/>
      <c r="J4453" s="4"/>
      <c r="K4453" s="4"/>
      <c r="L4453" s="4"/>
    </row>
    <row r="4454" spans="9:12" x14ac:dyDescent="0.25">
      <c r="I4454" s="4"/>
      <c r="J4454" s="4"/>
      <c r="K4454" s="4"/>
      <c r="L4454" s="4"/>
    </row>
    <row r="4455" spans="9:12" x14ac:dyDescent="0.25">
      <c r="I4455" s="3"/>
      <c r="J4455" s="3"/>
      <c r="K4455" s="3"/>
      <c r="L4455" s="3"/>
    </row>
    <row r="4456" spans="9:12" x14ac:dyDescent="0.25">
      <c r="I4456" s="3"/>
      <c r="J4456" s="3"/>
      <c r="K4456" s="3"/>
      <c r="L4456" s="3"/>
    </row>
    <row r="4457" spans="9:12" x14ac:dyDescent="0.25">
      <c r="I4457" s="3"/>
      <c r="J4457" s="3"/>
      <c r="K4457" s="3"/>
      <c r="L4457" s="3"/>
    </row>
    <row r="4458" spans="9:12" x14ac:dyDescent="0.25">
      <c r="I4458" s="3"/>
      <c r="J4458" s="3"/>
      <c r="K4458" s="3"/>
      <c r="L4458" s="3"/>
    </row>
    <row r="4459" spans="9:12" x14ac:dyDescent="0.25">
      <c r="I4459" s="3"/>
      <c r="J4459" s="3"/>
      <c r="K4459" s="3"/>
      <c r="L4459" s="3"/>
    </row>
    <row r="4460" spans="9:12" x14ac:dyDescent="0.25">
      <c r="I4460" s="3"/>
      <c r="J4460" s="3"/>
      <c r="K4460" s="3"/>
      <c r="L4460" s="3"/>
    </row>
    <row r="4461" spans="9:12" x14ac:dyDescent="0.25">
      <c r="I4461" s="3"/>
      <c r="J4461" s="3"/>
      <c r="K4461" s="3"/>
      <c r="L4461" s="3"/>
    </row>
    <row r="4462" spans="9:12" x14ac:dyDescent="0.25">
      <c r="I4462" s="3"/>
      <c r="J4462" s="3"/>
      <c r="K4462" s="3"/>
      <c r="L4462" s="3"/>
    </row>
    <row r="4463" spans="9:12" x14ac:dyDescent="0.25">
      <c r="I4463" s="3"/>
      <c r="J4463" s="3"/>
      <c r="K4463" s="3"/>
      <c r="L4463" s="3"/>
    </row>
    <row r="4464" spans="9:12" x14ac:dyDescent="0.25">
      <c r="I4464" s="3"/>
      <c r="J4464" s="3"/>
      <c r="K4464" s="3"/>
      <c r="L4464" s="3"/>
    </row>
    <row r="4465" spans="9:12" x14ac:dyDescent="0.25">
      <c r="I4465" s="3"/>
      <c r="J4465" s="3"/>
      <c r="K4465" s="3"/>
      <c r="L4465" s="3"/>
    </row>
    <row r="4466" spans="9:12" x14ac:dyDescent="0.25">
      <c r="I4466" s="3"/>
      <c r="J4466" s="3"/>
      <c r="K4466" s="3"/>
      <c r="L4466" s="3"/>
    </row>
    <row r="4467" spans="9:12" x14ac:dyDescent="0.25">
      <c r="I4467" s="3"/>
      <c r="J4467" s="3"/>
      <c r="K4467" s="3"/>
      <c r="L4467" s="3"/>
    </row>
    <row r="4468" spans="9:12" x14ac:dyDescent="0.25">
      <c r="I4468" s="3"/>
      <c r="J4468" s="3"/>
      <c r="K4468" s="3"/>
      <c r="L4468" s="3"/>
    </row>
    <row r="4469" spans="9:12" x14ac:dyDescent="0.25">
      <c r="I4469" s="3"/>
      <c r="J4469" s="3"/>
      <c r="K4469" s="3"/>
      <c r="L4469" s="3"/>
    </row>
    <row r="4470" spans="9:12" x14ac:dyDescent="0.25">
      <c r="I4470" s="3"/>
      <c r="J4470" s="3"/>
      <c r="K4470" s="3"/>
      <c r="L4470" s="3"/>
    </row>
    <row r="4471" spans="9:12" x14ac:dyDescent="0.25">
      <c r="I4471" s="3"/>
      <c r="J4471" s="3"/>
      <c r="K4471" s="3"/>
      <c r="L4471" s="3"/>
    </row>
    <row r="4472" spans="9:12" x14ac:dyDescent="0.25">
      <c r="I4472" s="3"/>
      <c r="J4472" s="3"/>
      <c r="K4472" s="3"/>
      <c r="L4472" s="3"/>
    </row>
    <row r="4473" spans="9:12" x14ac:dyDescent="0.25">
      <c r="I4473" s="3"/>
      <c r="J4473" s="3"/>
      <c r="K4473" s="3"/>
      <c r="L4473" s="3"/>
    </row>
    <row r="4474" spans="9:12" x14ac:dyDescent="0.25">
      <c r="I4474" s="3"/>
      <c r="J4474" s="3"/>
      <c r="K4474" s="3"/>
      <c r="L4474" s="3"/>
    </row>
    <row r="4475" spans="9:12" x14ac:dyDescent="0.25">
      <c r="I4475" s="3"/>
      <c r="J4475" s="3"/>
      <c r="K4475" s="3"/>
      <c r="L4475" s="3"/>
    </row>
    <row r="4476" spans="9:12" x14ac:dyDescent="0.25">
      <c r="I4476" s="3"/>
      <c r="J4476" s="3"/>
      <c r="K4476" s="3"/>
      <c r="L4476" s="3"/>
    </row>
    <row r="4477" spans="9:12" x14ac:dyDescent="0.25">
      <c r="I4477" s="3"/>
      <c r="J4477" s="3"/>
      <c r="K4477" s="3"/>
      <c r="L4477" s="3"/>
    </row>
    <row r="4478" spans="9:12" x14ac:dyDescent="0.25">
      <c r="I4478" s="3"/>
      <c r="J4478" s="3"/>
      <c r="K4478" s="3"/>
      <c r="L4478" s="3"/>
    </row>
    <row r="4479" spans="9:12" x14ac:dyDescent="0.25">
      <c r="I4479" s="3"/>
      <c r="J4479" s="3"/>
      <c r="K4479" s="3"/>
      <c r="L4479" s="3"/>
    </row>
    <row r="4480" spans="9:12" x14ac:dyDescent="0.25">
      <c r="I4480" s="3"/>
      <c r="J4480" s="3"/>
      <c r="K4480" s="3"/>
      <c r="L4480" s="3"/>
    </row>
    <row r="4481" spans="9:12" x14ac:dyDescent="0.25">
      <c r="I4481" s="3"/>
      <c r="J4481" s="3"/>
      <c r="K4481" s="3"/>
      <c r="L4481" s="3"/>
    </row>
    <row r="4482" spans="9:12" x14ac:dyDescent="0.25">
      <c r="I4482" s="5"/>
      <c r="J4482" s="5"/>
      <c r="K4482" s="5"/>
      <c r="L4482" s="5"/>
    </row>
    <row r="4483" spans="9:12" x14ac:dyDescent="0.25">
      <c r="I4483" s="3"/>
      <c r="J4483" s="3"/>
      <c r="K4483" s="3"/>
      <c r="L4483" s="3"/>
    </row>
    <row r="4484" spans="9:12" x14ac:dyDescent="0.25">
      <c r="I4484" s="3"/>
      <c r="J4484" s="3"/>
      <c r="K4484" s="3"/>
      <c r="L4484" s="3"/>
    </row>
    <row r="4485" spans="9:12" x14ac:dyDescent="0.25">
      <c r="I4485" s="3"/>
      <c r="J4485" s="3"/>
      <c r="K4485" s="3"/>
      <c r="L4485" s="3"/>
    </row>
    <row r="4486" spans="9:12" x14ac:dyDescent="0.25">
      <c r="I4486" s="3"/>
      <c r="J4486" s="3"/>
      <c r="K4486" s="3"/>
      <c r="L4486" s="3"/>
    </row>
    <row r="4487" spans="9:12" x14ac:dyDescent="0.25">
      <c r="I4487" s="3"/>
      <c r="J4487" s="3"/>
      <c r="K4487" s="3"/>
      <c r="L4487" s="3"/>
    </row>
    <row r="4488" spans="9:12" x14ac:dyDescent="0.25">
      <c r="I4488" s="3"/>
      <c r="J4488" s="3"/>
      <c r="K4488" s="3"/>
      <c r="L4488" s="3"/>
    </row>
    <row r="4489" spans="9:12" x14ac:dyDescent="0.25">
      <c r="I4489" s="3"/>
      <c r="J4489" s="3"/>
      <c r="K4489" s="3"/>
      <c r="L4489" s="3"/>
    </row>
    <row r="4490" spans="9:12" x14ac:dyDescent="0.25">
      <c r="I4490" s="3"/>
      <c r="J4490" s="3"/>
      <c r="K4490" s="3"/>
      <c r="L4490" s="3"/>
    </row>
    <row r="4491" spans="9:12" x14ac:dyDescent="0.25">
      <c r="I4491" s="3"/>
      <c r="J4491" s="3"/>
      <c r="K4491" s="3"/>
      <c r="L4491" s="3"/>
    </row>
    <row r="4492" spans="9:12" x14ac:dyDescent="0.25">
      <c r="I4492" s="3"/>
      <c r="J4492" s="3"/>
      <c r="K4492" s="3"/>
      <c r="L4492" s="3"/>
    </row>
    <row r="4493" spans="9:12" x14ac:dyDescent="0.25">
      <c r="I4493" s="3"/>
      <c r="J4493" s="3"/>
      <c r="K4493" s="3"/>
      <c r="L4493" s="3"/>
    </row>
    <row r="4494" spans="9:12" x14ac:dyDescent="0.25">
      <c r="I4494" s="3"/>
      <c r="J4494" s="3"/>
      <c r="K4494" s="3"/>
      <c r="L4494" s="3"/>
    </row>
    <row r="4495" spans="9:12" x14ac:dyDescent="0.25">
      <c r="I4495" s="3"/>
      <c r="J4495" s="3"/>
      <c r="K4495" s="3"/>
      <c r="L4495" s="3"/>
    </row>
    <row r="4496" spans="9:12" x14ac:dyDescent="0.25">
      <c r="I4496" s="3"/>
      <c r="J4496" s="3"/>
      <c r="K4496" s="3"/>
      <c r="L4496" s="3"/>
    </row>
    <row r="4497" spans="9:12" x14ac:dyDescent="0.25">
      <c r="I4497" s="3"/>
      <c r="J4497" s="3"/>
      <c r="K4497" s="3"/>
      <c r="L4497" s="3"/>
    </row>
    <row r="4498" spans="9:12" x14ac:dyDescent="0.25">
      <c r="I4498" s="3"/>
      <c r="J4498" s="3"/>
      <c r="K4498" s="3"/>
      <c r="L4498" s="3"/>
    </row>
    <row r="4499" spans="9:12" x14ac:dyDescent="0.25">
      <c r="I4499" s="3"/>
      <c r="J4499" s="3"/>
      <c r="K4499" s="3"/>
      <c r="L4499" s="3"/>
    </row>
    <row r="4500" spans="9:12" x14ac:dyDescent="0.25">
      <c r="I4500" s="3"/>
      <c r="J4500" s="3"/>
      <c r="K4500" s="3"/>
      <c r="L4500" s="3"/>
    </row>
    <row r="4501" spans="9:12" x14ac:dyDescent="0.25">
      <c r="I4501" s="3"/>
      <c r="J4501" s="3"/>
      <c r="K4501" s="3"/>
      <c r="L4501" s="3"/>
    </row>
    <row r="4502" spans="9:12" x14ac:dyDescent="0.25">
      <c r="I4502" s="3"/>
      <c r="J4502" s="3"/>
      <c r="K4502" s="3"/>
      <c r="L4502" s="3"/>
    </row>
    <row r="4503" spans="9:12" x14ac:dyDescent="0.25">
      <c r="I4503" s="3"/>
      <c r="J4503" s="3"/>
      <c r="K4503" s="3"/>
      <c r="L4503" s="3"/>
    </row>
    <row r="4504" spans="9:12" x14ac:dyDescent="0.25">
      <c r="I4504" s="3"/>
      <c r="J4504" s="3"/>
      <c r="K4504" s="3"/>
      <c r="L4504" s="3"/>
    </row>
    <row r="4505" spans="9:12" x14ac:dyDescent="0.25">
      <c r="I4505" s="3"/>
      <c r="J4505" s="3"/>
      <c r="K4505" s="3"/>
      <c r="L4505" s="3"/>
    </row>
    <row r="4506" spans="9:12" x14ac:dyDescent="0.25">
      <c r="I4506" s="3"/>
      <c r="J4506" s="3"/>
      <c r="K4506" s="3"/>
      <c r="L4506" s="3"/>
    </row>
    <row r="4507" spans="9:12" x14ac:dyDescent="0.25">
      <c r="I4507" s="3"/>
      <c r="J4507" s="3"/>
      <c r="K4507" s="3"/>
      <c r="L4507" s="3"/>
    </row>
    <row r="4508" spans="9:12" x14ac:dyDescent="0.25">
      <c r="I4508" s="3"/>
      <c r="J4508" s="3"/>
      <c r="K4508" s="3"/>
      <c r="L4508" s="3"/>
    </row>
    <row r="4509" spans="9:12" x14ac:dyDescent="0.25">
      <c r="I4509" s="3"/>
      <c r="J4509" s="3"/>
      <c r="K4509" s="3"/>
      <c r="L4509" s="3"/>
    </row>
    <row r="4510" spans="9:12" x14ac:dyDescent="0.25">
      <c r="I4510" s="3"/>
      <c r="J4510" s="3"/>
      <c r="K4510" s="3"/>
      <c r="L4510" s="3"/>
    </row>
    <row r="4511" spans="9:12" x14ac:dyDescent="0.25">
      <c r="I4511" s="3"/>
      <c r="J4511" s="3"/>
      <c r="K4511" s="3"/>
      <c r="L4511" s="3"/>
    </row>
    <row r="4512" spans="9:12" x14ac:dyDescent="0.25">
      <c r="I4512" s="3"/>
      <c r="J4512" s="3"/>
      <c r="K4512" s="3"/>
      <c r="L4512" s="3"/>
    </row>
    <row r="4513" spans="9:12" x14ac:dyDescent="0.25">
      <c r="I4513" s="3"/>
      <c r="J4513" s="3"/>
      <c r="K4513" s="3"/>
      <c r="L4513" s="3"/>
    </row>
    <row r="4514" spans="9:12" x14ac:dyDescent="0.25">
      <c r="I4514" s="3"/>
      <c r="J4514" s="3"/>
      <c r="K4514" s="3"/>
      <c r="L4514" s="3"/>
    </row>
    <row r="4515" spans="9:12" x14ac:dyDescent="0.25">
      <c r="I4515" s="3"/>
      <c r="J4515" s="3"/>
      <c r="K4515" s="3"/>
      <c r="L4515" s="3"/>
    </row>
    <row r="4516" spans="9:12" x14ac:dyDescent="0.25">
      <c r="I4516" s="3"/>
      <c r="J4516" s="3"/>
      <c r="K4516" s="3"/>
      <c r="L4516" s="3"/>
    </row>
    <row r="4517" spans="9:12" x14ac:dyDescent="0.25">
      <c r="I4517" s="3"/>
      <c r="J4517" s="3"/>
      <c r="K4517" s="3"/>
      <c r="L4517" s="3"/>
    </row>
    <row r="4518" spans="9:12" x14ac:dyDescent="0.25">
      <c r="I4518" s="3"/>
      <c r="J4518" s="3"/>
      <c r="K4518" s="3"/>
      <c r="L4518" s="3"/>
    </row>
    <row r="4519" spans="9:12" x14ac:dyDescent="0.25">
      <c r="I4519" s="3"/>
      <c r="J4519" s="3"/>
      <c r="K4519" s="3"/>
      <c r="L4519" s="3"/>
    </row>
    <row r="4520" spans="9:12" x14ac:dyDescent="0.25">
      <c r="I4520" s="3"/>
      <c r="J4520" s="3"/>
      <c r="K4520" s="3"/>
      <c r="L4520" s="3"/>
    </row>
    <row r="4521" spans="9:12" x14ac:dyDescent="0.25">
      <c r="I4521" s="3"/>
      <c r="J4521" s="3"/>
      <c r="K4521" s="3"/>
      <c r="L4521" s="3"/>
    </row>
    <row r="4522" spans="9:12" x14ac:dyDescent="0.25">
      <c r="I4522" s="3"/>
      <c r="J4522" s="3"/>
      <c r="K4522" s="3"/>
      <c r="L4522" s="3"/>
    </row>
    <row r="4523" spans="9:12" x14ac:dyDescent="0.25">
      <c r="I4523" s="3"/>
      <c r="J4523" s="3"/>
      <c r="K4523" s="3"/>
      <c r="L4523" s="3"/>
    </row>
    <row r="4524" spans="9:12" x14ac:dyDescent="0.25">
      <c r="I4524" s="3"/>
      <c r="J4524" s="3"/>
      <c r="K4524" s="3"/>
      <c r="L4524" s="3"/>
    </row>
    <row r="4525" spans="9:12" x14ac:dyDescent="0.25">
      <c r="I4525" s="3"/>
      <c r="J4525" s="3"/>
      <c r="K4525" s="3"/>
      <c r="L4525" s="3"/>
    </row>
    <row r="4526" spans="9:12" x14ac:dyDescent="0.25">
      <c r="I4526" s="3"/>
      <c r="J4526" s="3"/>
      <c r="K4526" s="3"/>
      <c r="L4526" s="3"/>
    </row>
    <row r="4527" spans="9:12" x14ac:dyDescent="0.25">
      <c r="I4527" s="3"/>
      <c r="J4527" s="3"/>
      <c r="K4527" s="3"/>
      <c r="L4527" s="3"/>
    </row>
    <row r="4528" spans="9:12" x14ac:dyDescent="0.25">
      <c r="I4528" s="3"/>
      <c r="J4528" s="3"/>
      <c r="K4528" s="3"/>
      <c r="L4528" s="3"/>
    </row>
    <row r="4529" spans="9:12" x14ac:dyDescent="0.25">
      <c r="I4529" s="3"/>
      <c r="J4529" s="3"/>
      <c r="K4529" s="3"/>
      <c r="L4529" s="3"/>
    </row>
    <row r="4530" spans="9:12" x14ac:dyDescent="0.25">
      <c r="I4530" s="3"/>
      <c r="J4530" s="3"/>
      <c r="K4530" s="3"/>
      <c r="L4530" s="3"/>
    </row>
    <row r="4531" spans="9:12" x14ac:dyDescent="0.25">
      <c r="I4531" s="3"/>
      <c r="J4531" s="3"/>
      <c r="K4531" s="3"/>
      <c r="L4531" s="3"/>
    </row>
    <row r="4532" spans="9:12" x14ac:dyDescent="0.25">
      <c r="I4532" s="3"/>
      <c r="J4532" s="3"/>
      <c r="K4532" s="3"/>
      <c r="L4532" s="3"/>
    </row>
    <row r="4533" spans="9:12" x14ac:dyDescent="0.25">
      <c r="I4533" s="3"/>
      <c r="J4533" s="3"/>
      <c r="K4533" s="3"/>
      <c r="L4533" s="3"/>
    </row>
    <row r="4534" spans="9:12" x14ac:dyDescent="0.25">
      <c r="I4534" s="3"/>
      <c r="J4534" s="3"/>
      <c r="K4534" s="3"/>
      <c r="L4534" s="3"/>
    </row>
    <row r="4535" spans="9:12" x14ac:dyDescent="0.25">
      <c r="I4535" s="3"/>
      <c r="J4535" s="3"/>
      <c r="K4535" s="3"/>
      <c r="L4535" s="3"/>
    </row>
    <row r="4536" spans="9:12" x14ac:dyDescent="0.25">
      <c r="I4536" s="3"/>
      <c r="J4536" s="3"/>
      <c r="K4536" s="3"/>
      <c r="L4536" s="3"/>
    </row>
    <row r="4537" spans="9:12" x14ac:dyDescent="0.25">
      <c r="I4537" s="3"/>
      <c r="J4537" s="3"/>
      <c r="K4537" s="3"/>
      <c r="L4537" s="3"/>
    </row>
    <row r="4538" spans="9:12" x14ac:dyDescent="0.25">
      <c r="I4538" s="3"/>
      <c r="J4538" s="3"/>
      <c r="K4538" s="3"/>
      <c r="L4538" s="3"/>
    </row>
    <row r="4539" spans="9:12" x14ac:dyDescent="0.25">
      <c r="I4539" s="3"/>
      <c r="J4539" s="3"/>
      <c r="K4539" s="3"/>
      <c r="L4539" s="3"/>
    </row>
    <row r="4540" spans="9:12" x14ac:dyDescent="0.25">
      <c r="I4540" s="3"/>
      <c r="J4540" s="3"/>
      <c r="K4540" s="3"/>
      <c r="L4540" s="3"/>
    </row>
    <row r="4541" spans="9:12" x14ac:dyDescent="0.25">
      <c r="I4541" s="3"/>
      <c r="J4541" s="3"/>
      <c r="K4541" s="3"/>
      <c r="L4541" s="3"/>
    </row>
    <row r="4542" spans="9:12" x14ac:dyDescent="0.25">
      <c r="I4542" s="3"/>
      <c r="J4542" s="3"/>
      <c r="K4542" s="3"/>
      <c r="L4542" s="3"/>
    </row>
    <row r="4543" spans="9:12" x14ac:dyDescent="0.25">
      <c r="I4543" s="3"/>
      <c r="J4543" s="3"/>
      <c r="K4543" s="3"/>
      <c r="L4543" s="3"/>
    </row>
    <row r="4544" spans="9:12" x14ac:dyDescent="0.25">
      <c r="I4544" s="3"/>
      <c r="J4544" s="3"/>
      <c r="K4544" s="3"/>
      <c r="L4544" s="3"/>
    </row>
    <row r="4545" spans="9:12" x14ac:dyDescent="0.25">
      <c r="I4545" s="3"/>
      <c r="J4545" s="3"/>
      <c r="K4545" s="3"/>
      <c r="L4545" s="3"/>
    </row>
    <row r="4546" spans="9:12" x14ac:dyDescent="0.25">
      <c r="I4546" s="3"/>
      <c r="J4546" s="3"/>
      <c r="K4546" s="3"/>
      <c r="L4546" s="3"/>
    </row>
    <row r="4547" spans="9:12" x14ac:dyDescent="0.25">
      <c r="I4547" s="3"/>
      <c r="J4547" s="3"/>
      <c r="K4547" s="3"/>
      <c r="L4547" s="3"/>
    </row>
    <row r="4548" spans="9:12" x14ac:dyDescent="0.25">
      <c r="I4548" s="3"/>
      <c r="J4548" s="3"/>
      <c r="K4548" s="3"/>
      <c r="L4548" s="3"/>
    </row>
    <row r="4549" spans="9:12" x14ac:dyDescent="0.25">
      <c r="I4549" s="3"/>
      <c r="J4549" s="3"/>
      <c r="K4549" s="3"/>
      <c r="L4549" s="3"/>
    </row>
    <row r="4550" spans="9:12" x14ac:dyDescent="0.25">
      <c r="I4550" s="3"/>
      <c r="J4550" s="3"/>
      <c r="K4550" s="3"/>
      <c r="L4550" s="3"/>
    </row>
    <row r="4551" spans="9:12" x14ac:dyDescent="0.25">
      <c r="I4551" s="3"/>
      <c r="J4551" s="3"/>
      <c r="K4551" s="3"/>
      <c r="L4551" s="3"/>
    </row>
    <row r="4552" spans="9:12" x14ac:dyDescent="0.25">
      <c r="I4552" s="3"/>
      <c r="J4552" s="3"/>
      <c r="K4552" s="3"/>
      <c r="L4552" s="3"/>
    </row>
    <row r="4553" spans="9:12" x14ac:dyDescent="0.25">
      <c r="I4553" s="3"/>
      <c r="J4553" s="3"/>
      <c r="K4553" s="3"/>
      <c r="L4553" s="3"/>
    </row>
    <row r="4554" spans="9:12" x14ac:dyDescent="0.25">
      <c r="I4554" s="3"/>
      <c r="J4554" s="3"/>
      <c r="K4554" s="3"/>
      <c r="L4554" s="3"/>
    </row>
    <row r="4555" spans="9:12" x14ac:dyDescent="0.25">
      <c r="I4555" s="3"/>
      <c r="J4555" s="3"/>
      <c r="K4555" s="3"/>
      <c r="L4555" s="3"/>
    </row>
    <row r="4556" spans="9:12" x14ac:dyDescent="0.25">
      <c r="I4556" s="3"/>
      <c r="J4556" s="3"/>
      <c r="K4556" s="3"/>
      <c r="L4556" s="3"/>
    </row>
    <row r="4557" spans="9:12" x14ac:dyDescent="0.25">
      <c r="I4557" s="3"/>
      <c r="J4557" s="3"/>
      <c r="K4557" s="3"/>
      <c r="L4557" s="3"/>
    </row>
    <row r="4558" spans="9:12" x14ac:dyDescent="0.25">
      <c r="I4558" s="3"/>
      <c r="J4558" s="3"/>
      <c r="K4558" s="3"/>
      <c r="L4558" s="3"/>
    </row>
    <row r="4559" spans="9:12" x14ac:dyDescent="0.25">
      <c r="I4559" s="3"/>
      <c r="J4559" s="3"/>
      <c r="K4559" s="3"/>
      <c r="L4559" s="3"/>
    </row>
    <row r="4560" spans="9:12" x14ac:dyDescent="0.25">
      <c r="I4560" s="3"/>
      <c r="J4560" s="3"/>
      <c r="K4560" s="3"/>
      <c r="L4560" s="3"/>
    </row>
    <row r="4561" spans="9:12" x14ac:dyDescent="0.25">
      <c r="I4561" s="3"/>
      <c r="J4561" s="3"/>
      <c r="K4561" s="3"/>
      <c r="L4561" s="3"/>
    </row>
    <row r="4562" spans="9:12" x14ac:dyDescent="0.25">
      <c r="I4562" s="3"/>
      <c r="J4562" s="3"/>
      <c r="K4562" s="3"/>
      <c r="L4562" s="3"/>
    </row>
    <row r="4563" spans="9:12" x14ac:dyDescent="0.25">
      <c r="I4563" s="3"/>
      <c r="J4563" s="3"/>
      <c r="K4563" s="3"/>
      <c r="L4563" s="3"/>
    </row>
    <row r="4564" spans="9:12" x14ac:dyDescent="0.25">
      <c r="I4564" s="3"/>
      <c r="J4564" s="3"/>
      <c r="K4564" s="3"/>
      <c r="L4564" s="3"/>
    </row>
    <row r="4565" spans="9:12" x14ac:dyDescent="0.25">
      <c r="I4565" s="3"/>
      <c r="J4565" s="3"/>
      <c r="K4565" s="3"/>
      <c r="L4565" s="3"/>
    </row>
    <row r="4566" spans="9:12" x14ac:dyDescent="0.25">
      <c r="I4566" s="3"/>
      <c r="J4566" s="3"/>
      <c r="K4566" s="3"/>
      <c r="L4566" s="3"/>
    </row>
    <row r="4567" spans="9:12" x14ac:dyDescent="0.25">
      <c r="I4567" s="3"/>
      <c r="J4567" s="3"/>
      <c r="K4567" s="3"/>
      <c r="L4567" s="3"/>
    </row>
    <row r="4568" spans="9:12" x14ac:dyDescent="0.25">
      <c r="I4568" s="3"/>
      <c r="J4568" s="3"/>
      <c r="K4568" s="3"/>
      <c r="L4568" s="3"/>
    </row>
    <row r="4569" spans="9:12" x14ac:dyDescent="0.25">
      <c r="I4569" s="3"/>
      <c r="J4569" s="3"/>
      <c r="K4569" s="3"/>
      <c r="L4569" s="3"/>
    </row>
    <row r="4570" spans="9:12" x14ac:dyDescent="0.25">
      <c r="I4570" s="3"/>
      <c r="J4570" s="3"/>
      <c r="K4570" s="3"/>
      <c r="L4570" s="3"/>
    </row>
    <row r="4571" spans="9:12" x14ac:dyDescent="0.25">
      <c r="I4571" s="3"/>
      <c r="J4571" s="3"/>
      <c r="K4571" s="3"/>
      <c r="L4571" s="3"/>
    </row>
    <row r="4572" spans="9:12" x14ac:dyDescent="0.25">
      <c r="I4572" s="3"/>
      <c r="J4572" s="3"/>
      <c r="K4572" s="3"/>
      <c r="L4572" s="3"/>
    </row>
    <row r="4573" spans="9:12" x14ac:dyDescent="0.25">
      <c r="I4573" s="3"/>
      <c r="J4573" s="3"/>
      <c r="K4573" s="3"/>
      <c r="L4573" s="3"/>
    </row>
    <row r="4574" spans="9:12" x14ac:dyDescent="0.25">
      <c r="I4574" s="3"/>
      <c r="J4574" s="3"/>
      <c r="K4574" s="3"/>
      <c r="L4574" s="3"/>
    </row>
    <row r="4575" spans="9:12" x14ac:dyDescent="0.25">
      <c r="I4575" s="3"/>
      <c r="J4575" s="3"/>
      <c r="K4575" s="3"/>
      <c r="L4575" s="3"/>
    </row>
    <row r="4576" spans="9:12" x14ac:dyDescent="0.25">
      <c r="I4576" s="3"/>
      <c r="J4576" s="3"/>
      <c r="K4576" s="3"/>
      <c r="L4576" s="3"/>
    </row>
    <row r="4577" spans="9:12" x14ac:dyDescent="0.25">
      <c r="I4577" s="3"/>
      <c r="J4577" s="3"/>
      <c r="K4577" s="3"/>
      <c r="L4577" s="3"/>
    </row>
    <row r="4578" spans="9:12" x14ac:dyDescent="0.25">
      <c r="I4578" s="3"/>
      <c r="J4578" s="3"/>
      <c r="K4578" s="3"/>
      <c r="L4578" s="3"/>
    </row>
    <row r="4579" spans="9:12" x14ac:dyDescent="0.25">
      <c r="I4579" s="3"/>
      <c r="J4579" s="3"/>
      <c r="K4579" s="3"/>
      <c r="L4579" s="3"/>
    </row>
    <row r="4580" spans="9:12" x14ac:dyDescent="0.25">
      <c r="I4580" s="3"/>
      <c r="J4580" s="3"/>
      <c r="K4580" s="3"/>
      <c r="L4580" s="3"/>
    </row>
    <row r="4581" spans="9:12" x14ac:dyDescent="0.25">
      <c r="I4581" s="3"/>
      <c r="J4581" s="3"/>
      <c r="K4581" s="3"/>
      <c r="L4581" s="3"/>
    </row>
    <row r="4582" spans="9:12" x14ac:dyDescent="0.25">
      <c r="I4582" s="3"/>
      <c r="J4582" s="3"/>
      <c r="K4582" s="3"/>
      <c r="L4582" s="3"/>
    </row>
    <row r="4583" spans="9:12" x14ac:dyDescent="0.25">
      <c r="I4583" s="3"/>
      <c r="J4583" s="3"/>
      <c r="K4583" s="3"/>
      <c r="L4583" s="3"/>
    </row>
    <row r="4584" spans="9:12" x14ac:dyDescent="0.25">
      <c r="I4584" s="3"/>
      <c r="J4584" s="3"/>
      <c r="K4584" s="3"/>
      <c r="L4584" s="3"/>
    </row>
    <row r="4585" spans="9:12" x14ac:dyDescent="0.25">
      <c r="I4585" s="3"/>
      <c r="J4585" s="3"/>
      <c r="K4585" s="3"/>
      <c r="L4585" s="3"/>
    </row>
    <row r="4586" spans="9:12" x14ac:dyDescent="0.25">
      <c r="I4586" s="3"/>
      <c r="J4586" s="3"/>
      <c r="K4586" s="3"/>
      <c r="L4586" s="3"/>
    </row>
    <row r="4587" spans="9:12" x14ac:dyDescent="0.25">
      <c r="I4587" s="3"/>
      <c r="J4587" s="3"/>
      <c r="K4587" s="3"/>
      <c r="L4587" s="3"/>
    </row>
    <row r="4588" spans="9:12" x14ac:dyDescent="0.25">
      <c r="I4588" s="3"/>
      <c r="J4588" s="3"/>
      <c r="K4588" s="3"/>
      <c r="L4588" s="3"/>
    </row>
    <row r="4589" spans="9:12" x14ac:dyDescent="0.25">
      <c r="I4589" s="3"/>
      <c r="J4589" s="3"/>
      <c r="K4589" s="3"/>
      <c r="L4589" s="3"/>
    </row>
    <row r="4590" spans="9:12" x14ac:dyDescent="0.25">
      <c r="I4590" s="3"/>
      <c r="J4590" s="3"/>
      <c r="K4590" s="3"/>
      <c r="L4590" s="3"/>
    </row>
    <row r="4591" spans="9:12" x14ac:dyDescent="0.25">
      <c r="I4591" s="3"/>
      <c r="J4591" s="3"/>
      <c r="K4591" s="3"/>
      <c r="L4591" s="3"/>
    </row>
    <row r="4592" spans="9:12" x14ac:dyDescent="0.25">
      <c r="I4592" s="3"/>
      <c r="J4592" s="3"/>
      <c r="K4592" s="3"/>
      <c r="L4592" s="3"/>
    </row>
    <row r="4593" spans="9:12" x14ac:dyDescent="0.25">
      <c r="I4593" s="3"/>
      <c r="J4593" s="3"/>
      <c r="K4593" s="3"/>
      <c r="L4593" s="3"/>
    </row>
    <row r="4594" spans="9:12" x14ac:dyDescent="0.25">
      <c r="I4594" s="3"/>
      <c r="J4594" s="3"/>
      <c r="K4594" s="3"/>
      <c r="L4594" s="3"/>
    </row>
    <row r="4595" spans="9:12" x14ac:dyDescent="0.25">
      <c r="I4595" s="3"/>
      <c r="J4595" s="3"/>
      <c r="K4595" s="3"/>
      <c r="L4595" s="3"/>
    </row>
    <row r="4596" spans="9:12" x14ac:dyDescent="0.25">
      <c r="I4596" s="3"/>
      <c r="J4596" s="3"/>
      <c r="K4596" s="3"/>
      <c r="L4596" s="3"/>
    </row>
    <row r="4597" spans="9:12" x14ac:dyDescent="0.25">
      <c r="I4597" s="3"/>
      <c r="J4597" s="3"/>
      <c r="K4597" s="3"/>
      <c r="L4597" s="3"/>
    </row>
    <row r="4598" spans="9:12" x14ac:dyDescent="0.25">
      <c r="I4598" s="3"/>
      <c r="J4598" s="3"/>
      <c r="K4598" s="3"/>
      <c r="L4598" s="3"/>
    </row>
    <row r="4599" spans="9:12" x14ac:dyDescent="0.25">
      <c r="I4599" s="3"/>
      <c r="J4599" s="3"/>
      <c r="K4599" s="3"/>
      <c r="L4599" s="3"/>
    </row>
    <row r="4600" spans="9:12" x14ac:dyDescent="0.25">
      <c r="I4600" s="3"/>
      <c r="J4600" s="3"/>
      <c r="K4600" s="3"/>
      <c r="L4600" s="3"/>
    </row>
    <row r="4601" spans="9:12" x14ac:dyDescent="0.25">
      <c r="I4601" s="3"/>
      <c r="J4601" s="3"/>
      <c r="K4601" s="3"/>
      <c r="L4601" s="3"/>
    </row>
    <row r="4602" spans="9:12" x14ac:dyDescent="0.25">
      <c r="I4602" s="3"/>
      <c r="J4602" s="3"/>
      <c r="K4602" s="3"/>
      <c r="L4602" s="3"/>
    </row>
    <row r="4603" spans="9:12" x14ac:dyDescent="0.25">
      <c r="I4603" s="3"/>
      <c r="J4603" s="3"/>
      <c r="K4603" s="3"/>
      <c r="L4603" s="3"/>
    </row>
    <row r="4604" spans="9:12" x14ac:dyDescent="0.25">
      <c r="I4604" s="3"/>
      <c r="J4604" s="3"/>
      <c r="K4604" s="3"/>
      <c r="L4604" s="3"/>
    </row>
    <row r="4605" spans="9:12" x14ac:dyDescent="0.25">
      <c r="I4605" s="3"/>
      <c r="J4605" s="3"/>
      <c r="K4605" s="3"/>
      <c r="L4605" s="3"/>
    </row>
    <row r="4606" spans="9:12" x14ac:dyDescent="0.25">
      <c r="I4606" s="3"/>
      <c r="J4606" s="3"/>
      <c r="K4606" s="3"/>
      <c r="L4606" s="3"/>
    </row>
    <row r="4607" spans="9:12" x14ac:dyDescent="0.25">
      <c r="I4607" s="3"/>
      <c r="J4607" s="3"/>
      <c r="K4607" s="3"/>
      <c r="L4607" s="3"/>
    </row>
    <row r="4608" spans="9:12" x14ac:dyDescent="0.25">
      <c r="I4608" s="3"/>
      <c r="J4608" s="3"/>
      <c r="K4608" s="3"/>
      <c r="L4608" s="3"/>
    </row>
    <row r="4609" spans="9:12" x14ac:dyDescent="0.25">
      <c r="I4609" s="3"/>
      <c r="J4609" s="3"/>
      <c r="K4609" s="3"/>
      <c r="L4609" s="3"/>
    </row>
    <row r="4610" spans="9:12" x14ac:dyDescent="0.25">
      <c r="I4610" s="3"/>
      <c r="J4610" s="3"/>
      <c r="K4610" s="3"/>
      <c r="L4610" s="3"/>
    </row>
    <row r="4611" spans="9:12" x14ac:dyDescent="0.25">
      <c r="I4611" s="3"/>
      <c r="J4611" s="3"/>
      <c r="K4611" s="3"/>
      <c r="L4611" s="3"/>
    </row>
    <row r="4612" spans="9:12" x14ac:dyDescent="0.25">
      <c r="I4612" s="3"/>
      <c r="J4612" s="3"/>
      <c r="K4612" s="3"/>
      <c r="L4612" s="3"/>
    </row>
    <row r="4613" spans="9:12" x14ac:dyDescent="0.25">
      <c r="I4613" s="3"/>
      <c r="J4613" s="3"/>
      <c r="K4613" s="3"/>
      <c r="L4613" s="3"/>
    </row>
    <row r="4614" spans="9:12" x14ac:dyDescent="0.25">
      <c r="I4614" s="3"/>
      <c r="J4614" s="3"/>
      <c r="K4614" s="3"/>
      <c r="L4614" s="3"/>
    </row>
    <row r="4615" spans="9:12" x14ac:dyDescent="0.25">
      <c r="I4615" s="3"/>
      <c r="J4615" s="3"/>
      <c r="K4615" s="3"/>
      <c r="L4615" s="3"/>
    </row>
    <row r="4616" spans="9:12" x14ac:dyDescent="0.25">
      <c r="I4616" s="3"/>
      <c r="J4616" s="3"/>
      <c r="K4616" s="3"/>
      <c r="L4616" s="3"/>
    </row>
    <row r="4617" spans="9:12" x14ac:dyDescent="0.25">
      <c r="I4617" s="3"/>
      <c r="J4617" s="3"/>
      <c r="K4617" s="3"/>
      <c r="L4617" s="3"/>
    </row>
    <row r="4618" spans="9:12" x14ac:dyDescent="0.25">
      <c r="I4618" s="3"/>
      <c r="J4618" s="3"/>
      <c r="K4618" s="3"/>
      <c r="L4618" s="3"/>
    </row>
    <row r="4619" spans="9:12" x14ac:dyDescent="0.25">
      <c r="I4619" s="3"/>
      <c r="J4619" s="3"/>
      <c r="K4619" s="3"/>
      <c r="L4619" s="3"/>
    </row>
    <row r="4620" spans="9:12" x14ac:dyDescent="0.25">
      <c r="I4620" s="3"/>
      <c r="J4620" s="3"/>
      <c r="K4620" s="3"/>
      <c r="L4620" s="3"/>
    </row>
    <row r="4621" spans="9:12" x14ac:dyDescent="0.25">
      <c r="I4621" s="3"/>
      <c r="J4621" s="3"/>
      <c r="K4621" s="3"/>
      <c r="L4621" s="3"/>
    </row>
    <row r="4622" spans="9:12" x14ac:dyDescent="0.25">
      <c r="I4622" s="3"/>
      <c r="J4622" s="3"/>
      <c r="K4622" s="3"/>
      <c r="L4622" s="3"/>
    </row>
    <row r="4623" spans="9:12" x14ac:dyDescent="0.25">
      <c r="I4623" s="3"/>
      <c r="J4623" s="3"/>
      <c r="K4623" s="3"/>
      <c r="L4623" s="3"/>
    </row>
    <row r="4624" spans="9:12" x14ac:dyDescent="0.25">
      <c r="I4624" s="3"/>
      <c r="J4624" s="3"/>
      <c r="K4624" s="3"/>
      <c r="L4624" s="3"/>
    </row>
    <row r="4625" spans="9:12" x14ac:dyDescent="0.25">
      <c r="I4625" s="3"/>
      <c r="J4625" s="3"/>
      <c r="K4625" s="3"/>
      <c r="L4625" s="3"/>
    </row>
    <row r="4626" spans="9:12" x14ac:dyDescent="0.25">
      <c r="I4626" s="3"/>
      <c r="J4626" s="3"/>
      <c r="K4626" s="3"/>
      <c r="L4626" s="3"/>
    </row>
    <row r="4627" spans="9:12" x14ac:dyDescent="0.25">
      <c r="I4627" s="3"/>
      <c r="J4627" s="3"/>
      <c r="K4627" s="3"/>
      <c r="L4627" s="3"/>
    </row>
    <row r="4628" spans="9:12" x14ac:dyDescent="0.25">
      <c r="I4628" s="3"/>
      <c r="J4628" s="3"/>
      <c r="K4628" s="3"/>
      <c r="L4628" s="3"/>
    </row>
    <row r="4629" spans="9:12" x14ac:dyDescent="0.25">
      <c r="I4629" s="3"/>
      <c r="J4629" s="3"/>
      <c r="K4629" s="3"/>
      <c r="L4629" s="3"/>
    </row>
    <row r="4630" spans="9:12" x14ac:dyDescent="0.25">
      <c r="I4630" s="3"/>
      <c r="J4630" s="3"/>
      <c r="K4630" s="3"/>
      <c r="L4630" s="3"/>
    </row>
    <row r="4631" spans="9:12" x14ac:dyDescent="0.25">
      <c r="I4631" s="3"/>
      <c r="J4631" s="3"/>
      <c r="K4631" s="3"/>
      <c r="L4631" s="3"/>
    </row>
    <row r="4632" spans="9:12" x14ac:dyDescent="0.25">
      <c r="I4632" s="4"/>
      <c r="J4632" s="4"/>
      <c r="K4632" s="4"/>
      <c r="L4632" s="4"/>
    </row>
    <row r="4633" spans="9:12" x14ac:dyDescent="0.25">
      <c r="I4633" s="3"/>
      <c r="J4633" s="3"/>
      <c r="K4633" s="3"/>
      <c r="L4633" s="3"/>
    </row>
    <row r="4634" spans="9:12" x14ac:dyDescent="0.25">
      <c r="I4634" s="3"/>
      <c r="J4634" s="3"/>
      <c r="K4634" s="3"/>
      <c r="L4634" s="3"/>
    </row>
    <row r="4635" spans="9:12" x14ac:dyDescent="0.25">
      <c r="I4635" s="3"/>
      <c r="J4635" s="3"/>
      <c r="K4635" s="3"/>
      <c r="L4635" s="3"/>
    </row>
    <row r="4636" spans="9:12" x14ac:dyDescent="0.25">
      <c r="I4636" s="3"/>
      <c r="J4636" s="3"/>
      <c r="K4636" s="3"/>
      <c r="L4636" s="3"/>
    </row>
    <row r="4637" spans="9:12" x14ac:dyDescent="0.25">
      <c r="I4637" s="3"/>
      <c r="J4637" s="3"/>
      <c r="K4637" s="3"/>
      <c r="L4637" s="3"/>
    </row>
    <row r="4638" spans="9:12" x14ac:dyDescent="0.25">
      <c r="I4638" s="3"/>
      <c r="J4638" s="3"/>
      <c r="K4638" s="3"/>
      <c r="L4638" s="3"/>
    </row>
    <row r="4639" spans="9:12" x14ac:dyDescent="0.25">
      <c r="I4639" s="3"/>
      <c r="J4639" s="3"/>
      <c r="K4639" s="3"/>
      <c r="L4639" s="3"/>
    </row>
    <row r="4640" spans="9:12" x14ac:dyDescent="0.25">
      <c r="I4640" s="3"/>
      <c r="J4640" s="3"/>
      <c r="K4640" s="3"/>
      <c r="L4640" s="3"/>
    </row>
    <row r="4641" spans="9:12" x14ac:dyDescent="0.25">
      <c r="I4641" s="3"/>
      <c r="J4641" s="3"/>
      <c r="K4641" s="3"/>
      <c r="L4641" s="3"/>
    </row>
    <row r="4642" spans="9:12" x14ac:dyDescent="0.25">
      <c r="I4642" s="3"/>
      <c r="J4642" s="3"/>
      <c r="K4642" s="3"/>
      <c r="L4642" s="3"/>
    </row>
    <row r="4643" spans="9:12" x14ac:dyDescent="0.25">
      <c r="I4643" s="3"/>
      <c r="J4643" s="3"/>
      <c r="K4643" s="3"/>
      <c r="L4643" s="3"/>
    </row>
    <row r="4644" spans="9:12" x14ac:dyDescent="0.25">
      <c r="I4644" s="3"/>
      <c r="J4644" s="3"/>
      <c r="K4644" s="3"/>
      <c r="L4644" s="3"/>
    </row>
    <row r="4645" spans="9:12" x14ac:dyDescent="0.25">
      <c r="I4645" s="3"/>
      <c r="J4645" s="3"/>
      <c r="K4645" s="3"/>
      <c r="L4645" s="3"/>
    </row>
    <row r="4646" spans="9:12" x14ac:dyDescent="0.25">
      <c r="I4646" s="3"/>
      <c r="J4646" s="3"/>
      <c r="K4646" s="3"/>
      <c r="L4646" s="3"/>
    </row>
    <row r="4647" spans="9:12" x14ac:dyDescent="0.25">
      <c r="I4647" s="3"/>
      <c r="J4647" s="3"/>
      <c r="K4647" s="3"/>
      <c r="L4647" s="3"/>
    </row>
    <row r="4648" spans="9:12" x14ac:dyDescent="0.25">
      <c r="I4648" s="3"/>
      <c r="J4648" s="3"/>
      <c r="K4648" s="3"/>
      <c r="L4648" s="3"/>
    </row>
    <row r="4649" spans="9:12" x14ac:dyDescent="0.25">
      <c r="I4649" s="3"/>
      <c r="J4649" s="3"/>
      <c r="K4649" s="3"/>
      <c r="L4649" s="3"/>
    </row>
    <row r="4650" spans="9:12" x14ac:dyDescent="0.25">
      <c r="I4650" s="3"/>
      <c r="J4650" s="3"/>
      <c r="K4650" s="3"/>
      <c r="L4650" s="3"/>
    </row>
    <row r="4651" spans="9:12" x14ac:dyDescent="0.25">
      <c r="I4651" s="3"/>
      <c r="J4651" s="3"/>
      <c r="K4651" s="3"/>
      <c r="L4651" s="3"/>
    </row>
    <row r="4652" spans="9:12" x14ac:dyDescent="0.25">
      <c r="I4652" s="3"/>
      <c r="J4652" s="3"/>
      <c r="K4652" s="3"/>
      <c r="L4652" s="3"/>
    </row>
    <row r="4653" spans="9:12" x14ac:dyDescent="0.25">
      <c r="I4653" s="3"/>
      <c r="J4653" s="3"/>
      <c r="K4653" s="3"/>
      <c r="L4653" s="3"/>
    </row>
    <row r="4654" spans="9:12" x14ac:dyDescent="0.25">
      <c r="I4654" s="3"/>
      <c r="J4654" s="3"/>
      <c r="K4654" s="3"/>
      <c r="L4654" s="3"/>
    </row>
    <row r="4655" spans="9:12" x14ac:dyDescent="0.25">
      <c r="I4655" s="3"/>
      <c r="J4655" s="3"/>
      <c r="K4655" s="3"/>
      <c r="L4655" s="3"/>
    </row>
    <row r="4656" spans="9:12" x14ac:dyDescent="0.25">
      <c r="I4656" s="3"/>
      <c r="J4656" s="3"/>
      <c r="K4656" s="3"/>
      <c r="L4656" s="3"/>
    </row>
    <row r="4657" spans="9:12" x14ac:dyDescent="0.25">
      <c r="I4657" s="3"/>
      <c r="J4657" s="3"/>
      <c r="K4657" s="3"/>
      <c r="L4657" s="3"/>
    </row>
    <row r="4658" spans="9:12" x14ac:dyDescent="0.25">
      <c r="I4658" s="3"/>
      <c r="J4658" s="3"/>
      <c r="K4658" s="3"/>
      <c r="L4658" s="3"/>
    </row>
    <row r="4659" spans="9:12" x14ac:dyDescent="0.25">
      <c r="I4659" s="3"/>
      <c r="J4659" s="3"/>
      <c r="K4659" s="3"/>
      <c r="L4659" s="3"/>
    </row>
    <row r="4660" spans="9:12" x14ac:dyDescent="0.25">
      <c r="I4660" s="3"/>
      <c r="J4660" s="3"/>
      <c r="K4660" s="3"/>
      <c r="L4660" s="3"/>
    </row>
    <row r="4661" spans="9:12" x14ac:dyDescent="0.25">
      <c r="I4661" s="3"/>
      <c r="J4661" s="3"/>
      <c r="K4661" s="3"/>
      <c r="L4661" s="3"/>
    </row>
    <row r="4662" spans="9:12" x14ac:dyDescent="0.25">
      <c r="I4662" s="3"/>
      <c r="J4662" s="3"/>
      <c r="K4662" s="3"/>
      <c r="L4662" s="3"/>
    </row>
    <row r="4663" spans="9:12" x14ac:dyDescent="0.25">
      <c r="I4663" s="3"/>
      <c r="J4663" s="3"/>
      <c r="K4663" s="3"/>
      <c r="L4663" s="3"/>
    </row>
    <row r="4664" spans="9:12" x14ac:dyDescent="0.25">
      <c r="I4664" s="3"/>
      <c r="J4664" s="3"/>
      <c r="K4664" s="3"/>
      <c r="L4664" s="3"/>
    </row>
    <row r="4665" spans="9:12" x14ac:dyDescent="0.25">
      <c r="I4665" s="3"/>
      <c r="J4665" s="3"/>
      <c r="K4665" s="3"/>
      <c r="L4665" s="3"/>
    </row>
    <row r="4666" spans="9:12" x14ac:dyDescent="0.25">
      <c r="I4666" s="3"/>
      <c r="J4666" s="3"/>
      <c r="K4666" s="3"/>
      <c r="L4666" s="3"/>
    </row>
    <row r="4667" spans="9:12" x14ac:dyDescent="0.25">
      <c r="I4667" s="3"/>
      <c r="J4667" s="3"/>
      <c r="K4667" s="3"/>
      <c r="L4667" s="3"/>
    </row>
    <row r="4668" spans="9:12" x14ac:dyDescent="0.25">
      <c r="I4668" s="3"/>
      <c r="J4668" s="3"/>
      <c r="K4668" s="3"/>
      <c r="L4668" s="3"/>
    </row>
    <row r="4669" spans="9:12" x14ac:dyDescent="0.25">
      <c r="I4669" s="3"/>
      <c r="J4669" s="3"/>
      <c r="K4669" s="3"/>
      <c r="L4669" s="3"/>
    </row>
    <row r="4670" spans="9:12" x14ac:dyDescent="0.25">
      <c r="I4670" s="3"/>
      <c r="J4670" s="3"/>
      <c r="K4670" s="3"/>
      <c r="L4670" s="3"/>
    </row>
    <row r="4671" spans="9:12" x14ac:dyDescent="0.25">
      <c r="I4671" s="3"/>
      <c r="J4671" s="3"/>
      <c r="K4671" s="3"/>
      <c r="L4671" s="3"/>
    </row>
    <row r="4672" spans="9:12" x14ac:dyDescent="0.25">
      <c r="I4672" s="3"/>
      <c r="J4672" s="3"/>
      <c r="K4672" s="3"/>
      <c r="L4672" s="3"/>
    </row>
    <row r="4673" spans="9:12" x14ac:dyDescent="0.25">
      <c r="I4673" s="3"/>
      <c r="J4673" s="3"/>
      <c r="K4673" s="3"/>
      <c r="L4673" s="3"/>
    </row>
    <row r="4674" spans="9:12" x14ac:dyDescent="0.25">
      <c r="I4674" s="3"/>
      <c r="J4674" s="3"/>
      <c r="K4674" s="3"/>
      <c r="L4674" s="3"/>
    </row>
    <row r="4675" spans="9:12" x14ac:dyDescent="0.25">
      <c r="I4675" s="3"/>
      <c r="J4675" s="3"/>
      <c r="K4675" s="3"/>
      <c r="L4675" s="3"/>
    </row>
    <row r="4676" spans="9:12" x14ac:dyDescent="0.25">
      <c r="I4676" s="3"/>
      <c r="J4676" s="3"/>
      <c r="K4676" s="3"/>
      <c r="L4676" s="3"/>
    </row>
    <row r="4677" spans="9:12" x14ac:dyDescent="0.25">
      <c r="I4677" s="3"/>
      <c r="J4677" s="3"/>
      <c r="K4677" s="3"/>
      <c r="L4677" s="3"/>
    </row>
    <row r="4678" spans="9:12" x14ac:dyDescent="0.25">
      <c r="I4678" s="3"/>
      <c r="J4678" s="3"/>
      <c r="K4678" s="3"/>
      <c r="L4678" s="3"/>
    </row>
    <row r="4679" spans="9:12" x14ac:dyDescent="0.25">
      <c r="I4679" s="3"/>
      <c r="J4679" s="3"/>
      <c r="K4679" s="3"/>
      <c r="L4679" s="3"/>
    </row>
    <row r="4680" spans="9:12" x14ac:dyDescent="0.25">
      <c r="I4680" s="3"/>
      <c r="J4680" s="3"/>
      <c r="K4680" s="3"/>
      <c r="L4680" s="3"/>
    </row>
    <row r="4681" spans="9:12" x14ac:dyDescent="0.25">
      <c r="I4681" s="3"/>
      <c r="J4681" s="3"/>
      <c r="K4681" s="3"/>
      <c r="L4681" s="3"/>
    </row>
    <row r="4682" spans="9:12" x14ac:dyDescent="0.25">
      <c r="I4682" s="3"/>
      <c r="J4682" s="3"/>
      <c r="K4682" s="3"/>
      <c r="L4682" s="3"/>
    </row>
    <row r="4683" spans="9:12" x14ac:dyDescent="0.25">
      <c r="I4683" s="3"/>
      <c r="J4683" s="3"/>
      <c r="K4683" s="3"/>
      <c r="L4683" s="3"/>
    </row>
    <row r="4684" spans="9:12" x14ac:dyDescent="0.25">
      <c r="I4684" s="3"/>
      <c r="J4684" s="3"/>
      <c r="K4684" s="3"/>
      <c r="L4684" s="3"/>
    </row>
    <row r="4685" spans="9:12" x14ac:dyDescent="0.25">
      <c r="I4685" s="3"/>
      <c r="J4685" s="3"/>
      <c r="K4685" s="3"/>
      <c r="L4685" s="3"/>
    </row>
    <row r="4686" spans="9:12" x14ac:dyDescent="0.25">
      <c r="I4686" s="3"/>
      <c r="J4686" s="3"/>
      <c r="K4686" s="3"/>
      <c r="L4686" s="3"/>
    </row>
    <row r="4687" spans="9:12" x14ac:dyDescent="0.25">
      <c r="I4687" s="3"/>
      <c r="J4687" s="3"/>
      <c r="K4687" s="3"/>
      <c r="L4687" s="3"/>
    </row>
    <row r="4688" spans="9:12" x14ac:dyDescent="0.25">
      <c r="I4688" s="3"/>
      <c r="J4688" s="3"/>
      <c r="K4688" s="3"/>
      <c r="L4688" s="3"/>
    </row>
    <row r="4689" spans="9:12" x14ac:dyDescent="0.25">
      <c r="I4689" s="3"/>
      <c r="J4689" s="3"/>
      <c r="K4689" s="3"/>
      <c r="L4689" s="3"/>
    </row>
    <row r="4690" spans="9:12" x14ac:dyDescent="0.25">
      <c r="I4690" s="3"/>
      <c r="J4690" s="3"/>
      <c r="K4690" s="3"/>
      <c r="L4690" s="3"/>
    </row>
    <row r="4691" spans="9:12" x14ac:dyDescent="0.25">
      <c r="I4691" s="3"/>
      <c r="J4691" s="3"/>
      <c r="K4691" s="3"/>
      <c r="L4691" s="3"/>
    </row>
    <row r="4692" spans="9:12" x14ac:dyDescent="0.25">
      <c r="I4692" s="3"/>
      <c r="J4692" s="3"/>
      <c r="K4692" s="3"/>
      <c r="L4692" s="3"/>
    </row>
    <row r="4693" spans="9:12" x14ac:dyDescent="0.25">
      <c r="I4693" s="3"/>
      <c r="J4693" s="3"/>
      <c r="K4693" s="3"/>
      <c r="L4693" s="3"/>
    </row>
    <row r="4694" spans="9:12" x14ac:dyDescent="0.25">
      <c r="I4694" s="3"/>
      <c r="J4694" s="3"/>
      <c r="K4694" s="3"/>
      <c r="L4694" s="3"/>
    </row>
    <row r="4695" spans="9:12" x14ac:dyDescent="0.25">
      <c r="I4695" s="3"/>
      <c r="J4695" s="3"/>
      <c r="K4695" s="3"/>
      <c r="L4695" s="3"/>
    </row>
    <row r="4696" spans="9:12" x14ac:dyDescent="0.25">
      <c r="I4696" s="3"/>
      <c r="J4696" s="3"/>
      <c r="K4696" s="3"/>
      <c r="L4696" s="3"/>
    </row>
    <row r="4697" spans="9:12" x14ac:dyDescent="0.25">
      <c r="I4697" s="3"/>
      <c r="J4697" s="3"/>
      <c r="K4697" s="3"/>
      <c r="L4697" s="3"/>
    </row>
    <row r="4698" spans="9:12" x14ac:dyDescent="0.25">
      <c r="I4698" s="3"/>
      <c r="J4698" s="3"/>
      <c r="K4698" s="3"/>
      <c r="L4698" s="3"/>
    </row>
    <row r="4699" spans="9:12" x14ac:dyDescent="0.25">
      <c r="I4699" s="3"/>
      <c r="J4699" s="3"/>
      <c r="K4699" s="3"/>
      <c r="L4699" s="3"/>
    </row>
    <row r="4700" spans="9:12" x14ac:dyDescent="0.25">
      <c r="I4700" s="3"/>
      <c r="J4700" s="3"/>
      <c r="K4700" s="3"/>
      <c r="L4700" s="3"/>
    </row>
    <row r="4701" spans="9:12" x14ac:dyDescent="0.25">
      <c r="I4701" s="3"/>
      <c r="J4701" s="3"/>
      <c r="K4701" s="3"/>
      <c r="L4701" s="3"/>
    </row>
    <row r="4702" spans="9:12" x14ac:dyDescent="0.25">
      <c r="I4702" s="3"/>
      <c r="J4702" s="3"/>
      <c r="K4702" s="3"/>
      <c r="L4702" s="3"/>
    </row>
    <row r="4703" spans="9:12" x14ac:dyDescent="0.25">
      <c r="I4703" s="3"/>
      <c r="J4703" s="3"/>
      <c r="K4703" s="3"/>
      <c r="L4703" s="3"/>
    </row>
    <row r="4704" spans="9:12" x14ac:dyDescent="0.25">
      <c r="I4704" s="3"/>
      <c r="J4704" s="3"/>
      <c r="K4704" s="3"/>
      <c r="L4704" s="3"/>
    </row>
    <row r="4705" spans="9:12" x14ac:dyDescent="0.25">
      <c r="I4705" s="3"/>
      <c r="J4705" s="3"/>
      <c r="K4705" s="3"/>
      <c r="L4705" s="3"/>
    </row>
    <row r="4706" spans="9:12" x14ac:dyDescent="0.25">
      <c r="I4706" s="3"/>
      <c r="J4706" s="3"/>
      <c r="K4706" s="3"/>
      <c r="L4706" s="3"/>
    </row>
    <row r="4707" spans="9:12" x14ac:dyDescent="0.25">
      <c r="I4707" s="3"/>
      <c r="J4707" s="3"/>
      <c r="K4707" s="3"/>
      <c r="L4707" s="3"/>
    </row>
    <row r="4708" spans="9:12" x14ac:dyDescent="0.25">
      <c r="I4708" s="3"/>
      <c r="J4708" s="3"/>
      <c r="K4708" s="3"/>
      <c r="L4708" s="3"/>
    </row>
    <row r="4709" spans="9:12" x14ac:dyDescent="0.25">
      <c r="I4709" s="3"/>
      <c r="J4709" s="3"/>
      <c r="K4709" s="3"/>
      <c r="L4709" s="3"/>
    </row>
    <row r="4710" spans="9:12" x14ac:dyDescent="0.25">
      <c r="I4710" s="3"/>
      <c r="J4710" s="3"/>
      <c r="K4710" s="3"/>
      <c r="L4710" s="3"/>
    </row>
    <row r="4711" spans="9:12" x14ac:dyDescent="0.25">
      <c r="I4711" s="3"/>
      <c r="J4711" s="3"/>
      <c r="K4711" s="3"/>
      <c r="L4711" s="3"/>
    </row>
    <row r="4712" spans="9:12" x14ac:dyDescent="0.25">
      <c r="I4712" s="3"/>
      <c r="J4712" s="3"/>
      <c r="K4712" s="3"/>
      <c r="L4712" s="3"/>
    </row>
    <row r="4713" spans="9:12" x14ac:dyDescent="0.25">
      <c r="I4713" s="3"/>
      <c r="J4713" s="3"/>
      <c r="K4713" s="3"/>
      <c r="L4713" s="3"/>
    </row>
    <row r="4714" spans="9:12" x14ac:dyDescent="0.25">
      <c r="I4714" s="3"/>
      <c r="J4714" s="3"/>
      <c r="K4714" s="3"/>
      <c r="L4714" s="3"/>
    </row>
    <row r="4715" spans="9:12" x14ac:dyDescent="0.25">
      <c r="I4715" s="3"/>
      <c r="J4715" s="3"/>
      <c r="K4715" s="3"/>
      <c r="L4715" s="3"/>
    </row>
    <row r="4716" spans="9:12" x14ac:dyDescent="0.25">
      <c r="I4716" s="3"/>
      <c r="J4716" s="3"/>
      <c r="K4716" s="3"/>
      <c r="L4716" s="3"/>
    </row>
    <row r="4717" spans="9:12" x14ac:dyDescent="0.25">
      <c r="I4717" s="3"/>
      <c r="J4717" s="3"/>
      <c r="K4717" s="3"/>
      <c r="L4717" s="3"/>
    </row>
    <row r="4718" spans="9:12" x14ac:dyDescent="0.25">
      <c r="I4718" s="3"/>
      <c r="J4718" s="3"/>
      <c r="K4718" s="3"/>
      <c r="L4718" s="3"/>
    </row>
    <row r="4719" spans="9:12" x14ac:dyDescent="0.25">
      <c r="I4719" s="3"/>
      <c r="J4719" s="3"/>
      <c r="K4719" s="3"/>
      <c r="L4719" s="3"/>
    </row>
    <row r="4720" spans="9:12" x14ac:dyDescent="0.25">
      <c r="I4720" s="3"/>
      <c r="J4720" s="3"/>
      <c r="K4720" s="3"/>
      <c r="L4720" s="3"/>
    </row>
    <row r="4721" spans="9:12" x14ac:dyDescent="0.25">
      <c r="I4721" s="3"/>
      <c r="J4721" s="3"/>
      <c r="K4721" s="3"/>
      <c r="L4721" s="3"/>
    </row>
    <row r="4722" spans="9:12" x14ac:dyDescent="0.25">
      <c r="I4722" s="3"/>
      <c r="J4722" s="3"/>
      <c r="K4722" s="3"/>
      <c r="L4722" s="3"/>
    </row>
    <row r="4723" spans="9:12" x14ac:dyDescent="0.25">
      <c r="I4723" s="3"/>
      <c r="J4723" s="3"/>
      <c r="K4723" s="3"/>
      <c r="L4723" s="3"/>
    </row>
    <row r="4724" spans="9:12" x14ac:dyDescent="0.25">
      <c r="I4724" s="3"/>
      <c r="J4724" s="3"/>
      <c r="K4724" s="3"/>
      <c r="L4724" s="3"/>
    </row>
    <row r="4725" spans="9:12" x14ac:dyDescent="0.25">
      <c r="I4725" s="3"/>
      <c r="J4725" s="3"/>
      <c r="K4725" s="3"/>
      <c r="L4725" s="3"/>
    </row>
    <row r="4726" spans="9:12" x14ac:dyDescent="0.25">
      <c r="I4726" s="3"/>
      <c r="J4726" s="3"/>
      <c r="K4726" s="3"/>
      <c r="L4726" s="3"/>
    </row>
    <row r="4727" spans="9:12" x14ac:dyDescent="0.25">
      <c r="I4727" s="3"/>
      <c r="J4727" s="3"/>
      <c r="K4727" s="3"/>
      <c r="L4727" s="3"/>
    </row>
    <row r="4728" spans="9:12" x14ac:dyDescent="0.25">
      <c r="I4728" s="3"/>
      <c r="J4728" s="3"/>
      <c r="K4728" s="3"/>
      <c r="L4728" s="3"/>
    </row>
    <row r="4729" spans="9:12" x14ac:dyDescent="0.25">
      <c r="I4729" s="3"/>
      <c r="J4729" s="3"/>
      <c r="K4729" s="3"/>
      <c r="L4729" s="3"/>
    </row>
    <row r="4730" spans="9:12" x14ac:dyDescent="0.25">
      <c r="I4730" s="3"/>
      <c r="J4730" s="3"/>
      <c r="K4730" s="3"/>
      <c r="L4730" s="3"/>
    </row>
    <row r="4731" spans="9:12" x14ac:dyDescent="0.25">
      <c r="I4731" s="3"/>
      <c r="J4731" s="3"/>
      <c r="K4731" s="3"/>
      <c r="L4731" s="3"/>
    </row>
    <row r="4732" spans="9:12" x14ac:dyDescent="0.25">
      <c r="I4732" s="3"/>
      <c r="J4732" s="3"/>
      <c r="K4732" s="3"/>
      <c r="L4732" s="3"/>
    </row>
    <row r="4733" spans="9:12" x14ac:dyDescent="0.25">
      <c r="I4733" s="3"/>
      <c r="J4733" s="3"/>
      <c r="K4733" s="3"/>
      <c r="L4733" s="3"/>
    </row>
    <row r="4734" spans="9:12" x14ac:dyDescent="0.25">
      <c r="I4734" s="3"/>
      <c r="J4734" s="3"/>
      <c r="K4734" s="3"/>
      <c r="L4734" s="3"/>
    </row>
    <row r="4735" spans="9:12" x14ac:dyDescent="0.25">
      <c r="I4735" s="3"/>
      <c r="J4735" s="3"/>
      <c r="K4735" s="3"/>
      <c r="L4735" s="3"/>
    </row>
    <row r="4736" spans="9:12" x14ac:dyDescent="0.25">
      <c r="I4736" s="3"/>
      <c r="J4736" s="3"/>
      <c r="K4736" s="3"/>
      <c r="L4736" s="3"/>
    </row>
    <row r="4737" spans="9:12" x14ac:dyDescent="0.25">
      <c r="I4737" s="3"/>
      <c r="J4737" s="3"/>
      <c r="K4737" s="3"/>
      <c r="L4737" s="3"/>
    </row>
    <row r="4738" spans="9:12" x14ac:dyDescent="0.25">
      <c r="I4738" s="3"/>
      <c r="J4738" s="3"/>
      <c r="K4738" s="3"/>
      <c r="L4738" s="3"/>
    </row>
    <row r="4739" spans="9:12" x14ac:dyDescent="0.25">
      <c r="I4739" s="3"/>
      <c r="J4739" s="3"/>
      <c r="K4739" s="3"/>
      <c r="L4739" s="3"/>
    </row>
    <row r="4740" spans="9:12" x14ac:dyDescent="0.25">
      <c r="I4740" s="3"/>
      <c r="J4740" s="3"/>
      <c r="K4740" s="3"/>
      <c r="L4740" s="3"/>
    </row>
    <row r="4741" spans="9:12" x14ac:dyDescent="0.25">
      <c r="I4741" s="3"/>
      <c r="J4741" s="3"/>
      <c r="K4741" s="3"/>
      <c r="L4741" s="3"/>
    </row>
    <row r="4742" spans="9:12" x14ac:dyDescent="0.25">
      <c r="I4742" s="3"/>
      <c r="J4742" s="3"/>
      <c r="K4742" s="3"/>
      <c r="L4742" s="3"/>
    </row>
    <row r="4743" spans="9:12" x14ac:dyDescent="0.25">
      <c r="I4743" s="3"/>
      <c r="J4743" s="3"/>
      <c r="K4743" s="3"/>
      <c r="L4743" s="3"/>
    </row>
    <row r="4744" spans="9:12" x14ac:dyDescent="0.25">
      <c r="I4744" s="3"/>
      <c r="J4744" s="3"/>
      <c r="K4744" s="3"/>
      <c r="L4744" s="3"/>
    </row>
    <row r="4745" spans="9:12" x14ac:dyDescent="0.25">
      <c r="I4745" s="3"/>
      <c r="J4745" s="3"/>
      <c r="K4745" s="3"/>
      <c r="L4745" s="3"/>
    </row>
    <row r="4746" spans="9:12" x14ac:dyDescent="0.25">
      <c r="I4746" s="3"/>
      <c r="J4746" s="3"/>
      <c r="K4746" s="3"/>
      <c r="L4746" s="3"/>
    </row>
    <row r="4747" spans="9:12" x14ac:dyDescent="0.25">
      <c r="I4747" s="3"/>
      <c r="J4747" s="3"/>
      <c r="K4747" s="3"/>
      <c r="L4747" s="3"/>
    </row>
    <row r="4748" spans="9:12" x14ac:dyDescent="0.25">
      <c r="I4748" s="3"/>
      <c r="J4748" s="3"/>
      <c r="K4748" s="3"/>
      <c r="L4748" s="3"/>
    </row>
    <row r="4749" spans="9:12" x14ac:dyDescent="0.25">
      <c r="I4749" s="3"/>
      <c r="J4749" s="3"/>
      <c r="K4749" s="3"/>
      <c r="L4749" s="3"/>
    </row>
    <row r="4750" spans="9:12" x14ac:dyDescent="0.25">
      <c r="I4750" s="4"/>
      <c r="J4750" s="4"/>
      <c r="K4750" s="4"/>
      <c r="L4750" s="4"/>
    </row>
    <row r="4751" spans="9:12" x14ac:dyDescent="0.25">
      <c r="I4751" s="4"/>
      <c r="J4751" s="4"/>
      <c r="K4751" s="4"/>
      <c r="L4751" s="4"/>
    </row>
    <row r="4752" spans="9:12" x14ac:dyDescent="0.25">
      <c r="I4752" s="4"/>
      <c r="J4752" s="4"/>
      <c r="K4752" s="4"/>
      <c r="L4752" s="4"/>
    </row>
    <row r="4753" spans="9:12" x14ac:dyDescent="0.25">
      <c r="I4753" s="4"/>
      <c r="J4753" s="4"/>
      <c r="K4753" s="4"/>
      <c r="L4753" s="4"/>
    </row>
    <row r="4754" spans="9:12" x14ac:dyDescent="0.25">
      <c r="I4754" s="3"/>
      <c r="J4754" s="3"/>
      <c r="K4754" s="3"/>
      <c r="L4754" s="3"/>
    </row>
    <row r="4755" spans="9:12" x14ac:dyDescent="0.25">
      <c r="I4755" s="3"/>
      <c r="J4755" s="3"/>
      <c r="K4755" s="3"/>
      <c r="L4755" s="3"/>
    </row>
    <row r="4756" spans="9:12" x14ac:dyDescent="0.25">
      <c r="I4756" s="3"/>
      <c r="J4756" s="3"/>
      <c r="K4756" s="3"/>
      <c r="L4756" s="3"/>
    </row>
    <row r="4757" spans="9:12" x14ac:dyDescent="0.25">
      <c r="I4757" s="3"/>
      <c r="J4757" s="3"/>
      <c r="K4757" s="3"/>
      <c r="L4757" s="3"/>
    </row>
    <row r="4758" spans="9:12" x14ac:dyDescent="0.25">
      <c r="I4758" s="3"/>
      <c r="J4758" s="3"/>
      <c r="K4758" s="3"/>
      <c r="L4758" s="3"/>
    </row>
    <row r="4759" spans="9:12" x14ac:dyDescent="0.25">
      <c r="I4759" s="3"/>
      <c r="J4759" s="3"/>
      <c r="K4759" s="3"/>
      <c r="L4759" s="3"/>
    </row>
    <row r="4760" spans="9:12" x14ac:dyDescent="0.25">
      <c r="I4760" s="3"/>
      <c r="J4760" s="3"/>
      <c r="K4760" s="3"/>
      <c r="L4760" s="3"/>
    </row>
    <row r="4761" spans="9:12" x14ac:dyDescent="0.25">
      <c r="I4761" s="3"/>
      <c r="J4761" s="3"/>
      <c r="K4761" s="3"/>
      <c r="L4761" s="3"/>
    </row>
    <row r="4762" spans="9:12" x14ac:dyDescent="0.25">
      <c r="I4762" s="3"/>
      <c r="J4762" s="3"/>
      <c r="K4762" s="3"/>
      <c r="L4762" s="3"/>
    </row>
    <row r="4763" spans="9:12" x14ac:dyDescent="0.25">
      <c r="I4763" s="3"/>
      <c r="J4763" s="3"/>
      <c r="K4763" s="3"/>
      <c r="L4763" s="3"/>
    </row>
    <row r="4764" spans="9:12" x14ac:dyDescent="0.25">
      <c r="I4764" s="3"/>
      <c r="J4764" s="3"/>
      <c r="K4764" s="3"/>
      <c r="L4764" s="3"/>
    </row>
    <row r="4765" spans="9:12" x14ac:dyDescent="0.25">
      <c r="I4765" s="3"/>
      <c r="J4765" s="3"/>
      <c r="K4765" s="3"/>
      <c r="L4765" s="3"/>
    </row>
    <row r="4766" spans="9:12" x14ac:dyDescent="0.25">
      <c r="I4766" s="3"/>
      <c r="J4766" s="3"/>
      <c r="K4766" s="3"/>
      <c r="L4766" s="3"/>
    </row>
    <row r="4767" spans="9:12" x14ac:dyDescent="0.25">
      <c r="I4767" s="3"/>
      <c r="J4767" s="3"/>
      <c r="K4767" s="3"/>
      <c r="L4767" s="3"/>
    </row>
    <row r="4768" spans="9:12" x14ac:dyDescent="0.25">
      <c r="I4768" s="3"/>
      <c r="J4768" s="3"/>
      <c r="K4768" s="3"/>
      <c r="L4768" s="3"/>
    </row>
    <row r="4769" spans="9:12" x14ac:dyDescent="0.25">
      <c r="I4769" s="3"/>
      <c r="J4769" s="3"/>
      <c r="K4769" s="3"/>
      <c r="L4769" s="3"/>
    </row>
    <row r="4770" spans="9:12" x14ac:dyDescent="0.25">
      <c r="I4770" s="3"/>
      <c r="J4770" s="3"/>
      <c r="K4770" s="3"/>
      <c r="L4770" s="3"/>
    </row>
    <row r="4771" spans="9:12" x14ac:dyDescent="0.25">
      <c r="I4771" s="3"/>
      <c r="J4771" s="3"/>
      <c r="K4771" s="3"/>
      <c r="L4771" s="3"/>
    </row>
    <row r="4772" spans="9:12" x14ac:dyDescent="0.25">
      <c r="I4772" s="3"/>
      <c r="J4772" s="3"/>
      <c r="K4772" s="3"/>
      <c r="L4772" s="3"/>
    </row>
    <row r="4773" spans="9:12" x14ac:dyDescent="0.25">
      <c r="I4773" s="3"/>
      <c r="J4773" s="3"/>
      <c r="K4773" s="3"/>
      <c r="L4773" s="3"/>
    </row>
    <row r="4774" spans="9:12" x14ac:dyDescent="0.25">
      <c r="I4774" s="3"/>
      <c r="J4774" s="3"/>
      <c r="K4774" s="3"/>
      <c r="L4774" s="3"/>
    </row>
    <row r="4775" spans="9:12" x14ac:dyDescent="0.25">
      <c r="I4775" s="3"/>
      <c r="J4775" s="3"/>
      <c r="K4775" s="3"/>
      <c r="L4775" s="3"/>
    </row>
    <row r="4776" spans="9:12" x14ac:dyDescent="0.25">
      <c r="I4776" s="3"/>
      <c r="J4776" s="3"/>
      <c r="K4776" s="3"/>
      <c r="L4776" s="3"/>
    </row>
    <row r="4777" spans="9:12" x14ac:dyDescent="0.25">
      <c r="I4777" s="3"/>
      <c r="J4777" s="3"/>
      <c r="K4777" s="3"/>
      <c r="L4777" s="3"/>
    </row>
    <row r="4778" spans="9:12" x14ac:dyDescent="0.25">
      <c r="I4778" s="3"/>
      <c r="J4778" s="3"/>
      <c r="K4778" s="3"/>
      <c r="L4778" s="3"/>
    </row>
    <row r="4779" spans="9:12" x14ac:dyDescent="0.25">
      <c r="I4779" s="3"/>
      <c r="J4779" s="3"/>
      <c r="K4779" s="3"/>
      <c r="L4779" s="3"/>
    </row>
    <row r="4780" spans="9:12" x14ac:dyDescent="0.25">
      <c r="I4780" s="3"/>
      <c r="J4780" s="3"/>
      <c r="K4780" s="3"/>
      <c r="L4780" s="3"/>
    </row>
    <row r="4781" spans="9:12" x14ac:dyDescent="0.25">
      <c r="I4781" s="3"/>
      <c r="J4781" s="3"/>
      <c r="K4781" s="3"/>
      <c r="L4781" s="3"/>
    </row>
    <row r="4782" spans="9:12" x14ac:dyDescent="0.25">
      <c r="I4782" s="3"/>
      <c r="J4782" s="3"/>
      <c r="K4782" s="3"/>
      <c r="L4782" s="3"/>
    </row>
    <row r="4783" spans="9:12" x14ac:dyDescent="0.25">
      <c r="I4783" s="3"/>
      <c r="J4783" s="3"/>
      <c r="K4783" s="3"/>
      <c r="L4783" s="3"/>
    </row>
    <row r="4784" spans="9:12" x14ac:dyDescent="0.25">
      <c r="I4784" s="3"/>
      <c r="J4784" s="3"/>
      <c r="K4784" s="3"/>
      <c r="L4784" s="3"/>
    </row>
    <row r="4785" spans="9:12" x14ac:dyDescent="0.25">
      <c r="I4785" s="3"/>
      <c r="J4785" s="3"/>
      <c r="K4785" s="3"/>
      <c r="L4785" s="3"/>
    </row>
    <row r="4786" spans="9:12" x14ac:dyDescent="0.25">
      <c r="I4786" s="3"/>
      <c r="J4786" s="3"/>
      <c r="K4786" s="3"/>
      <c r="L4786" s="3"/>
    </row>
    <row r="4787" spans="9:12" x14ac:dyDescent="0.25">
      <c r="I4787" s="3"/>
      <c r="J4787" s="3"/>
      <c r="K4787" s="3"/>
      <c r="L4787" s="3"/>
    </row>
    <row r="4788" spans="9:12" x14ac:dyDescent="0.25">
      <c r="I4788" s="3"/>
      <c r="J4788" s="3"/>
      <c r="K4788" s="3"/>
      <c r="L4788" s="3"/>
    </row>
    <row r="4789" spans="9:12" x14ac:dyDescent="0.25">
      <c r="I4789" s="3"/>
      <c r="J4789" s="3"/>
      <c r="K4789" s="3"/>
      <c r="L4789" s="3"/>
    </row>
    <row r="4790" spans="9:12" x14ac:dyDescent="0.25">
      <c r="I4790" s="3"/>
      <c r="J4790" s="3"/>
      <c r="K4790" s="3"/>
      <c r="L4790" s="3"/>
    </row>
    <row r="4791" spans="9:12" x14ac:dyDescent="0.25">
      <c r="I4791" s="3"/>
      <c r="J4791" s="3"/>
      <c r="K4791" s="3"/>
      <c r="L4791" s="3"/>
    </row>
    <row r="4792" spans="9:12" x14ac:dyDescent="0.25">
      <c r="I4792" s="3"/>
      <c r="J4792" s="3"/>
      <c r="K4792" s="3"/>
      <c r="L4792" s="3"/>
    </row>
    <row r="4793" spans="9:12" x14ac:dyDescent="0.25">
      <c r="I4793" s="3"/>
      <c r="J4793" s="3"/>
      <c r="K4793" s="3"/>
      <c r="L4793" s="3"/>
    </row>
    <row r="4794" spans="9:12" x14ac:dyDescent="0.25">
      <c r="I4794" s="3"/>
      <c r="J4794" s="3"/>
      <c r="K4794" s="3"/>
      <c r="L4794" s="3"/>
    </row>
    <row r="4795" spans="9:12" x14ac:dyDescent="0.25">
      <c r="I4795" s="3"/>
      <c r="J4795" s="3"/>
      <c r="K4795" s="3"/>
      <c r="L4795" s="3"/>
    </row>
    <row r="4796" spans="9:12" x14ac:dyDescent="0.25">
      <c r="I4796" s="3"/>
      <c r="J4796" s="3"/>
      <c r="K4796" s="3"/>
      <c r="L4796" s="3"/>
    </row>
    <row r="4797" spans="9:12" x14ac:dyDescent="0.25">
      <c r="I4797" s="3"/>
      <c r="J4797" s="3"/>
      <c r="K4797" s="3"/>
      <c r="L4797" s="3"/>
    </row>
    <row r="4798" spans="9:12" x14ac:dyDescent="0.25">
      <c r="I4798" s="3"/>
      <c r="J4798" s="3"/>
      <c r="K4798" s="3"/>
      <c r="L4798" s="3"/>
    </row>
    <row r="4799" spans="9:12" x14ac:dyDescent="0.25">
      <c r="I4799" s="3"/>
      <c r="J4799" s="3"/>
      <c r="K4799" s="3"/>
      <c r="L4799" s="3"/>
    </row>
    <row r="4800" spans="9:12" x14ac:dyDescent="0.25">
      <c r="I4800" s="3"/>
      <c r="J4800" s="3"/>
      <c r="K4800" s="3"/>
      <c r="L4800" s="3"/>
    </row>
    <row r="4801" spans="9:12" x14ac:dyDescent="0.25">
      <c r="I4801" s="3"/>
      <c r="J4801" s="3"/>
      <c r="K4801" s="3"/>
      <c r="L4801" s="3"/>
    </row>
    <row r="4802" spans="9:12" x14ac:dyDescent="0.25">
      <c r="I4802" s="3"/>
      <c r="J4802" s="3"/>
      <c r="K4802" s="3"/>
      <c r="L4802" s="3"/>
    </row>
    <row r="4803" spans="9:12" x14ac:dyDescent="0.25">
      <c r="I4803" s="3"/>
      <c r="J4803" s="3"/>
      <c r="K4803" s="3"/>
      <c r="L4803" s="3"/>
    </row>
    <row r="4804" spans="9:12" x14ac:dyDescent="0.25">
      <c r="I4804" s="3"/>
      <c r="J4804" s="3"/>
      <c r="K4804" s="3"/>
      <c r="L4804" s="3"/>
    </row>
    <row r="4805" spans="9:12" x14ac:dyDescent="0.25">
      <c r="I4805" s="3"/>
      <c r="J4805" s="3"/>
      <c r="K4805" s="3"/>
      <c r="L4805" s="3"/>
    </row>
    <row r="4806" spans="9:12" x14ac:dyDescent="0.25">
      <c r="I4806" s="3"/>
      <c r="J4806" s="3"/>
      <c r="K4806" s="3"/>
      <c r="L4806" s="3"/>
    </row>
    <row r="4807" spans="9:12" x14ac:dyDescent="0.25">
      <c r="I4807" s="3"/>
      <c r="J4807" s="3"/>
      <c r="K4807" s="3"/>
      <c r="L4807" s="3"/>
    </row>
    <row r="4808" spans="9:12" x14ac:dyDescent="0.25">
      <c r="I4808" s="3"/>
      <c r="J4808" s="3"/>
      <c r="K4808" s="3"/>
      <c r="L4808" s="3"/>
    </row>
    <row r="4809" spans="9:12" x14ac:dyDescent="0.25">
      <c r="I4809" s="3"/>
      <c r="J4809" s="3"/>
      <c r="K4809" s="3"/>
      <c r="L4809" s="3"/>
    </row>
    <row r="4810" spans="9:12" x14ac:dyDescent="0.25">
      <c r="I4810" s="3"/>
      <c r="J4810" s="3"/>
      <c r="K4810" s="3"/>
      <c r="L4810" s="3"/>
    </row>
    <row r="4811" spans="9:12" x14ac:dyDescent="0.25">
      <c r="I4811" s="3"/>
      <c r="J4811" s="3"/>
      <c r="K4811" s="3"/>
      <c r="L4811" s="3"/>
    </row>
    <row r="4812" spans="9:12" x14ac:dyDescent="0.25">
      <c r="I4812" s="3"/>
      <c r="J4812" s="3"/>
      <c r="K4812" s="3"/>
      <c r="L4812" s="3"/>
    </row>
    <row r="4813" spans="9:12" x14ac:dyDescent="0.25">
      <c r="I4813" s="3"/>
      <c r="J4813" s="3"/>
      <c r="K4813" s="3"/>
      <c r="L4813" s="3"/>
    </row>
    <row r="4814" spans="9:12" x14ac:dyDescent="0.25">
      <c r="I4814" s="3"/>
      <c r="J4814" s="3"/>
      <c r="K4814" s="3"/>
      <c r="L4814" s="3"/>
    </row>
    <row r="4815" spans="9:12" x14ac:dyDescent="0.25">
      <c r="I4815" s="3"/>
      <c r="J4815" s="3"/>
      <c r="K4815" s="3"/>
      <c r="L4815" s="3"/>
    </row>
    <row r="4816" spans="9:12" x14ac:dyDescent="0.25">
      <c r="I4816" s="3"/>
      <c r="J4816" s="3"/>
      <c r="K4816" s="3"/>
      <c r="L4816" s="3"/>
    </row>
    <row r="4817" spans="9:12" x14ac:dyDescent="0.25">
      <c r="I4817" s="3"/>
      <c r="J4817" s="3"/>
      <c r="K4817" s="3"/>
      <c r="L4817" s="3"/>
    </row>
    <row r="4818" spans="9:12" x14ac:dyDescent="0.25">
      <c r="I4818" s="3"/>
      <c r="J4818" s="3"/>
      <c r="K4818" s="3"/>
      <c r="L4818" s="3"/>
    </row>
    <row r="4819" spans="9:12" x14ac:dyDescent="0.25">
      <c r="I4819" s="3"/>
      <c r="J4819" s="3"/>
      <c r="K4819" s="3"/>
      <c r="L4819" s="3"/>
    </row>
    <row r="4820" spans="9:12" x14ac:dyDescent="0.25">
      <c r="I4820" s="3"/>
      <c r="J4820" s="3"/>
      <c r="K4820" s="3"/>
      <c r="L4820" s="3"/>
    </row>
    <row r="4821" spans="9:12" x14ac:dyDescent="0.25">
      <c r="I4821" s="3"/>
      <c r="J4821" s="3"/>
      <c r="K4821" s="3"/>
      <c r="L4821" s="3"/>
    </row>
    <row r="4822" spans="9:12" x14ac:dyDescent="0.25">
      <c r="I4822" s="3"/>
      <c r="J4822" s="3"/>
      <c r="K4822" s="3"/>
      <c r="L4822" s="3"/>
    </row>
    <row r="4823" spans="9:12" x14ac:dyDescent="0.25">
      <c r="I4823" s="3"/>
      <c r="J4823" s="3"/>
      <c r="K4823" s="3"/>
      <c r="L4823" s="3"/>
    </row>
    <row r="4824" spans="9:12" x14ac:dyDescent="0.25">
      <c r="I4824" s="3"/>
      <c r="J4824" s="3"/>
      <c r="K4824" s="3"/>
      <c r="L4824" s="3"/>
    </row>
    <row r="4825" spans="9:12" x14ac:dyDescent="0.25">
      <c r="I4825" s="3"/>
      <c r="J4825" s="3"/>
      <c r="K4825" s="3"/>
      <c r="L4825" s="3"/>
    </row>
    <row r="4826" spans="9:12" x14ac:dyDescent="0.25">
      <c r="I4826" s="3"/>
      <c r="J4826" s="3"/>
      <c r="K4826" s="3"/>
      <c r="L4826" s="3"/>
    </row>
    <row r="4827" spans="9:12" x14ac:dyDescent="0.25">
      <c r="I4827" s="3"/>
      <c r="J4827" s="3"/>
      <c r="K4827" s="3"/>
      <c r="L4827" s="3"/>
    </row>
    <row r="4828" spans="9:12" x14ac:dyDescent="0.25">
      <c r="I4828" s="3"/>
      <c r="J4828" s="3"/>
      <c r="K4828" s="3"/>
      <c r="L4828" s="3"/>
    </row>
    <row r="4829" spans="9:12" x14ac:dyDescent="0.25">
      <c r="I4829" s="3"/>
      <c r="J4829" s="3"/>
      <c r="K4829" s="3"/>
      <c r="L4829" s="3"/>
    </row>
    <row r="4830" spans="9:12" x14ac:dyDescent="0.25">
      <c r="I4830" s="3"/>
      <c r="J4830" s="3"/>
      <c r="K4830" s="3"/>
      <c r="L4830" s="3"/>
    </row>
    <row r="4831" spans="9:12" x14ac:dyDescent="0.25">
      <c r="I4831" s="3"/>
      <c r="J4831" s="3"/>
      <c r="K4831" s="3"/>
      <c r="L4831" s="3"/>
    </row>
    <row r="4832" spans="9:12" x14ac:dyDescent="0.25">
      <c r="I4832" s="3"/>
      <c r="J4832" s="3"/>
      <c r="K4832" s="3"/>
      <c r="L4832" s="3"/>
    </row>
    <row r="4833" spans="9:12" x14ac:dyDescent="0.25">
      <c r="I4833" s="3"/>
      <c r="J4833" s="3"/>
      <c r="K4833" s="3"/>
      <c r="L4833" s="3"/>
    </row>
    <row r="4834" spans="9:12" x14ac:dyDescent="0.25">
      <c r="I4834" s="3"/>
      <c r="J4834" s="3"/>
      <c r="K4834" s="3"/>
      <c r="L4834" s="3"/>
    </row>
    <row r="4835" spans="9:12" x14ac:dyDescent="0.25">
      <c r="I4835" s="3"/>
      <c r="J4835" s="3"/>
      <c r="K4835" s="3"/>
      <c r="L4835" s="3"/>
    </row>
    <row r="4836" spans="9:12" x14ac:dyDescent="0.25">
      <c r="I4836" s="3"/>
      <c r="J4836" s="3"/>
      <c r="K4836" s="3"/>
      <c r="L4836" s="3"/>
    </row>
    <row r="4837" spans="9:12" x14ac:dyDescent="0.25">
      <c r="I4837" s="3"/>
      <c r="J4837" s="3"/>
      <c r="K4837" s="3"/>
      <c r="L4837" s="3"/>
    </row>
    <row r="4838" spans="9:12" x14ac:dyDescent="0.25">
      <c r="I4838" s="3"/>
      <c r="J4838" s="3"/>
      <c r="K4838" s="3"/>
      <c r="L4838" s="3"/>
    </row>
    <row r="4839" spans="9:12" x14ac:dyDescent="0.25">
      <c r="I4839" s="3"/>
      <c r="J4839" s="3"/>
      <c r="K4839" s="3"/>
      <c r="L4839" s="3"/>
    </row>
    <row r="4840" spans="9:12" x14ac:dyDescent="0.25">
      <c r="I4840" s="3"/>
      <c r="J4840" s="3"/>
      <c r="K4840" s="3"/>
      <c r="L4840" s="3"/>
    </row>
    <row r="4841" spans="9:12" x14ac:dyDescent="0.25">
      <c r="I4841" s="3"/>
      <c r="J4841" s="3"/>
      <c r="K4841" s="3"/>
      <c r="L4841" s="3"/>
    </row>
    <row r="4842" spans="9:12" x14ac:dyDescent="0.25">
      <c r="I4842" s="3"/>
      <c r="J4842" s="3"/>
      <c r="K4842" s="3"/>
      <c r="L4842" s="3"/>
    </row>
    <row r="4843" spans="9:12" x14ac:dyDescent="0.25">
      <c r="I4843" s="3"/>
      <c r="J4843" s="3"/>
      <c r="K4843" s="3"/>
      <c r="L4843" s="3"/>
    </row>
    <row r="4844" spans="9:12" x14ac:dyDescent="0.25">
      <c r="I4844" s="3"/>
      <c r="J4844" s="3"/>
      <c r="K4844" s="3"/>
      <c r="L4844" s="3"/>
    </row>
    <row r="4845" spans="9:12" x14ac:dyDescent="0.25">
      <c r="I4845" s="3"/>
      <c r="J4845" s="3"/>
      <c r="K4845" s="3"/>
      <c r="L4845" s="3"/>
    </row>
    <row r="4846" spans="9:12" x14ac:dyDescent="0.25">
      <c r="I4846" s="3"/>
      <c r="J4846" s="3"/>
      <c r="K4846" s="3"/>
      <c r="L4846" s="3"/>
    </row>
    <row r="4847" spans="9:12" x14ac:dyDescent="0.25">
      <c r="I4847" s="3"/>
      <c r="J4847" s="3"/>
      <c r="K4847" s="3"/>
      <c r="L4847" s="3"/>
    </row>
    <row r="4848" spans="9:12" x14ac:dyDescent="0.25">
      <c r="I4848" s="3"/>
      <c r="J4848" s="3"/>
      <c r="K4848" s="3"/>
      <c r="L4848" s="3"/>
    </row>
    <row r="4849" spans="9:12" x14ac:dyDescent="0.25">
      <c r="I4849" s="3"/>
      <c r="J4849" s="3"/>
      <c r="K4849" s="3"/>
      <c r="L4849" s="3"/>
    </row>
    <row r="4850" spans="9:12" x14ac:dyDescent="0.25">
      <c r="I4850" s="3"/>
      <c r="J4850" s="3"/>
      <c r="K4850" s="3"/>
      <c r="L4850" s="3"/>
    </row>
    <row r="4851" spans="9:12" x14ac:dyDescent="0.25">
      <c r="I4851" s="3"/>
      <c r="J4851" s="3"/>
      <c r="K4851" s="3"/>
      <c r="L4851" s="3"/>
    </row>
    <row r="4852" spans="9:12" x14ac:dyDescent="0.25">
      <c r="I4852" s="3"/>
      <c r="J4852" s="3"/>
      <c r="K4852" s="3"/>
      <c r="L4852" s="3"/>
    </row>
    <row r="4853" spans="9:12" x14ac:dyDescent="0.25">
      <c r="I4853" s="3"/>
      <c r="J4853" s="3"/>
      <c r="K4853" s="3"/>
      <c r="L4853" s="3"/>
    </row>
    <row r="4854" spans="9:12" x14ac:dyDescent="0.25">
      <c r="I4854" s="3"/>
      <c r="J4854" s="3"/>
      <c r="K4854" s="3"/>
      <c r="L4854" s="3"/>
    </row>
    <row r="4855" spans="9:12" x14ac:dyDescent="0.25">
      <c r="I4855" s="3"/>
      <c r="J4855" s="3"/>
      <c r="K4855" s="3"/>
      <c r="L4855" s="3"/>
    </row>
    <row r="4856" spans="9:12" x14ac:dyDescent="0.25">
      <c r="I4856" s="3"/>
      <c r="J4856" s="3"/>
      <c r="K4856" s="3"/>
      <c r="L4856" s="3"/>
    </row>
    <row r="4857" spans="9:12" x14ac:dyDescent="0.25">
      <c r="I4857" s="3"/>
      <c r="J4857" s="3"/>
      <c r="K4857" s="3"/>
      <c r="L4857" s="3"/>
    </row>
    <row r="4858" spans="9:12" x14ac:dyDescent="0.25">
      <c r="I4858" s="3"/>
      <c r="J4858" s="3"/>
      <c r="K4858" s="3"/>
      <c r="L4858" s="3"/>
    </row>
    <row r="4859" spans="9:12" x14ac:dyDescent="0.25">
      <c r="I4859" s="3"/>
      <c r="J4859" s="3"/>
      <c r="K4859" s="3"/>
      <c r="L4859" s="3"/>
    </row>
    <row r="4860" spans="9:12" x14ac:dyDescent="0.25">
      <c r="I4860" s="3"/>
      <c r="J4860" s="3"/>
      <c r="K4860" s="3"/>
      <c r="L4860" s="3"/>
    </row>
    <row r="4861" spans="9:12" x14ac:dyDescent="0.25">
      <c r="I4861" s="3"/>
      <c r="J4861" s="3"/>
      <c r="K4861" s="3"/>
      <c r="L4861" s="3"/>
    </row>
    <row r="4862" spans="9:12" x14ac:dyDescent="0.25">
      <c r="I4862" s="3"/>
      <c r="J4862" s="3"/>
      <c r="K4862" s="3"/>
      <c r="L4862" s="3"/>
    </row>
    <row r="4863" spans="9:12" x14ac:dyDescent="0.25">
      <c r="I4863" s="3"/>
      <c r="J4863" s="3"/>
      <c r="K4863" s="3"/>
      <c r="L4863" s="3"/>
    </row>
    <row r="4864" spans="9:12" x14ac:dyDescent="0.25">
      <c r="I4864" s="3"/>
      <c r="J4864" s="3"/>
      <c r="K4864" s="3"/>
      <c r="L4864" s="3"/>
    </row>
    <row r="4865" spans="9:12" x14ac:dyDescent="0.25">
      <c r="I4865" s="3"/>
      <c r="J4865" s="3"/>
      <c r="K4865" s="3"/>
      <c r="L4865" s="3"/>
    </row>
    <row r="4866" spans="9:12" x14ac:dyDescent="0.25">
      <c r="I4866" s="3"/>
      <c r="J4866" s="3"/>
      <c r="K4866" s="3"/>
      <c r="L4866" s="3"/>
    </row>
    <row r="4867" spans="9:12" x14ac:dyDescent="0.25">
      <c r="I4867" s="3"/>
      <c r="J4867" s="3"/>
      <c r="K4867" s="3"/>
      <c r="L4867" s="3"/>
    </row>
    <row r="4868" spans="9:12" x14ac:dyDescent="0.25">
      <c r="I4868" s="3"/>
      <c r="J4868" s="3"/>
      <c r="K4868" s="3"/>
      <c r="L4868" s="3"/>
    </row>
    <row r="4869" spans="9:12" x14ac:dyDescent="0.25">
      <c r="I4869" s="3"/>
      <c r="J4869" s="3"/>
      <c r="K4869" s="3"/>
      <c r="L4869" s="3"/>
    </row>
    <row r="4870" spans="9:12" x14ac:dyDescent="0.25">
      <c r="I4870" s="3"/>
      <c r="J4870" s="3"/>
      <c r="K4870" s="3"/>
      <c r="L4870" s="3"/>
    </row>
    <row r="4871" spans="9:12" x14ac:dyDescent="0.25">
      <c r="I4871" s="3"/>
      <c r="J4871" s="3"/>
      <c r="K4871" s="3"/>
      <c r="L4871" s="3"/>
    </row>
    <row r="4872" spans="9:12" x14ac:dyDescent="0.25">
      <c r="I4872" s="3"/>
      <c r="J4872" s="3"/>
      <c r="K4872" s="3"/>
      <c r="L4872" s="3"/>
    </row>
    <row r="4873" spans="9:12" x14ac:dyDescent="0.25">
      <c r="I4873" s="3"/>
      <c r="J4873" s="3"/>
      <c r="K4873" s="3"/>
      <c r="L4873" s="3"/>
    </row>
    <row r="4874" spans="9:12" x14ac:dyDescent="0.25">
      <c r="I4874" s="3"/>
      <c r="J4874" s="3"/>
      <c r="K4874" s="3"/>
      <c r="L4874" s="3"/>
    </row>
    <row r="4875" spans="9:12" x14ac:dyDescent="0.25">
      <c r="I4875" s="3"/>
      <c r="J4875" s="3"/>
      <c r="K4875" s="3"/>
      <c r="L4875" s="3"/>
    </row>
    <row r="4876" spans="9:12" x14ac:dyDescent="0.25">
      <c r="I4876" s="3"/>
      <c r="J4876" s="3"/>
      <c r="K4876" s="3"/>
      <c r="L4876" s="3"/>
    </row>
    <row r="4877" spans="9:12" x14ac:dyDescent="0.25">
      <c r="I4877" s="3"/>
      <c r="J4877" s="3"/>
      <c r="K4877" s="3"/>
      <c r="L4877" s="3"/>
    </row>
    <row r="4878" spans="9:12" x14ac:dyDescent="0.25">
      <c r="I4878" s="3"/>
      <c r="J4878" s="3"/>
      <c r="K4878" s="3"/>
      <c r="L4878" s="3"/>
    </row>
    <row r="4879" spans="9:12" x14ac:dyDescent="0.25">
      <c r="I4879" s="3"/>
      <c r="J4879" s="3"/>
      <c r="K4879" s="3"/>
      <c r="L4879" s="3"/>
    </row>
    <row r="4880" spans="9:12" x14ac:dyDescent="0.25">
      <c r="I4880" s="3"/>
      <c r="J4880" s="3"/>
      <c r="K4880" s="3"/>
      <c r="L4880" s="3"/>
    </row>
    <row r="4881" spans="9:12" x14ac:dyDescent="0.25">
      <c r="I4881" s="3"/>
      <c r="J4881" s="3"/>
      <c r="K4881" s="3"/>
      <c r="L4881" s="3"/>
    </row>
    <row r="4882" spans="9:12" x14ac:dyDescent="0.25">
      <c r="I4882" s="3"/>
      <c r="J4882" s="3"/>
      <c r="K4882" s="3"/>
      <c r="L4882" s="3"/>
    </row>
    <row r="4883" spans="9:12" x14ac:dyDescent="0.25">
      <c r="I4883" s="3"/>
      <c r="J4883" s="3"/>
      <c r="K4883" s="3"/>
      <c r="L4883" s="3"/>
    </row>
    <row r="4884" spans="9:12" x14ac:dyDescent="0.25">
      <c r="I4884" s="3"/>
      <c r="J4884" s="3"/>
      <c r="K4884" s="3"/>
      <c r="L4884" s="3"/>
    </row>
    <row r="4885" spans="9:12" x14ac:dyDescent="0.25">
      <c r="I4885" s="3"/>
      <c r="J4885" s="3"/>
      <c r="K4885" s="3"/>
      <c r="L4885" s="3"/>
    </row>
    <row r="4886" spans="9:12" x14ac:dyDescent="0.25">
      <c r="I4886" s="3"/>
      <c r="J4886" s="3"/>
      <c r="K4886" s="3"/>
      <c r="L4886" s="3"/>
    </row>
    <row r="4887" spans="9:12" x14ac:dyDescent="0.25">
      <c r="I4887" s="3"/>
      <c r="J4887" s="3"/>
      <c r="K4887" s="3"/>
      <c r="L4887" s="3"/>
    </row>
    <row r="4888" spans="9:12" x14ac:dyDescent="0.25">
      <c r="I4888" s="3"/>
      <c r="J4888" s="3"/>
      <c r="K4888" s="3"/>
      <c r="L4888" s="3"/>
    </row>
    <row r="4889" spans="9:12" x14ac:dyDescent="0.25">
      <c r="I4889" s="3"/>
      <c r="J4889" s="3"/>
      <c r="K4889" s="3"/>
      <c r="L4889" s="3"/>
    </row>
    <row r="4890" spans="9:12" x14ac:dyDescent="0.25">
      <c r="I4890" s="3"/>
      <c r="J4890" s="3"/>
      <c r="K4890" s="3"/>
      <c r="L4890" s="3"/>
    </row>
    <row r="4891" spans="9:12" x14ac:dyDescent="0.25">
      <c r="I4891" s="3"/>
      <c r="J4891" s="3"/>
      <c r="K4891" s="3"/>
      <c r="L4891" s="3"/>
    </row>
    <row r="4892" spans="9:12" x14ac:dyDescent="0.25">
      <c r="I4892" s="3"/>
      <c r="J4892" s="3"/>
      <c r="K4892" s="3"/>
      <c r="L4892" s="3"/>
    </row>
    <row r="4893" spans="9:12" x14ac:dyDescent="0.25">
      <c r="I4893" s="3"/>
      <c r="J4893" s="3"/>
      <c r="K4893" s="3"/>
      <c r="L4893" s="3"/>
    </row>
    <row r="4894" spans="9:12" x14ac:dyDescent="0.25">
      <c r="I4894" s="3"/>
      <c r="J4894" s="3"/>
      <c r="K4894" s="3"/>
      <c r="L4894" s="3"/>
    </row>
    <row r="4895" spans="9:12" x14ac:dyDescent="0.25">
      <c r="I4895" s="3"/>
      <c r="J4895" s="3"/>
      <c r="K4895" s="3"/>
      <c r="L4895" s="3"/>
    </row>
    <row r="4896" spans="9:12" x14ac:dyDescent="0.25">
      <c r="I4896" s="3"/>
      <c r="J4896" s="3"/>
      <c r="K4896" s="3"/>
      <c r="L4896" s="3"/>
    </row>
    <row r="4897" spans="9:12" x14ac:dyDescent="0.25">
      <c r="I4897" s="3"/>
      <c r="J4897" s="3"/>
      <c r="K4897" s="3"/>
      <c r="L4897" s="3"/>
    </row>
    <row r="4898" spans="9:12" x14ac:dyDescent="0.25">
      <c r="I4898" s="3"/>
      <c r="J4898" s="3"/>
      <c r="K4898" s="3"/>
      <c r="L4898" s="3"/>
    </row>
    <row r="4899" spans="9:12" x14ac:dyDescent="0.25">
      <c r="I4899" s="3"/>
      <c r="J4899" s="3"/>
      <c r="K4899" s="3"/>
      <c r="L4899" s="3"/>
    </row>
    <row r="4900" spans="9:12" x14ac:dyDescent="0.25">
      <c r="I4900" s="3"/>
      <c r="J4900" s="3"/>
      <c r="K4900" s="3"/>
      <c r="L4900" s="3"/>
    </row>
    <row r="4901" spans="9:12" x14ac:dyDescent="0.25">
      <c r="I4901" s="3"/>
      <c r="J4901" s="3"/>
      <c r="K4901" s="3"/>
      <c r="L4901" s="3"/>
    </row>
    <row r="4902" spans="9:12" x14ac:dyDescent="0.25">
      <c r="I4902" s="3"/>
      <c r="J4902" s="3"/>
      <c r="K4902" s="3"/>
      <c r="L4902" s="3"/>
    </row>
    <row r="4903" spans="9:12" x14ac:dyDescent="0.25">
      <c r="I4903" s="3"/>
      <c r="J4903" s="3"/>
      <c r="K4903" s="3"/>
      <c r="L4903" s="3"/>
    </row>
    <row r="4904" spans="9:12" x14ac:dyDescent="0.25">
      <c r="I4904" s="3"/>
      <c r="J4904" s="3"/>
      <c r="K4904" s="3"/>
      <c r="L4904" s="3"/>
    </row>
    <row r="4905" spans="9:12" x14ac:dyDescent="0.25">
      <c r="I4905" s="3"/>
      <c r="J4905" s="3"/>
      <c r="K4905" s="3"/>
      <c r="L4905" s="3"/>
    </row>
    <row r="4906" spans="9:12" x14ac:dyDescent="0.25">
      <c r="I4906" s="3"/>
      <c r="J4906" s="3"/>
      <c r="K4906" s="3"/>
      <c r="L4906" s="3"/>
    </row>
    <row r="4907" spans="9:12" x14ac:dyDescent="0.25">
      <c r="I4907" s="3"/>
      <c r="J4907" s="3"/>
      <c r="K4907" s="3"/>
      <c r="L4907" s="3"/>
    </row>
    <row r="4908" spans="9:12" x14ac:dyDescent="0.25">
      <c r="I4908" s="3"/>
      <c r="J4908" s="3"/>
      <c r="K4908" s="3"/>
      <c r="L4908" s="3"/>
    </row>
    <row r="4909" spans="9:12" x14ac:dyDescent="0.25">
      <c r="I4909" s="3"/>
      <c r="J4909" s="3"/>
      <c r="K4909" s="3"/>
      <c r="L4909" s="3"/>
    </row>
    <row r="4910" spans="9:12" x14ac:dyDescent="0.25">
      <c r="I4910" s="3"/>
      <c r="J4910" s="3"/>
      <c r="K4910" s="3"/>
      <c r="L4910" s="3"/>
    </row>
    <row r="4911" spans="9:12" x14ac:dyDescent="0.25">
      <c r="I4911" s="3"/>
      <c r="J4911" s="3"/>
      <c r="K4911" s="3"/>
      <c r="L4911" s="3"/>
    </row>
    <row r="4912" spans="9:12" x14ac:dyDescent="0.25">
      <c r="I4912" s="3"/>
      <c r="J4912" s="3"/>
      <c r="K4912" s="3"/>
      <c r="L4912" s="3"/>
    </row>
    <row r="4913" spans="9:12" x14ac:dyDescent="0.25">
      <c r="I4913" s="3"/>
      <c r="J4913" s="3"/>
      <c r="K4913" s="3"/>
      <c r="L4913" s="3"/>
    </row>
    <row r="4914" spans="9:12" x14ac:dyDescent="0.25">
      <c r="I4914" s="3"/>
      <c r="J4914" s="3"/>
      <c r="K4914" s="3"/>
      <c r="L4914" s="3"/>
    </row>
    <row r="4915" spans="9:12" x14ac:dyDescent="0.25">
      <c r="I4915" s="3"/>
      <c r="J4915" s="3"/>
      <c r="K4915" s="3"/>
      <c r="L4915" s="3"/>
    </row>
    <row r="4916" spans="9:12" x14ac:dyDescent="0.25">
      <c r="I4916" s="3"/>
      <c r="J4916" s="3"/>
      <c r="K4916" s="3"/>
      <c r="L4916" s="3"/>
    </row>
    <row r="4917" spans="9:12" x14ac:dyDescent="0.25">
      <c r="I4917" s="3"/>
      <c r="J4917" s="3"/>
      <c r="K4917" s="3"/>
      <c r="L4917" s="3"/>
    </row>
    <row r="4918" spans="9:12" x14ac:dyDescent="0.25">
      <c r="I4918" s="3"/>
      <c r="J4918" s="3"/>
      <c r="K4918" s="3"/>
      <c r="L4918" s="3"/>
    </row>
    <row r="4919" spans="9:12" x14ac:dyDescent="0.25">
      <c r="I4919" s="3"/>
      <c r="J4919" s="3"/>
      <c r="K4919" s="3"/>
      <c r="L4919" s="3"/>
    </row>
    <row r="4920" spans="9:12" x14ac:dyDescent="0.25">
      <c r="I4920" s="3"/>
      <c r="J4920" s="3"/>
      <c r="K4920" s="3"/>
      <c r="L4920" s="3"/>
    </row>
    <row r="4921" spans="9:12" x14ac:dyDescent="0.25">
      <c r="I4921" s="3"/>
      <c r="J4921" s="3"/>
      <c r="K4921" s="3"/>
      <c r="L4921" s="3"/>
    </row>
    <row r="4922" spans="9:12" x14ac:dyDescent="0.25">
      <c r="I4922" s="3"/>
      <c r="J4922" s="3"/>
      <c r="K4922" s="3"/>
      <c r="L4922" s="3"/>
    </row>
    <row r="4923" spans="9:12" x14ac:dyDescent="0.25">
      <c r="I4923" s="3"/>
      <c r="J4923" s="3"/>
      <c r="K4923" s="3"/>
      <c r="L4923" s="3"/>
    </row>
    <row r="4924" spans="9:12" x14ac:dyDescent="0.25">
      <c r="I4924" s="3"/>
      <c r="J4924" s="3"/>
      <c r="K4924" s="3"/>
      <c r="L4924" s="3"/>
    </row>
    <row r="4925" spans="9:12" x14ac:dyDescent="0.25">
      <c r="I4925" s="3"/>
      <c r="J4925" s="3"/>
      <c r="K4925" s="3"/>
      <c r="L4925" s="3"/>
    </row>
    <row r="4926" spans="9:12" x14ac:dyDescent="0.25">
      <c r="I4926" s="3"/>
      <c r="J4926" s="3"/>
      <c r="K4926" s="3"/>
      <c r="L4926" s="3"/>
    </row>
    <row r="4927" spans="9:12" x14ac:dyDescent="0.25">
      <c r="I4927" s="3"/>
      <c r="J4927" s="3"/>
      <c r="K4927" s="3"/>
      <c r="L4927" s="3"/>
    </row>
    <row r="4928" spans="9:12" x14ac:dyDescent="0.25">
      <c r="I4928" s="3"/>
      <c r="J4928" s="3"/>
      <c r="K4928" s="3"/>
      <c r="L4928" s="3"/>
    </row>
    <row r="4929" spans="9:12" x14ac:dyDescent="0.25">
      <c r="I4929" s="3"/>
      <c r="J4929" s="3"/>
      <c r="K4929" s="3"/>
      <c r="L4929" s="3"/>
    </row>
    <row r="4930" spans="9:12" x14ac:dyDescent="0.25">
      <c r="I4930" s="3"/>
      <c r="J4930" s="3"/>
      <c r="K4930" s="3"/>
      <c r="L4930" s="3"/>
    </row>
    <row r="4931" spans="9:12" x14ac:dyDescent="0.25">
      <c r="I4931" s="3"/>
      <c r="J4931" s="3"/>
      <c r="K4931" s="3"/>
      <c r="L4931" s="3"/>
    </row>
    <row r="4932" spans="9:12" x14ac:dyDescent="0.25">
      <c r="I4932" s="3"/>
      <c r="J4932" s="3"/>
      <c r="K4932" s="3"/>
      <c r="L4932" s="3"/>
    </row>
    <row r="4933" spans="9:12" x14ac:dyDescent="0.25">
      <c r="I4933" s="3"/>
      <c r="J4933" s="3"/>
      <c r="K4933" s="3"/>
      <c r="L4933" s="3"/>
    </row>
    <row r="4934" spans="9:12" x14ac:dyDescent="0.25">
      <c r="I4934" s="3"/>
      <c r="J4934" s="3"/>
      <c r="K4934" s="3"/>
      <c r="L4934" s="3"/>
    </row>
    <row r="4935" spans="9:12" x14ac:dyDescent="0.25">
      <c r="I4935" s="3"/>
      <c r="J4935" s="3"/>
      <c r="K4935" s="3"/>
      <c r="L4935" s="3"/>
    </row>
    <row r="4936" spans="9:12" x14ac:dyDescent="0.25">
      <c r="I4936" s="3"/>
      <c r="J4936" s="3"/>
      <c r="K4936" s="3"/>
      <c r="L4936" s="3"/>
    </row>
    <row r="4937" spans="9:12" x14ac:dyDescent="0.25">
      <c r="I4937" s="3"/>
      <c r="J4937" s="3"/>
      <c r="K4937" s="3"/>
      <c r="L4937" s="3"/>
    </row>
    <row r="4938" spans="9:12" x14ac:dyDescent="0.25">
      <c r="I4938" s="3"/>
      <c r="J4938" s="3"/>
      <c r="K4938" s="3"/>
      <c r="L4938" s="3"/>
    </row>
    <row r="4939" spans="9:12" x14ac:dyDescent="0.25">
      <c r="I4939" s="3"/>
      <c r="J4939" s="3"/>
      <c r="K4939" s="3"/>
      <c r="L4939" s="3"/>
    </row>
    <row r="4940" spans="9:12" x14ac:dyDescent="0.25">
      <c r="I4940" s="3"/>
      <c r="J4940" s="3"/>
      <c r="K4940" s="3"/>
      <c r="L4940" s="3"/>
    </row>
    <row r="4941" spans="9:12" x14ac:dyDescent="0.25">
      <c r="I4941" s="3"/>
      <c r="J4941" s="3"/>
      <c r="K4941" s="3"/>
      <c r="L4941" s="3"/>
    </row>
    <row r="4942" spans="9:12" x14ac:dyDescent="0.25">
      <c r="I4942" s="3"/>
      <c r="J4942" s="3"/>
      <c r="K4942" s="3"/>
      <c r="L4942" s="3"/>
    </row>
    <row r="4943" spans="9:12" x14ac:dyDescent="0.25">
      <c r="I4943" s="3"/>
      <c r="J4943" s="3"/>
      <c r="K4943" s="3"/>
      <c r="L4943" s="3"/>
    </row>
    <row r="4944" spans="9:12" x14ac:dyDescent="0.25">
      <c r="I4944" s="3"/>
      <c r="J4944" s="3"/>
      <c r="K4944" s="3"/>
      <c r="L4944" s="3"/>
    </row>
    <row r="4945" spans="9:12" x14ac:dyDescent="0.25">
      <c r="I4945" s="3"/>
      <c r="J4945" s="3"/>
      <c r="K4945" s="3"/>
      <c r="L4945" s="3"/>
    </row>
    <row r="4946" spans="9:12" x14ac:dyDescent="0.25">
      <c r="I4946" s="3"/>
      <c r="J4946" s="3"/>
      <c r="K4946" s="3"/>
      <c r="L4946" s="3"/>
    </row>
    <row r="4947" spans="9:12" x14ac:dyDescent="0.25">
      <c r="I4947" s="3"/>
      <c r="J4947" s="3"/>
      <c r="K4947" s="3"/>
      <c r="L4947" s="3"/>
    </row>
    <row r="4948" spans="9:12" x14ac:dyDescent="0.25">
      <c r="I4948" s="3"/>
      <c r="J4948" s="3"/>
      <c r="K4948" s="3"/>
      <c r="L4948" s="3"/>
    </row>
    <row r="4949" spans="9:12" x14ac:dyDescent="0.25">
      <c r="I4949" s="3"/>
      <c r="J4949" s="3"/>
      <c r="K4949" s="3"/>
      <c r="L4949" s="3"/>
    </row>
    <row r="4950" spans="9:12" x14ac:dyDescent="0.25">
      <c r="I4950" s="3"/>
      <c r="J4950" s="3"/>
      <c r="K4950" s="3"/>
      <c r="L4950" s="3"/>
    </row>
    <row r="4951" spans="9:12" x14ac:dyDescent="0.25">
      <c r="I4951" s="3"/>
      <c r="J4951" s="3"/>
      <c r="K4951" s="3"/>
      <c r="L4951" s="3"/>
    </row>
    <row r="4952" spans="9:12" x14ac:dyDescent="0.25">
      <c r="I4952" s="3"/>
      <c r="J4952" s="3"/>
      <c r="K4952" s="3"/>
      <c r="L4952" s="3"/>
    </row>
    <row r="4953" spans="9:12" x14ac:dyDescent="0.25">
      <c r="I4953" s="3"/>
      <c r="J4953" s="3"/>
      <c r="K4953" s="3"/>
      <c r="L4953" s="3"/>
    </row>
    <row r="4954" spans="9:12" x14ac:dyDescent="0.25">
      <c r="I4954" s="3"/>
      <c r="J4954" s="3"/>
      <c r="K4954" s="3"/>
      <c r="L4954" s="3"/>
    </row>
    <row r="4955" spans="9:12" x14ac:dyDescent="0.25">
      <c r="I4955" s="3"/>
      <c r="J4955" s="3"/>
      <c r="K4955" s="3"/>
      <c r="L4955" s="3"/>
    </row>
    <row r="4956" spans="9:12" x14ac:dyDescent="0.25">
      <c r="I4956" s="3"/>
      <c r="J4956" s="3"/>
      <c r="K4956" s="3"/>
      <c r="L4956" s="3"/>
    </row>
    <row r="4957" spans="9:12" x14ac:dyDescent="0.25">
      <c r="I4957" s="3"/>
      <c r="J4957" s="3"/>
      <c r="K4957" s="3"/>
      <c r="L4957" s="3"/>
    </row>
    <row r="4958" spans="9:12" x14ac:dyDescent="0.25">
      <c r="I4958" s="3"/>
      <c r="J4958" s="3"/>
      <c r="K4958" s="3"/>
      <c r="L4958" s="3"/>
    </row>
    <row r="4959" spans="9:12" x14ac:dyDescent="0.25">
      <c r="I4959" s="3"/>
      <c r="J4959" s="3"/>
      <c r="K4959" s="3"/>
      <c r="L4959" s="3"/>
    </row>
    <row r="4960" spans="9:12" x14ac:dyDescent="0.25">
      <c r="I4960" s="3"/>
      <c r="J4960" s="3"/>
      <c r="K4960" s="3"/>
      <c r="L4960" s="3"/>
    </row>
    <row r="4961" spans="9:12" x14ac:dyDescent="0.25">
      <c r="I4961" s="3"/>
      <c r="J4961" s="3"/>
      <c r="K4961" s="3"/>
      <c r="L4961" s="3"/>
    </row>
    <row r="4962" spans="9:12" x14ac:dyDescent="0.25">
      <c r="I4962" s="3"/>
      <c r="J4962" s="3"/>
      <c r="K4962" s="3"/>
      <c r="L4962" s="3"/>
    </row>
    <row r="4963" spans="9:12" x14ac:dyDescent="0.25">
      <c r="I4963" s="3"/>
      <c r="J4963" s="3"/>
      <c r="K4963" s="3"/>
      <c r="L4963" s="3"/>
    </row>
    <row r="4964" spans="9:12" x14ac:dyDescent="0.25">
      <c r="I4964" s="3"/>
      <c r="J4964" s="3"/>
      <c r="K4964" s="3"/>
      <c r="L4964" s="3"/>
    </row>
    <row r="4965" spans="9:12" x14ac:dyDescent="0.25">
      <c r="I4965" s="3"/>
      <c r="J4965" s="3"/>
      <c r="K4965" s="3"/>
      <c r="L4965" s="3"/>
    </row>
    <row r="4966" spans="9:12" x14ac:dyDescent="0.25">
      <c r="I4966" s="3"/>
      <c r="J4966" s="3"/>
      <c r="K4966" s="3"/>
      <c r="L4966" s="3"/>
    </row>
    <row r="4967" spans="9:12" x14ac:dyDescent="0.25">
      <c r="I4967" s="3"/>
      <c r="J4967" s="3"/>
      <c r="K4967" s="3"/>
      <c r="L4967" s="3"/>
    </row>
    <row r="4968" spans="9:12" x14ac:dyDescent="0.25">
      <c r="I4968" s="3"/>
      <c r="J4968" s="3"/>
      <c r="K4968" s="3"/>
      <c r="L4968" s="3"/>
    </row>
    <row r="4969" spans="9:12" x14ac:dyDescent="0.25">
      <c r="I4969" s="3"/>
      <c r="J4969" s="3"/>
      <c r="K4969" s="3"/>
      <c r="L4969" s="3"/>
    </row>
    <row r="4970" spans="9:12" x14ac:dyDescent="0.25">
      <c r="I4970" s="3"/>
      <c r="J4970" s="3"/>
      <c r="K4970" s="3"/>
      <c r="L4970" s="3"/>
    </row>
    <row r="4971" spans="9:12" x14ac:dyDescent="0.25">
      <c r="I4971" s="3"/>
      <c r="J4971" s="3"/>
      <c r="K4971" s="3"/>
      <c r="L4971" s="3"/>
    </row>
    <row r="4972" spans="9:12" x14ac:dyDescent="0.25">
      <c r="I4972" s="3"/>
      <c r="J4972" s="3"/>
      <c r="K4972" s="3"/>
      <c r="L4972" s="3"/>
    </row>
    <row r="4973" spans="9:12" x14ac:dyDescent="0.25">
      <c r="I4973" s="3"/>
      <c r="J4973" s="3"/>
      <c r="K4973" s="3"/>
      <c r="L4973" s="3"/>
    </row>
    <row r="4974" spans="9:12" x14ac:dyDescent="0.25">
      <c r="I4974" s="3"/>
      <c r="J4974" s="3"/>
      <c r="K4974" s="3"/>
      <c r="L4974" s="3"/>
    </row>
    <row r="4975" spans="9:12" x14ac:dyDescent="0.25">
      <c r="I4975" s="3"/>
      <c r="J4975" s="3"/>
      <c r="K4975" s="3"/>
      <c r="L4975" s="3"/>
    </row>
    <row r="4976" spans="9:12" x14ac:dyDescent="0.25">
      <c r="I4976" s="3"/>
      <c r="J4976" s="3"/>
      <c r="K4976" s="3"/>
      <c r="L4976" s="3"/>
    </row>
    <row r="4977" spans="9:12" x14ac:dyDescent="0.25">
      <c r="I4977" s="3"/>
      <c r="J4977" s="3"/>
      <c r="K4977" s="3"/>
      <c r="L4977" s="3"/>
    </row>
    <row r="4978" spans="9:12" x14ac:dyDescent="0.25">
      <c r="I4978" s="3"/>
      <c r="J4978" s="3"/>
      <c r="K4978" s="3"/>
      <c r="L4978" s="3"/>
    </row>
    <row r="4979" spans="9:12" x14ac:dyDescent="0.25">
      <c r="I4979" s="3"/>
      <c r="J4979" s="3"/>
      <c r="K4979" s="3"/>
      <c r="L4979" s="3"/>
    </row>
    <row r="4980" spans="9:12" x14ac:dyDescent="0.25">
      <c r="I4980" s="3"/>
      <c r="J4980" s="3"/>
      <c r="K4980" s="3"/>
      <c r="L4980" s="3"/>
    </row>
    <row r="4981" spans="9:12" x14ac:dyDescent="0.25">
      <c r="I4981" s="3"/>
      <c r="J4981" s="3"/>
      <c r="K4981" s="3"/>
      <c r="L4981" s="3"/>
    </row>
    <row r="4982" spans="9:12" x14ac:dyDescent="0.25">
      <c r="I4982" s="3"/>
      <c r="J4982" s="3"/>
      <c r="K4982" s="3"/>
      <c r="L4982" s="3"/>
    </row>
    <row r="4983" spans="9:12" x14ac:dyDescent="0.25">
      <c r="I4983" s="3"/>
      <c r="J4983" s="3"/>
      <c r="K4983" s="3"/>
      <c r="L4983" s="3"/>
    </row>
    <row r="4984" spans="9:12" x14ac:dyDescent="0.25">
      <c r="I4984" s="3"/>
      <c r="J4984" s="3"/>
      <c r="K4984" s="3"/>
      <c r="L4984" s="3"/>
    </row>
    <row r="4985" spans="9:12" x14ac:dyDescent="0.25">
      <c r="I4985" s="3"/>
      <c r="J4985" s="3"/>
      <c r="K4985" s="3"/>
      <c r="L4985" s="3"/>
    </row>
    <row r="4986" spans="9:12" x14ac:dyDescent="0.25">
      <c r="I4986" s="3"/>
      <c r="J4986" s="3"/>
      <c r="K4986" s="3"/>
      <c r="L4986" s="3"/>
    </row>
    <row r="4987" spans="9:12" x14ac:dyDescent="0.25">
      <c r="I4987" s="3"/>
      <c r="J4987" s="3"/>
      <c r="K4987" s="3"/>
      <c r="L4987" s="3"/>
    </row>
    <row r="4988" spans="9:12" x14ac:dyDescent="0.25">
      <c r="I4988" s="3"/>
      <c r="J4988" s="3"/>
      <c r="K4988" s="3"/>
      <c r="L4988" s="3"/>
    </row>
    <row r="4989" spans="9:12" x14ac:dyDescent="0.25">
      <c r="I4989" s="3"/>
      <c r="J4989" s="3"/>
      <c r="K4989" s="3"/>
      <c r="L4989" s="3"/>
    </row>
    <row r="4990" spans="9:12" x14ac:dyDescent="0.25">
      <c r="I4990" s="3"/>
      <c r="J4990" s="3"/>
      <c r="K4990" s="3"/>
      <c r="L4990" s="3"/>
    </row>
    <row r="4991" spans="9:12" x14ac:dyDescent="0.25">
      <c r="I4991" s="3"/>
      <c r="J4991" s="3"/>
      <c r="K4991" s="3"/>
      <c r="L4991" s="3"/>
    </row>
    <row r="4992" spans="9:12" x14ac:dyDescent="0.25">
      <c r="I4992" s="3"/>
      <c r="J4992" s="3"/>
      <c r="K4992" s="3"/>
      <c r="L4992" s="3"/>
    </row>
    <row r="4993" spans="9:12" x14ac:dyDescent="0.25">
      <c r="I4993" s="3"/>
      <c r="J4993" s="3"/>
      <c r="K4993" s="3"/>
      <c r="L4993" s="3"/>
    </row>
    <row r="4994" spans="9:12" x14ac:dyDescent="0.25">
      <c r="I4994" s="3"/>
      <c r="J4994" s="3"/>
      <c r="K4994" s="3"/>
      <c r="L4994" s="3"/>
    </row>
    <row r="4995" spans="9:12" x14ac:dyDescent="0.25">
      <c r="I4995" s="3"/>
      <c r="J4995" s="3"/>
      <c r="K4995" s="3"/>
      <c r="L4995" s="3"/>
    </row>
    <row r="4996" spans="9:12" x14ac:dyDescent="0.25">
      <c r="I4996" s="3"/>
      <c r="J4996" s="3"/>
      <c r="K4996" s="3"/>
      <c r="L4996" s="3"/>
    </row>
    <row r="4997" spans="9:12" x14ac:dyDescent="0.25">
      <c r="I4997" s="3"/>
      <c r="J4997" s="3"/>
      <c r="K4997" s="3"/>
      <c r="L4997" s="3"/>
    </row>
    <row r="4998" spans="9:12" x14ac:dyDescent="0.25">
      <c r="I4998" s="3"/>
      <c r="J4998" s="3"/>
      <c r="K4998" s="3"/>
      <c r="L4998" s="3"/>
    </row>
    <row r="4999" spans="9:12" x14ac:dyDescent="0.25">
      <c r="I4999" s="3"/>
      <c r="J4999" s="3"/>
      <c r="K4999" s="3"/>
      <c r="L4999" s="3"/>
    </row>
    <row r="5000" spans="9:12" x14ac:dyDescent="0.25">
      <c r="I5000" s="3"/>
      <c r="J5000" s="3"/>
      <c r="K5000" s="3"/>
      <c r="L5000" s="3"/>
    </row>
    <row r="5001" spans="9:12" x14ac:dyDescent="0.25">
      <c r="I5001" s="3"/>
      <c r="J5001" s="3"/>
      <c r="K5001" s="3"/>
      <c r="L5001" s="3"/>
    </row>
    <row r="5002" spans="9:12" x14ac:dyDescent="0.25">
      <c r="I5002" s="3"/>
      <c r="J5002" s="3"/>
      <c r="K5002" s="3"/>
      <c r="L5002" s="3"/>
    </row>
    <row r="5003" spans="9:12" x14ac:dyDescent="0.25">
      <c r="I5003" s="3"/>
      <c r="J5003" s="3"/>
      <c r="K5003" s="3"/>
      <c r="L5003" s="3"/>
    </row>
    <row r="5004" spans="9:12" x14ac:dyDescent="0.25">
      <c r="I5004" s="3"/>
      <c r="J5004" s="3"/>
      <c r="K5004" s="3"/>
      <c r="L5004" s="3"/>
    </row>
    <row r="5005" spans="9:12" x14ac:dyDescent="0.25">
      <c r="I5005" s="3"/>
      <c r="J5005" s="3"/>
      <c r="K5005" s="3"/>
      <c r="L5005" s="3"/>
    </row>
    <row r="5006" spans="9:12" x14ac:dyDescent="0.25">
      <c r="I5006" s="3"/>
      <c r="J5006" s="3"/>
      <c r="K5006" s="3"/>
      <c r="L5006" s="3"/>
    </row>
    <row r="5007" spans="9:12" x14ac:dyDescent="0.25">
      <c r="I5007" s="3"/>
      <c r="J5007" s="3"/>
      <c r="K5007" s="3"/>
      <c r="L5007" s="3"/>
    </row>
    <row r="5008" spans="9:12" x14ac:dyDescent="0.25">
      <c r="I5008" s="3"/>
      <c r="J5008" s="3"/>
      <c r="K5008" s="3"/>
      <c r="L5008" s="3"/>
    </row>
    <row r="5009" spans="9:12" x14ac:dyDescent="0.25">
      <c r="I5009" s="3"/>
      <c r="J5009" s="3"/>
      <c r="K5009" s="3"/>
      <c r="L5009" s="3"/>
    </row>
    <row r="5010" spans="9:12" x14ac:dyDescent="0.25">
      <c r="I5010" s="3"/>
      <c r="J5010" s="3"/>
      <c r="K5010" s="3"/>
      <c r="L5010" s="3"/>
    </row>
    <row r="5011" spans="9:12" x14ac:dyDescent="0.25">
      <c r="I5011" s="5"/>
      <c r="J5011" s="5"/>
      <c r="K5011" s="5"/>
      <c r="L5011" s="5"/>
    </row>
    <row r="5012" spans="9:12" x14ac:dyDescent="0.25">
      <c r="I5012" s="5"/>
      <c r="J5012" s="5"/>
      <c r="K5012" s="5"/>
      <c r="L5012" s="5"/>
    </row>
    <row r="5013" spans="9:12" x14ac:dyDescent="0.25">
      <c r="I5013" s="5"/>
      <c r="J5013" s="5"/>
      <c r="K5013" s="5"/>
      <c r="L5013" s="5"/>
    </row>
    <row r="5014" spans="9:12" x14ac:dyDescent="0.25">
      <c r="I5014" s="5"/>
      <c r="J5014" s="5"/>
      <c r="K5014" s="5"/>
      <c r="L5014" s="5"/>
    </row>
    <row r="5015" spans="9:12" x14ac:dyDescent="0.25">
      <c r="I5015" s="3"/>
      <c r="J5015" s="3"/>
      <c r="K5015" s="3"/>
      <c r="L5015" s="3"/>
    </row>
    <row r="5016" spans="9:12" x14ac:dyDescent="0.25">
      <c r="I5016" s="3"/>
      <c r="J5016" s="3"/>
      <c r="K5016" s="3"/>
      <c r="L5016" s="3"/>
    </row>
    <row r="5017" spans="9:12" x14ac:dyDescent="0.25">
      <c r="I5017" s="3"/>
      <c r="J5017" s="3"/>
      <c r="K5017" s="3"/>
      <c r="L5017" s="3"/>
    </row>
    <row r="5018" spans="9:12" x14ac:dyDescent="0.25">
      <c r="I5018" s="3"/>
      <c r="J5018" s="3"/>
      <c r="K5018" s="3"/>
      <c r="L5018" s="3"/>
    </row>
    <row r="5019" spans="9:12" x14ac:dyDescent="0.25">
      <c r="I5019" s="3"/>
      <c r="J5019" s="3"/>
      <c r="K5019" s="3"/>
      <c r="L5019" s="3"/>
    </row>
    <row r="5020" spans="9:12" x14ac:dyDescent="0.25">
      <c r="I5020" s="3"/>
      <c r="J5020" s="3"/>
      <c r="K5020" s="3"/>
      <c r="L5020" s="3"/>
    </row>
    <row r="5021" spans="9:12" x14ac:dyDescent="0.25">
      <c r="I5021" s="3"/>
      <c r="J5021" s="3"/>
      <c r="K5021" s="3"/>
      <c r="L5021" s="3"/>
    </row>
    <row r="5022" spans="9:12" x14ac:dyDescent="0.25">
      <c r="I5022" s="3"/>
      <c r="J5022" s="3"/>
      <c r="K5022" s="3"/>
      <c r="L5022" s="3"/>
    </row>
    <row r="5023" spans="9:12" x14ac:dyDescent="0.25">
      <c r="I5023" s="3"/>
      <c r="J5023" s="3"/>
      <c r="K5023" s="3"/>
      <c r="L5023" s="3"/>
    </row>
    <row r="5024" spans="9:12" x14ac:dyDescent="0.25">
      <c r="I5024" s="3"/>
      <c r="J5024" s="3"/>
      <c r="K5024" s="3"/>
      <c r="L5024" s="3"/>
    </row>
    <row r="5025" spans="9:12" x14ac:dyDescent="0.25">
      <c r="I5025" s="3"/>
      <c r="J5025" s="3"/>
      <c r="K5025" s="3"/>
      <c r="L5025" s="3"/>
    </row>
    <row r="5026" spans="9:12" x14ac:dyDescent="0.25">
      <c r="I5026" s="3"/>
      <c r="J5026" s="3"/>
      <c r="K5026" s="3"/>
      <c r="L5026" s="3"/>
    </row>
    <row r="5027" spans="9:12" x14ac:dyDescent="0.25">
      <c r="I5027" s="3"/>
      <c r="J5027" s="3"/>
      <c r="K5027" s="3"/>
      <c r="L5027" s="3"/>
    </row>
    <row r="5028" spans="9:12" x14ac:dyDescent="0.25">
      <c r="I5028" s="3"/>
      <c r="J5028" s="3"/>
      <c r="K5028" s="3"/>
      <c r="L5028" s="3"/>
    </row>
    <row r="5029" spans="9:12" x14ac:dyDescent="0.25">
      <c r="I5029" s="3"/>
      <c r="J5029" s="3"/>
      <c r="K5029" s="3"/>
      <c r="L5029" s="3"/>
    </row>
    <row r="5030" spans="9:12" x14ac:dyDescent="0.25">
      <c r="I5030" s="3"/>
      <c r="J5030" s="3"/>
      <c r="K5030" s="3"/>
      <c r="L5030" s="3"/>
    </row>
    <row r="5031" spans="9:12" x14ac:dyDescent="0.25">
      <c r="I5031" s="3"/>
      <c r="J5031" s="3"/>
      <c r="K5031" s="3"/>
      <c r="L5031" s="3"/>
    </row>
    <row r="5032" spans="9:12" x14ac:dyDescent="0.25">
      <c r="I5032" s="3"/>
      <c r="J5032" s="3"/>
      <c r="K5032" s="3"/>
      <c r="L5032" s="3"/>
    </row>
    <row r="5033" spans="9:12" x14ac:dyDescent="0.25">
      <c r="I5033" s="3"/>
      <c r="J5033" s="3"/>
      <c r="K5033" s="3"/>
      <c r="L5033" s="3"/>
    </row>
    <row r="5034" spans="9:12" x14ac:dyDescent="0.25">
      <c r="I5034" s="3"/>
      <c r="J5034" s="3"/>
      <c r="K5034" s="3"/>
      <c r="L5034" s="3"/>
    </row>
    <row r="5035" spans="9:12" x14ac:dyDescent="0.25">
      <c r="I5035" s="3"/>
      <c r="J5035" s="3"/>
      <c r="K5035" s="3"/>
      <c r="L5035" s="3"/>
    </row>
    <row r="5036" spans="9:12" x14ac:dyDescent="0.25">
      <c r="I5036" s="3"/>
      <c r="J5036" s="3"/>
      <c r="K5036" s="3"/>
      <c r="L5036" s="3"/>
    </row>
    <row r="5037" spans="9:12" x14ac:dyDescent="0.25">
      <c r="I5037" s="3"/>
      <c r="J5037" s="3"/>
      <c r="K5037" s="3"/>
      <c r="L5037" s="3"/>
    </row>
    <row r="5038" spans="9:12" x14ac:dyDescent="0.25">
      <c r="I5038" s="3"/>
      <c r="J5038" s="3"/>
      <c r="K5038" s="3"/>
      <c r="L5038" s="3"/>
    </row>
    <row r="5039" spans="9:12" x14ac:dyDescent="0.25">
      <c r="I5039" s="3"/>
      <c r="J5039" s="3"/>
      <c r="K5039" s="3"/>
      <c r="L5039" s="3"/>
    </row>
    <row r="5040" spans="9:12" x14ac:dyDescent="0.25">
      <c r="I5040" s="3"/>
      <c r="J5040" s="3"/>
      <c r="K5040" s="3"/>
      <c r="L5040" s="3"/>
    </row>
    <row r="5041" spans="9:12" x14ac:dyDescent="0.25">
      <c r="I5041" s="3"/>
      <c r="J5041" s="3"/>
      <c r="K5041" s="3"/>
      <c r="L5041" s="3"/>
    </row>
    <row r="5042" spans="9:12" x14ac:dyDescent="0.25">
      <c r="I5042" s="3"/>
      <c r="J5042" s="3"/>
      <c r="K5042" s="3"/>
      <c r="L5042" s="3"/>
    </row>
    <row r="5043" spans="9:12" x14ac:dyDescent="0.25">
      <c r="I5043" s="3"/>
      <c r="J5043" s="3"/>
      <c r="K5043" s="3"/>
      <c r="L5043" s="3"/>
    </row>
    <row r="5044" spans="9:12" x14ac:dyDescent="0.25">
      <c r="I5044" s="3"/>
      <c r="J5044" s="3"/>
      <c r="K5044" s="3"/>
      <c r="L5044" s="3"/>
    </row>
    <row r="5045" spans="9:12" x14ac:dyDescent="0.25">
      <c r="I5045" s="3"/>
      <c r="J5045" s="3"/>
      <c r="K5045" s="3"/>
      <c r="L5045" s="3"/>
    </row>
    <row r="5046" spans="9:12" x14ac:dyDescent="0.25">
      <c r="I5046" s="3"/>
      <c r="J5046" s="3"/>
      <c r="K5046" s="3"/>
      <c r="L5046" s="3"/>
    </row>
    <row r="5047" spans="9:12" x14ac:dyDescent="0.25">
      <c r="I5047" s="3"/>
      <c r="J5047" s="3"/>
      <c r="K5047" s="3"/>
      <c r="L5047" s="3"/>
    </row>
    <row r="5048" spans="9:12" x14ac:dyDescent="0.25">
      <c r="I5048" s="3"/>
      <c r="J5048" s="3"/>
      <c r="K5048" s="3"/>
      <c r="L5048" s="3"/>
    </row>
    <row r="5049" spans="9:12" x14ac:dyDescent="0.25">
      <c r="I5049" s="3"/>
      <c r="J5049" s="3"/>
      <c r="K5049" s="3"/>
      <c r="L5049" s="3"/>
    </row>
    <row r="5050" spans="9:12" x14ac:dyDescent="0.25">
      <c r="I5050" s="3"/>
      <c r="J5050" s="3"/>
      <c r="K5050" s="3"/>
      <c r="L5050" s="3"/>
    </row>
    <row r="5051" spans="9:12" x14ac:dyDescent="0.25">
      <c r="I5051" s="3"/>
      <c r="J5051" s="3"/>
      <c r="K5051" s="3"/>
      <c r="L5051" s="3"/>
    </row>
    <row r="5052" spans="9:12" x14ac:dyDescent="0.25">
      <c r="I5052" s="3"/>
      <c r="J5052" s="3"/>
      <c r="K5052" s="3"/>
      <c r="L5052" s="3"/>
    </row>
    <row r="5053" spans="9:12" x14ac:dyDescent="0.25">
      <c r="I5053" s="3"/>
      <c r="J5053" s="3"/>
      <c r="K5053" s="3"/>
      <c r="L5053" s="3"/>
    </row>
    <row r="5054" spans="9:12" x14ac:dyDescent="0.25">
      <c r="I5054" s="4"/>
      <c r="J5054" s="4"/>
      <c r="K5054" s="4"/>
      <c r="L5054" s="4"/>
    </row>
    <row r="5055" spans="9:12" x14ac:dyDescent="0.25">
      <c r="I5055" s="3"/>
      <c r="J5055" s="3"/>
      <c r="K5055" s="3"/>
      <c r="L5055" s="3"/>
    </row>
    <row r="5056" spans="9:12" x14ac:dyDescent="0.25">
      <c r="I5056" s="3"/>
      <c r="J5056" s="3"/>
      <c r="K5056" s="3"/>
      <c r="L5056" s="3"/>
    </row>
    <row r="5057" spans="9:12" x14ac:dyDescent="0.25">
      <c r="I5057" s="3"/>
      <c r="J5057" s="3"/>
      <c r="K5057" s="3"/>
      <c r="L5057" s="3"/>
    </row>
    <row r="5058" spans="9:12" x14ac:dyDescent="0.25">
      <c r="I5058" s="3"/>
      <c r="J5058" s="3"/>
      <c r="K5058" s="3"/>
      <c r="L5058" s="3"/>
    </row>
    <row r="5059" spans="9:12" x14ac:dyDescent="0.25">
      <c r="I5059" s="3"/>
      <c r="J5059" s="3"/>
      <c r="K5059" s="3"/>
      <c r="L5059" s="3"/>
    </row>
    <row r="5060" spans="9:12" x14ac:dyDescent="0.25">
      <c r="I5060" s="3"/>
      <c r="J5060" s="3"/>
      <c r="K5060" s="3"/>
      <c r="L5060" s="3"/>
    </row>
    <row r="5061" spans="9:12" x14ac:dyDescent="0.25">
      <c r="I5061" s="3"/>
      <c r="J5061" s="3"/>
      <c r="K5061" s="3"/>
      <c r="L5061" s="3"/>
    </row>
    <row r="5062" spans="9:12" x14ac:dyDescent="0.25">
      <c r="I5062" s="3"/>
      <c r="J5062" s="3"/>
      <c r="K5062" s="3"/>
      <c r="L5062" s="3"/>
    </row>
    <row r="5063" spans="9:12" x14ac:dyDescent="0.25">
      <c r="I5063" s="3"/>
      <c r="J5063" s="3"/>
      <c r="K5063" s="3"/>
      <c r="L5063" s="3"/>
    </row>
    <row r="5064" spans="9:12" x14ac:dyDescent="0.25">
      <c r="I5064" s="3"/>
      <c r="J5064" s="3"/>
      <c r="K5064" s="3"/>
      <c r="L5064" s="3"/>
    </row>
    <row r="5065" spans="9:12" x14ac:dyDescent="0.25">
      <c r="I5065" s="3"/>
      <c r="J5065" s="3"/>
      <c r="K5065" s="3"/>
      <c r="L5065" s="3"/>
    </row>
    <row r="5066" spans="9:12" x14ac:dyDescent="0.25">
      <c r="I5066" s="3"/>
      <c r="J5066" s="3"/>
      <c r="K5066" s="3"/>
      <c r="L5066" s="3"/>
    </row>
    <row r="5067" spans="9:12" x14ac:dyDescent="0.25">
      <c r="I5067" s="3"/>
      <c r="J5067" s="3"/>
      <c r="K5067" s="3"/>
      <c r="L5067" s="3"/>
    </row>
    <row r="5068" spans="9:12" x14ac:dyDescent="0.25">
      <c r="I5068" s="3"/>
      <c r="J5068" s="3"/>
      <c r="K5068" s="3"/>
      <c r="L5068" s="3"/>
    </row>
    <row r="5069" spans="9:12" x14ac:dyDescent="0.25">
      <c r="I5069" s="3"/>
      <c r="J5069" s="3"/>
      <c r="K5069" s="3"/>
      <c r="L5069" s="3"/>
    </row>
    <row r="5070" spans="9:12" x14ac:dyDescent="0.25">
      <c r="I5070" s="3"/>
      <c r="J5070" s="3"/>
      <c r="K5070" s="3"/>
      <c r="L5070" s="3"/>
    </row>
    <row r="5071" spans="9:12" x14ac:dyDescent="0.25">
      <c r="I5071" s="3"/>
      <c r="J5071" s="3"/>
      <c r="K5071" s="3"/>
      <c r="L5071" s="3"/>
    </row>
    <row r="5072" spans="9:12" x14ac:dyDescent="0.25">
      <c r="I5072" s="3"/>
      <c r="J5072" s="3"/>
      <c r="K5072" s="3"/>
      <c r="L5072" s="3"/>
    </row>
    <row r="5073" spans="9:12" x14ac:dyDescent="0.25">
      <c r="I5073" s="3"/>
      <c r="J5073" s="3"/>
      <c r="K5073" s="3"/>
      <c r="L5073" s="3"/>
    </row>
    <row r="5074" spans="9:12" x14ac:dyDescent="0.25">
      <c r="I5074" s="3"/>
      <c r="J5074" s="3"/>
      <c r="K5074" s="3"/>
      <c r="L5074" s="3"/>
    </row>
    <row r="5075" spans="9:12" x14ac:dyDescent="0.25">
      <c r="I5075" s="3"/>
      <c r="J5075" s="3"/>
      <c r="K5075" s="3"/>
      <c r="L5075" s="3"/>
    </row>
    <row r="5076" spans="9:12" x14ac:dyDescent="0.25">
      <c r="I5076" s="3"/>
      <c r="J5076" s="3"/>
      <c r="K5076" s="3"/>
      <c r="L5076" s="3"/>
    </row>
    <row r="5077" spans="9:12" x14ac:dyDescent="0.25">
      <c r="I5077" s="3"/>
      <c r="J5077" s="3"/>
      <c r="K5077" s="3"/>
      <c r="L5077" s="3"/>
    </row>
    <row r="5078" spans="9:12" x14ac:dyDescent="0.25">
      <c r="I5078" s="3"/>
      <c r="J5078" s="3"/>
      <c r="K5078" s="3"/>
      <c r="L5078" s="3"/>
    </row>
    <row r="5079" spans="9:12" x14ac:dyDescent="0.25">
      <c r="I5079" s="3"/>
      <c r="J5079" s="3"/>
      <c r="K5079" s="3"/>
      <c r="L5079" s="3"/>
    </row>
    <row r="5080" spans="9:12" x14ac:dyDescent="0.25">
      <c r="I5080" s="3"/>
      <c r="J5080" s="3"/>
      <c r="K5080" s="3"/>
      <c r="L5080" s="3"/>
    </row>
    <row r="5081" spans="9:12" x14ac:dyDescent="0.25">
      <c r="I5081" s="3"/>
      <c r="J5081" s="3"/>
      <c r="K5081" s="3"/>
      <c r="L5081" s="3"/>
    </row>
    <row r="5082" spans="9:12" x14ac:dyDescent="0.25">
      <c r="I5082" s="3"/>
      <c r="J5082" s="3"/>
      <c r="K5082" s="3"/>
      <c r="L5082" s="3"/>
    </row>
    <row r="5083" spans="9:12" x14ac:dyDescent="0.25">
      <c r="I5083" s="3"/>
      <c r="J5083" s="3"/>
      <c r="K5083" s="3"/>
      <c r="L5083" s="3"/>
    </row>
    <row r="5084" spans="9:12" x14ac:dyDescent="0.25">
      <c r="I5084" s="3"/>
      <c r="J5084" s="3"/>
      <c r="K5084" s="3"/>
      <c r="L5084" s="3"/>
    </row>
    <row r="5085" spans="9:12" x14ac:dyDescent="0.25">
      <c r="I5085" s="3"/>
      <c r="J5085" s="3"/>
      <c r="K5085" s="3"/>
      <c r="L5085" s="3"/>
    </row>
    <row r="5086" spans="9:12" x14ac:dyDescent="0.25">
      <c r="I5086" s="3"/>
      <c r="J5086" s="3"/>
      <c r="K5086" s="3"/>
      <c r="L5086" s="3"/>
    </row>
    <row r="5087" spans="9:12" x14ac:dyDescent="0.25">
      <c r="I5087" s="3"/>
      <c r="J5087" s="3"/>
      <c r="K5087" s="3"/>
      <c r="L5087" s="3"/>
    </row>
    <row r="5088" spans="9:12" x14ac:dyDescent="0.25">
      <c r="I5088" s="3"/>
      <c r="J5088" s="3"/>
      <c r="K5088" s="3"/>
      <c r="L5088" s="3"/>
    </row>
    <row r="5089" spans="9:12" x14ac:dyDescent="0.25">
      <c r="I5089" s="3"/>
      <c r="J5089" s="3"/>
      <c r="K5089" s="3"/>
      <c r="L5089" s="3"/>
    </row>
    <row r="5090" spans="9:12" x14ac:dyDescent="0.25">
      <c r="I5090" s="3"/>
      <c r="J5090" s="3"/>
      <c r="K5090" s="3"/>
      <c r="L5090" s="3"/>
    </row>
    <row r="5091" spans="9:12" x14ac:dyDescent="0.25">
      <c r="I5091" s="3"/>
      <c r="J5091" s="3"/>
      <c r="K5091" s="3"/>
      <c r="L5091" s="3"/>
    </row>
    <row r="5092" spans="9:12" x14ac:dyDescent="0.25">
      <c r="I5092" s="3"/>
      <c r="J5092" s="3"/>
      <c r="K5092" s="3"/>
      <c r="L5092" s="3"/>
    </row>
    <row r="5093" spans="9:12" x14ac:dyDescent="0.25">
      <c r="I5093" s="3"/>
      <c r="J5093" s="3"/>
      <c r="K5093" s="3"/>
      <c r="L5093" s="3"/>
    </row>
    <row r="5094" spans="9:12" x14ac:dyDescent="0.25">
      <c r="I5094" s="3"/>
      <c r="J5094" s="3"/>
      <c r="K5094" s="3"/>
      <c r="L5094" s="3"/>
    </row>
    <row r="5095" spans="9:12" x14ac:dyDescent="0.25">
      <c r="I5095" s="3"/>
      <c r="J5095" s="3"/>
      <c r="K5095" s="3"/>
      <c r="L5095" s="3"/>
    </row>
    <row r="5096" spans="9:12" x14ac:dyDescent="0.25">
      <c r="I5096" s="3"/>
      <c r="J5096" s="3"/>
      <c r="K5096" s="3"/>
      <c r="L5096" s="3"/>
    </row>
    <row r="5097" spans="9:12" x14ac:dyDescent="0.25">
      <c r="I5097" s="3"/>
      <c r="J5097" s="3"/>
      <c r="K5097" s="3"/>
      <c r="L5097" s="3"/>
    </row>
    <row r="5098" spans="9:12" x14ac:dyDescent="0.25">
      <c r="I5098" s="3"/>
      <c r="J5098" s="3"/>
      <c r="K5098" s="3"/>
      <c r="L5098" s="3"/>
    </row>
    <row r="5099" spans="9:12" x14ac:dyDescent="0.25">
      <c r="I5099" s="3"/>
      <c r="J5099" s="3"/>
      <c r="K5099" s="3"/>
      <c r="L5099" s="3"/>
    </row>
    <row r="5100" spans="9:12" x14ac:dyDescent="0.25">
      <c r="I5100" s="3"/>
      <c r="J5100" s="3"/>
      <c r="K5100" s="3"/>
      <c r="L5100" s="3"/>
    </row>
    <row r="5101" spans="9:12" x14ac:dyDescent="0.25">
      <c r="I5101" s="3"/>
      <c r="J5101" s="3"/>
      <c r="K5101" s="3"/>
      <c r="L5101" s="3"/>
    </row>
    <row r="5102" spans="9:12" x14ac:dyDescent="0.25">
      <c r="I5102" s="3"/>
      <c r="J5102" s="3"/>
      <c r="K5102" s="3"/>
      <c r="L5102" s="3"/>
    </row>
    <row r="5103" spans="9:12" x14ac:dyDescent="0.25">
      <c r="I5103" s="3"/>
      <c r="J5103" s="3"/>
      <c r="K5103" s="3"/>
      <c r="L5103" s="3"/>
    </row>
    <row r="5104" spans="9:12" x14ac:dyDescent="0.25">
      <c r="I5104" s="3"/>
      <c r="J5104" s="3"/>
      <c r="K5104" s="3"/>
      <c r="L5104" s="3"/>
    </row>
    <row r="5105" spans="9:12" x14ac:dyDescent="0.25">
      <c r="I5105" s="3"/>
      <c r="J5105" s="3"/>
      <c r="K5105" s="3"/>
      <c r="L5105" s="3"/>
    </row>
    <row r="5106" spans="9:12" x14ac:dyDescent="0.25">
      <c r="I5106" s="3"/>
      <c r="J5106" s="3"/>
      <c r="K5106" s="3"/>
      <c r="L5106" s="3"/>
    </row>
    <row r="5107" spans="9:12" x14ac:dyDescent="0.25">
      <c r="I5107" s="3"/>
      <c r="J5107" s="3"/>
      <c r="K5107" s="3"/>
      <c r="L5107" s="3"/>
    </row>
    <row r="5108" spans="9:12" x14ac:dyDescent="0.25">
      <c r="I5108" s="3"/>
      <c r="J5108" s="3"/>
      <c r="K5108" s="3"/>
      <c r="L5108" s="3"/>
    </row>
    <row r="5109" spans="9:12" x14ac:dyDescent="0.25">
      <c r="I5109" s="3"/>
      <c r="J5109" s="3"/>
      <c r="K5109" s="3"/>
      <c r="L5109" s="3"/>
    </row>
    <row r="5110" spans="9:12" x14ac:dyDescent="0.25">
      <c r="I5110" s="3"/>
      <c r="J5110" s="3"/>
      <c r="K5110" s="3"/>
      <c r="L5110" s="3"/>
    </row>
    <row r="5111" spans="9:12" x14ac:dyDescent="0.25">
      <c r="I5111" s="3"/>
      <c r="J5111" s="3"/>
      <c r="K5111" s="3"/>
      <c r="L5111" s="3"/>
    </row>
    <row r="5112" spans="9:12" x14ac:dyDescent="0.25">
      <c r="I5112" s="3"/>
      <c r="J5112" s="3"/>
      <c r="K5112" s="3"/>
      <c r="L5112" s="3"/>
    </row>
    <row r="5113" spans="9:12" x14ac:dyDescent="0.25">
      <c r="I5113" s="3"/>
      <c r="J5113" s="3"/>
      <c r="K5113" s="3"/>
      <c r="L5113" s="3"/>
    </row>
    <row r="5114" spans="9:12" x14ac:dyDescent="0.25">
      <c r="I5114" s="3"/>
      <c r="J5114" s="3"/>
      <c r="K5114" s="3"/>
      <c r="L5114" s="3"/>
    </row>
    <row r="5115" spans="9:12" x14ac:dyDescent="0.25">
      <c r="I5115" s="3"/>
      <c r="J5115" s="3"/>
      <c r="K5115" s="3"/>
      <c r="L5115" s="3"/>
    </row>
    <row r="5116" spans="9:12" x14ac:dyDescent="0.25">
      <c r="I5116" s="3"/>
      <c r="J5116" s="3"/>
      <c r="K5116" s="3"/>
      <c r="L5116" s="3"/>
    </row>
    <row r="5117" spans="9:12" x14ac:dyDescent="0.25">
      <c r="I5117" s="3"/>
      <c r="J5117" s="3"/>
      <c r="K5117" s="3"/>
      <c r="L5117" s="3"/>
    </row>
    <row r="5118" spans="9:12" x14ac:dyDescent="0.25">
      <c r="I5118" s="3"/>
      <c r="J5118" s="3"/>
      <c r="K5118" s="3"/>
      <c r="L5118" s="3"/>
    </row>
    <row r="5119" spans="9:12" x14ac:dyDescent="0.25">
      <c r="I5119" s="3"/>
      <c r="J5119" s="3"/>
      <c r="K5119" s="3"/>
      <c r="L5119" s="3"/>
    </row>
    <row r="5120" spans="9:12" x14ac:dyDescent="0.25">
      <c r="I5120" s="3"/>
      <c r="J5120" s="3"/>
      <c r="K5120" s="3"/>
      <c r="L5120" s="3"/>
    </row>
    <row r="5121" spans="9:12" x14ac:dyDescent="0.25">
      <c r="I5121" s="3"/>
      <c r="J5121" s="3"/>
      <c r="K5121" s="3"/>
      <c r="L5121" s="3"/>
    </row>
    <row r="5122" spans="9:12" x14ac:dyDescent="0.25">
      <c r="I5122" s="3"/>
      <c r="J5122" s="3"/>
      <c r="K5122" s="3"/>
      <c r="L5122" s="3"/>
    </row>
    <row r="5123" spans="9:12" x14ac:dyDescent="0.25">
      <c r="I5123" s="3"/>
      <c r="J5123" s="3"/>
      <c r="K5123" s="3"/>
      <c r="L5123" s="3"/>
    </row>
    <row r="5124" spans="9:12" x14ac:dyDescent="0.25">
      <c r="I5124" s="3"/>
      <c r="J5124" s="3"/>
      <c r="K5124" s="3"/>
      <c r="L5124" s="3"/>
    </row>
    <row r="5125" spans="9:12" x14ac:dyDescent="0.25">
      <c r="I5125" s="3"/>
      <c r="J5125" s="3"/>
      <c r="K5125" s="3"/>
      <c r="L5125" s="3"/>
    </row>
    <row r="5126" spans="9:12" x14ac:dyDescent="0.25">
      <c r="I5126" s="3"/>
      <c r="J5126" s="3"/>
      <c r="K5126" s="3"/>
      <c r="L5126" s="3"/>
    </row>
    <row r="5127" spans="9:12" x14ac:dyDescent="0.25">
      <c r="I5127" s="4"/>
      <c r="J5127" s="4"/>
      <c r="K5127" s="4"/>
      <c r="L5127" s="4"/>
    </row>
    <row r="5128" spans="9:12" x14ac:dyDescent="0.25">
      <c r="I5128" s="3"/>
      <c r="J5128" s="3"/>
      <c r="K5128" s="3"/>
      <c r="L5128" s="3"/>
    </row>
    <row r="5129" spans="9:12" x14ac:dyDescent="0.25">
      <c r="I5129" s="3"/>
      <c r="J5129" s="3"/>
      <c r="K5129" s="3"/>
      <c r="L5129" s="3"/>
    </row>
    <row r="5130" spans="9:12" x14ac:dyDescent="0.25">
      <c r="I5130" s="3"/>
      <c r="J5130" s="3"/>
      <c r="K5130" s="3"/>
      <c r="L5130" s="3"/>
    </row>
    <row r="5131" spans="9:12" x14ac:dyDescent="0.25">
      <c r="I5131" s="3"/>
      <c r="J5131" s="3"/>
      <c r="K5131" s="3"/>
      <c r="L5131" s="3"/>
    </row>
    <row r="5132" spans="9:12" x14ac:dyDescent="0.25">
      <c r="I5132" s="3"/>
      <c r="J5132" s="3"/>
      <c r="K5132" s="3"/>
      <c r="L5132" s="3"/>
    </row>
    <row r="5133" spans="9:12" x14ac:dyDescent="0.25">
      <c r="I5133" s="3"/>
      <c r="J5133" s="3"/>
      <c r="K5133" s="3"/>
      <c r="L5133" s="3"/>
    </row>
    <row r="5134" spans="9:12" x14ac:dyDescent="0.25">
      <c r="I5134" s="3"/>
      <c r="J5134" s="3"/>
      <c r="K5134" s="3"/>
      <c r="L5134" s="3"/>
    </row>
    <row r="5135" spans="9:12" x14ac:dyDescent="0.25">
      <c r="I5135" s="3"/>
      <c r="J5135" s="3"/>
      <c r="K5135" s="3"/>
      <c r="L5135" s="3"/>
    </row>
    <row r="5136" spans="9:12" x14ac:dyDescent="0.25">
      <c r="I5136" s="3"/>
      <c r="J5136" s="3"/>
      <c r="K5136" s="3"/>
      <c r="L5136" s="3"/>
    </row>
    <row r="5137" spans="9:12" x14ac:dyDescent="0.25">
      <c r="I5137" s="3"/>
      <c r="J5137" s="3"/>
      <c r="K5137" s="3"/>
      <c r="L5137" s="3"/>
    </row>
    <row r="5138" spans="9:12" x14ac:dyDescent="0.25">
      <c r="I5138" s="3"/>
      <c r="J5138" s="3"/>
      <c r="K5138" s="3"/>
      <c r="L5138" s="3"/>
    </row>
    <row r="5139" spans="9:12" x14ac:dyDescent="0.25">
      <c r="I5139" s="3"/>
      <c r="J5139" s="3"/>
      <c r="K5139" s="3"/>
      <c r="L5139" s="3"/>
    </row>
    <row r="5140" spans="9:12" x14ac:dyDescent="0.25">
      <c r="I5140" s="3"/>
      <c r="J5140" s="3"/>
      <c r="K5140" s="3"/>
      <c r="L5140" s="3"/>
    </row>
    <row r="5141" spans="9:12" x14ac:dyDescent="0.25">
      <c r="I5141" s="3"/>
      <c r="J5141" s="3"/>
      <c r="K5141" s="3"/>
      <c r="L5141" s="3"/>
    </row>
    <row r="5142" spans="9:12" x14ac:dyDescent="0.25">
      <c r="I5142" s="3"/>
      <c r="J5142" s="3"/>
      <c r="K5142" s="3"/>
      <c r="L5142" s="3"/>
    </row>
    <row r="5143" spans="9:12" x14ac:dyDescent="0.25">
      <c r="I5143" s="3"/>
      <c r="J5143" s="3"/>
      <c r="K5143" s="3"/>
      <c r="L5143" s="3"/>
    </row>
    <row r="5144" spans="9:12" x14ac:dyDescent="0.25">
      <c r="I5144" s="3"/>
      <c r="J5144" s="3"/>
      <c r="K5144" s="3"/>
      <c r="L5144" s="3"/>
    </row>
    <row r="5145" spans="9:12" x14ac:dyDescent="0.25">
      <c r="I5145" s="3"/>
      <c r="J5145" s="3"/>
      <c r="K5145" s="3"/>
      <c r="L5145" s="3"/>
    </row>
    <row r="5146" spans="9:12" x14ac:dyDescent="0.25">
      <c r="I5146" s="3"/>
      <c r="J5146" s="3"/>
      <c r="K5146" s="3"/>
      <c r="L5146" s="3"/>
    </row>
    <row r="5147" spans="9:12" x14ac:dyDescent="0.25">
      <c r="I5147" s="3"/>
      <c r="J5147" s="3"/>
      <c r="K5147" s="3"/>
      <c r="L5147" s="3"/>
    </row>
    <row r="5148" spans="9:12" x14ac:dyDescent="0.25">
      <c r="I5148" s="3"/>
      <c r="J5148" s="3"/>
      <c r="K5148" s="3"/>
      <c r="L5148" s="3"/>
    </row>
    <row r="5149" spans="9:12" x14ac:dyDescent="0.25">
      <c r="I5149" s="3"/>
      <c r="J5149" s="3"/>
      <c r="K5149" s="3"/>
      <c r="L5149" s="3"/>
    </row>
    <row r="5150" spans="9:12" x14ac:dyDescent="0.25">
      <c r="I5150" s="3"/>
      <c r="J5150" s="3"/>
      <c r="K5150" s="3"/>
      <c r="L5150" s="3"/>
    </row>
    <row r="5151" spans="9:12" x14ac:dyDescent="0.25">
      <c r="I5151" s="3"/>
      <c r="J5151" s="3"/>
      <c r="K5151" s="3"/>
      <c r="L5151" s="3"/>
    </row>
    <row r="5152" spans="9:12" x14ac:dyDescent="0.25">
      <c r="I5152" s="3"/>
      <c r="J5152" s="3"/>
      <c r="K5152" s="3"/>
      <c r="L5152" s="3"/>
    </row>
    <row r="5153" spans="9:12" x14ac:dyDescent="0.25">
      <c r="I5153" s="3"/>
      <c r="J5153" s="3"/>
      <c r="K5153" s="3"/>
      <c r="L5153" s="3"/>
    </row>
    <row r="5154" spans="9:12" x14ac:dyDescent="0.25">
      <c r="I5154" s="3"/>
      <c r="J5154" s="3"/>
      <c r="K5154" s="3"/>
      <c r="L5154" s="3"/>
    </row>
    <row r="5155" spans="9:12" x14ac:dyDescent="0.25">
      <c r="I5155" s="3"/>
      <c r="J5155" s="3"/>
      <c r="K5155" s="3"/>
      <c r="L5155" s="3"/>
    </row>
    <row r="5156" spans="9:12" x14ac:dyDescent="0.25">
      <c r="I5156" s="3"/>
      <c r="J5156" s="3"/>
      <c r="K5156" s="3"/>
      <c r="L5156" s="3"/>
    </row>
    <row r="5157" spans="9:12" x14ac:dyDescent="0.25">
      <c r="I5157" s="3"/>
      <c r="J5157" s="3"/>
      <c r="K5157" s="3"/>
      <c r="L5157" s="3"/>
    </row>
    <row r="5158" spans="9:12" x14ac:dyDescent="0.25">
      <c r="I5158" s="3"/>
      <c r="J5158" s="3"/>
      <c r="K5158" s="3"/>
      <c r="L5158" s="3"/>
    </row>
    <row r="5159" spans="9:12" x14ac:dyDescent="0.25">
      <c r="I5159" s="3"/>
      <c r="J5159" s="3"/>
      <c r="K5159" s="3"/>
      <c r="L5159" s="3"/>
    </row>
    <row r="5160" spans="9:12" x14ac:dyDescent="0.25">
      <c r="I5160" s="3"/>
      <c r="J5160" s="3"/>
      <c r="K5160" s="3"/>
      <c r="L5160" s="3"/>
    </row>
    <row r="5161" spans="9:12" x14ac:dyDescent="0.25">
      <c r="I5161" s="3"/>
      <c r="J5161" s="3"/>
      <c r="K5161" s="3"/>
      <c r="L5161" s="3"/>
    </row>
    <row r="5162" spans="9:12" x14ac:dyDescent="0.25">
      <c r="I5162" s="3"/>
      <c r="J5162" s="3"/>
      <c r="K5162" s="3"/>
      <c r="L5162" s="3"/>
    </row>
    <row r="5163" spans="9:12" x14ac:dyDescent="0.25">
      <c r="I5163" s="3"/>
      <c r="J5163" s="3"/>
      <c r="K5163" s="3"/>
      <c r="L5163" s="3"/>
    </row>
    <row r="5164" spans="9:12" x14ac:dyDescent="0.25">
      <c r="I5164" s="3"/>
      <c r="J5164" s="3"/>
      <c r="K5164" s="3"/>
      <c r="L5164" s="3"/>
    </row>
    <row r="5165" spans="9:12" x14ac:dyDescent="0.25">
      <c r="I5165" s="3"/>
      <c r="J5165" s="3"/>
      <c r="K5165" s="3"/>
      <c r="L5165" s="3"/>
    </row>
    <row r="5166" spans="9:12" x14ac:dyDescent="0.25">
      <c r="I5166" s="3"/>
      <c r="J5166" s="3"/>
      <c r="K5166" s="3"/>
      <c r="L5166" s="3"/>
    </row>
    <row r="5167" spans="9:12" x14ac:dyDescent="0.25">
      <c r="I5167" s="3"/>
      <c r="J5167" s="3"/>
      <c r="K5167" s="3"/>
      <c r="L5167" s="3"/>
    </row>
    <row r="5168" spans="9:12" x14ac:dyDescent="0.25">
      <c r="I5168" s="3"/>
      <c r="J5168" s="3"/>
      <c r="K5168" s="3"/>
      <c r="L5168" s="3"/>
    </row>
    <row r="5169" spans="9:12" x14ac:dyDescent="0.25">
      <c r="I5169" s="3"/>
      <c r="J5169" s="3"/>
      <c r="K5169" s="3"/>
      <c r="L5169" s="3"/>
    </row>
    <row r="5170" spans="9:12" x14ac:dyDescent="0.25">
      <c r="I5170" s="3"/>
      <c r="J5170" s="3"/>
      <c r="K5170" s="3"/>
      <c r="L5170" s="3"/>
    </row>
    <row r="5171" spans="9:12" x14ac:dyDescent="0.25">
      <c r="I5171" s="3"/>
      <c r="J5171" s="3"/>
      <c r="K5171" s="3"/>
      <c r="L5171" s="3"/>
    </row>
    <row r="5172" spans="9:12" x14ac:dyDescent="0.25">
      <c r="I5172" s="3"/>
      <c r="J5172" s="3"/>
      <c r="K5172" s="3"/>
      <c r="L5172" s="3"/>
    </row>
    <row r="5173" spans="9:12" x14ac:dyDescent="0.25">
      <c r="I5173" s="3"/>
      <c r="J5173" s="3"/>
      <c r="K5173" s="3"/>
      <c r="L5173" s="3"/>
    </row>
    <row r="5174" spans="9:12" x14ac:dyDescent="0.25">
      <c r="I5174" s="3"/>
      <c r="J5174" s="3"/>
      <c r="K5174" s="3"/>
      <c r="L5174" s="3"/>
    </row>
    <row r="5175" spans="9:12" x14ac:dyDescent="0.25">
      <c r="I5175" s="3"/>
      <c r="J5175" s="3"/>
      <c r="K5175" s="3"/>
      <c r="L5175" s="3"/>
    </row>
    <row r="5176" spans="9:12" x14ac:dyDescent="0.25">
      <c r="I5176" s="3"/>
      <c r="J5176" s="3"/>
      <c r="K5176" s="3"/>
      <c r="L5176" s="3"/>
    </row>
    <row r="5177" spans="9:12" x14ac:dyDescent="0.25">
      <c r="I5177" s="3"/>
      <c r="J5177" s="3"/>
      <c r="K5177" s="3"/>
      <c r="L5177" s="3"/>
    </row>
    <row r="5178" spans="9:12" x14ac:dyDescent="0.25">
      <c r="I5178" s="3"/>
      <c r="J5178" s="3"/>
      <c r="K5178" s="3"/>
      <c r="L5178" s="3"/>
    </row>
    <row r="5179" spans="9:12" x14ac:dyDescent="0.25">
      <c r="I5179" s="3"/>
      <c r="J5179" s="3"/>
      <c r="K5179" s="3"/>
      <c r="L5179" s="3"/>
    </row>
    <row r="5180" spans="9:12" x14ac:dyDescent="0.25">
      <c r="I5180" s="3"/>
      <c r="J5180" s="3"/>
      <c r="K5180" s="3"/>
      <c r="L5180" s="3"/>
    </row>
    <row r="5181" spans="9:12" x14ac:dyDescent="0.25">
      <c r="I5181" s="4"/>
      <c r="J5181" s="4"/>
      <c r="K5181" s="4"/>
      <c r="L5181" s="4"/>
    </row>
    <row r="5182" spans="9:12" x14ac:dyDescent="0.25">
      <c r="I5182" s="4"/>
      <c r="J5182" s="4"/>
      <c r="K5182" s="4"/>
      <c r="L5182" s="4"/>
    </row>
    <row r="5183" spans="9:12" x14ac:dyDescent="0.25">
      <c r="I5183" s="4"/>
      <c r="J5183" s="4"/>
      <c r="K5183" s="4"/>
      <c r="L5183" s="4"/>
    </row>
    <row r="5184" spans="9:12" x14ac:dyDescent="0.25">
      <c r="I5184" s="4"/>
      <c r="J5184" s="4"/>
      <c r="K5184" s="4"/>
      <c r="L5184" s="4"/>
    </row>
    <row r="5185" spans="9:12" x14ac:dyDescent="0.25">
      <c r="I5185" s="3"/>
      <c r="J5185" s="3"/>
      <c r="K5185" s="3"/>
      <c r="L5185" s="3"/>
    </row>
    <row r="5186" spans="9:12" x14ac:dyDescent="0.25">
      <c r="I5186" s="3"/>
      <c r="J5186" s="3"/>
      <c r="K5186" s="3"/>
      <c r="L5186" s="3"/>
    </row>
    <row r="5187" spans="9:12" x14ac:dyDescent="0.25">
      <c r="I5187" s="3"/>
      <c r="J5187" s="3"/>
      <c r="K5187" s="3"/>
      <c r="L5187" s="3"/>
    </row>
    <row r="5188" spans="9:12" x14ac:dyDescent="0.25">
      <c r="I5188" s="3"/>
      <c r="J5188" s="3"/>
      <c r="K5188" s="3"/>
      <c r="L5188" s="3"/>
    </row>
    <row r="5189" spans="9:12" x14ac:dyDescent="0.25">
      <c r="I5189" s="3"/>
      <c r="J5189" s="3"/>
      <c r="K5189" s="3"/>
      <c r="L5189" s="3"/>
    </row>
    <row r="5190" spans="9:12" x14ac:dyDescent="0.25">
      <c r="I5190" s="3"/>
      <c r="J5190" s="3"/>
      <c r="K5190" s="3"/>
      <c r="L5190" s="3"/>
    </row>
    <row r="5191" spans="9:12" x14ac:dyDescent="0.25">
      <c r="I5191" s="3"/>
      <c r="J5191" s="3"/>
      <c r="K5191" s="3"/>
      <c r="L5191" s="3"/>
    </row>
    <row r="5192" spans="9:12" x14ac:dyDescent="0.25">
      <c r="I5192" s="3"/>
      <c r="J5192" s="3"/>
      <c r="K5192" s="3"/>
      <c r="L5192" s="3"/>
    </row>
    <row r="5193" spans="9:12" x14ac:dyDescent="0.25">
      <c r="I5193" s="3"/>
      <c r="J5193" s="3"/>
      <c r="K5193" s="3"/>
      <c r="L5193" s="3"/>
    </row>
    <row r="5194" spans="9:12" x14ac:dyDescent="0.25">
      <c r="I5194" s="3"/>
      <c r="J5194" s="3"/>
      <c r="K5194" s="3"/>
      <c r="L5194" s="3"/>
    </row>
    <row r="5195" spans="9:12" x14ac:dyDescent="0.25">
      <c r="I5195" s="3"/>
      <c r="J5195" s="3"/>
      <c r="K5195" s="3"/>
      <c r="L5195" s="3"/>
    </row>
    <row r="5196" spans="9:12" x14ac:dyDescent="0.25">
      <c r="I5196" s="3"/>
      <c r="J5196" s="3"/>
      <c r="K5196" s="3"/>
      <c r="L5196" s="3"/>
    </row>
    <row r="5197" spans="9:12" x14ac:dyDescent="0.25">
      <c r="I5197" s="3"/>
      <c r="J5197" s="3"/>
      <c r="K5197" s="3"/>
      <c r="L5197" s="3"/>
    </row>
    <row r="5198" spans="9:12" x14ac:dyDescent="0.25">
      <c r="I5198" s="3"/>
      <c r="J5198" s="3"/>
      <c r="K5198" s="3"/>
      <c r="L5198" s="3"/>
    </row>
    <row r="5199" spans="9:12" x14ac:dyDescent="0.25">
      <c r="I5199" s="3"/>
      <c r="J5199" s="3"/>
      <c r="K5199" s="3"/>
      <c r="L5199" s="3"/>
    </row>
    <row r="5200" spans="9:12" x14ac:dyDescent="0.25">
      <c r="I5200" s="3"/>
      <c r="J5200" s="3"/>
      <c r="K5200" s="3"/>
      <c r="L5200" s="3"/>
    </row>
    <row r="5201" spans="9:12" x14ac:dyDescent="0.25">
      <c r="I5201" s="3"/>
      <c r="J5201" s="3"/>
      <c r="K5201" s="3"/>
      <c r="L5201" s="3"/>
    </row>
    <row r="5202" spans="9:12" x14ac:dyDescent="0.25">
      <c r="I5202" s="3"/>
      <c r="J5202" s="3"/>
      <c r="K5202" s="3"/>
      <c r="L5202" s="3"/>
    </row>
    <row r="5203" spans="9:12" x14ac:dyDescent="0.25">
      <c r="I5203" s="3"/>
      <c r="J5203" s="3"/>
      <c r="K5203" s="3"/>
      <c r="L5203" s="3"/>
    </row>
    <row r="5204" spans="9:12" x14ac:dyDescent="0.25">
      <c r="I5204" s="3"/>
      <c r="J5204" s="3"/>
      <c r="K5204" s="3"/>
      <c r="L5204" s="3"/>
    </row>
    <row r="5205" spans="9:12" x14ac:dyDescent="0.25">
      <c r="I5205" s="3"/>
      <c r="J5205" s="3"/>
      <c r="K5205" s="3"/>
      <c r="L5205" s="3"/>
    </row>
    <row r="5206" spans="9:12" x14ac:dyDescent="0.25">
      <c r="I5206" s="3"/>
      <c r="J5206" s="3"/>
      <c r="K5206" s="3"/>
      <c r="L5206" s="3"/>
    </row>
    <row r="5207" spans="9:12" x14ac:dyDescent="0.25">
      <c r="I5207" s="3"/>
      <c r="J5207" s="3"/>
      <c r="K5207" s="3"/>
      <c r="L5207" s="3"/>
    </row>
    <row r="5208" spans="9:12" x14ac:dyDescent="0.25">
      <c r="I5208" s="3"/>
      <c r="J5208" s="3"/>
      <c r="K5208" s="3"/>
      <c r="L5208" s="3"/>
    </row>
    <row r="5209" spans="9:12" x14ac:dyDescent="0.25">
      <c r="I5209" s="3"/>
      <c r="J5209" s="3"/>
      <c r="K5209" s="3"/>
      <c r="L5209" s="3"/>
    </row>
    <row r="5210" spans="9:12" x14ac:dyDescent="0.25">
      <c r="I5210" s="3"/>
      <c r="J5210" s="3"/>
      <c r="K5210" s="3"/>
      <c r="L5210" s="3"/>
    </row>
    <row r="5211" spans="9:12" x14ac:dyDescent="0.25">
      <c r="I5211" s="3"/>
      <c r="J5211" s="3"/>
      <c r="K5211" s="3"/>
      <c r="L5211" s="3"/>
    </row>
    <row r="5212" spans="9:12" x14ac:dyDescent="0.25">
      <c r="I5212" s="3"/>
      <c r="J5212" s="3"/>
      <c r="K5212" s="3"/>
      <c r="L5212" s="3"/>
    </row>
    <row r="5213" spans="9:12" x14ac:dyDescent="0.25">
      <c r="I5213" s="3"/>
      <c r="J5213" s="3"/>
      <c r="K5213" s="3"/>
      <c r="L5213" s="3"/>
    </row>
    <row r="5214" spans="9:12" x14ac:dyDescent="0.25">
      <c r="I5214" s="3"/>
      <c r="J5214" s="3"/>
      <c r="K5214" s="3"/>
      <c r="L5214" s="3"/>
    </row>
    <row r="5215" spans="9:12" x14ac:dyDescent="0.25">
      <c r="I5215" s="3"/>
      <c r="J5215" s="3"/>
      <c r="K5215" s="3"/>
      <c r="L5215" s="3"/>
    </row>
    <row r="5216" spans="9:12" x14ac:dyDescent="0.25">
      <c r="I5216" s="3"/>
      <c r="J5216" s="3"/>
      <c r="K5216" s="3"/>
      <c r="L5216" s="3"/>
    </row>
    <row r="5217" spans="9:12" x14ac:dyDescent="0.25">
      <c r="I5217" s="3"/>
      <c r="J5217" s="3"/>
      <c r="K5217" s="3"/>
      <c r="L5217" s="3"/>
    </row>
    <row r="5218" spans="9:12" x14ac:dyDescent="0.25">
      <c r="I5218" s="3"/>
      <c r="J5218" s="3"/>
      <c r="K5218" s="3"/>
      <c r="L5218" s="3"/>
    </row>
    <row r="5219" spans="9:12" x14ac:dyDescent="0.25">
      <c r="I5219" s="3"/>
      <c r="J5219" s="3"/>
      <c r="K5219" s="3"/>
      <c r="L5219" s="3"/>
    </row>
    <row r="5220" spans="9:12" x14ac:dyDescent="0.25">
      <c r="I5220" s="3"/>
      <c r="J5220" s="3"/>
      <c r="K5220" s="3"/>
      <c r="L5220" s="3"/>
    </row>
    <row r="5221" spans="9:12" x14ac:dyDescent="0.25">
      <c r="I5221" s="3"/>
      <c r="J5221" s="3"/>
      <c r="K5221" s="3"/>
      <c r="L5221" s="3"/>
    </row>
    <row r="5222" spans="9:12" x14ac:dyDescent="0.25">
      <c r="I5222" s="3"/>
      <c r="J5222" s="3"/>
      <c r="K5222" s="3"/>
      <c r="L5222" s="3"/>
    </row>
    <row r="5223" spans="9:12" x14ac:dyDescent="0.25">
      <c r="I5223" s="3"/>
      <c r="J5223" s="3"/>
      <c r="K5223" s="3"/>
      <c r="L5223" s="3"/>
    </row>
    <row r="5224" spans="9:12" x14ac:dyDescent="0.25">
      <c r="I5224" s="3"/>
      <c r="J5224" s="3"/>
      <c r="K5224" s="3"/>
      <c r="L5224" s="3"/>
    </row>
    <row r="5225" spans="9:12" x14ac:dyDescent="0.25">
      <c r="I5225" s="3"/>
      <c r="J5225" s="3"/>
      <c r="K5225" s="3"/>
      <c r="L5225" s="3"/>
    </row>
    <row r="5226" spans="9:12" x14ac:dyDescent="0.25">
      <c r="I5226" s="3"/>
      <c r="J5226" s="3"/>
      <c r="K5226" s="3"/>
      <c r="L5226" s="3"/>
    </row>
    <row r="5227" spans="9:12" x14ac:dyDescent="0.25">
      <c r="I5227" s="3"/>
      <c r="J5227" s="3"/>
      <c r="K5227" s="3"/>
      <c r="L5227" s="3"/>
    </row>
    <row r="5228" spans="9:12" x14ac:dyDescent="0.25">
      <c r="I5228" s="3"/>
      <c r="J5228" s="3"/>
      <c r="K5228" s="3"/>
      <c r="L5228" s="3"/>
    </row>
    <row r="5229" spans="9:12" x14ac:dyDescent="0.25">
      <c r="I5229" s="3"/>
      <c r="J5229" s="3"/>
      <c r="K5229" s="3"/>
      <c r="L5229" s="3"/>
    </row>
    <row r="5230" spans="9:12" x14ac:dyDescent="0.25">
      <c r="I5230" s="3"/>
      <c r="J5230" s="3"/>
      <c r="K5230" s="3"/>
      <c r="L5230" s="3"/>
    </row>
    <row r="5231" spans="9:12" x14ac:dyDescent="0.25">
      <c r="I5231" s="3"/>
      <c r="J5231" s="3"/>
      <c r="K5231" s="3"/>
      <c r="L5231" s="3"/>
    </row>
    <row r="5232" spans="9:12" x14ac:dyDescent="0.25">
      <c r="I5232" s="3"/>
      <c r="J5232" s="3"/>
      <c r="K5232" s="3"/>
      <c r="L5232" s="3"/>
    </row>
    <row r="5233" spans="9:12" x14ac:dyDescent="0.25">
      <c r="I5233" s="3"/>
      <c r="J5233" s="3"/>
      <c r="K5233" s="3"/>
      <c r="L5233" s="3"/>
    </row>
    <row r="5234" spans="9:12" x14ac:dyDescent="0.25">
      <c r="I5234" s="3"/>
      <c r="J5234" s="3"/>
      <c r="K5234" s="3"/>
      <c r="L5234" s="3"/>
    </row>
    <row r="5235" spans="9:12" x14ac:dyDescent="0.25">
      <c r="I5235" s="3"/>
      <c r="J5235" s="3"/>
      <c r="K5235" s="3"/>
      <c r="L5235" s="3"/>
    </row>
    <row r="5236" spans="9:12" x14ac:dyDescent="0.25">
      <c r="I5236" s="3"/>
      <c r="J5236" s="3"/>
      <c r="K5236" s="3"/>
      <c r="L5236" s="3"/>
    </row>
    <row r="5237" spans="9:12" x14ac:dyDescent="0.25">
      <c r="I5237" s="3"/>
      <c r="J5237" s="3"/>
      <c r="K5237" s="3"/>
      <c r="L5237" s="3"/>
    </row>
    <row r="5238" spans="9:12" x14ac:dyDescent="0.25">
      <c r="I5238" s="3"/>
      <c r="J5238" s="3"/>
      <c r="K5238" s="3"/>
      <c r="L5238" s="3"/>
    </row>
    <row r="5239" spans="9:12" x14ac:dyDescent="0.25">
      <c r="I5239" s="3"/>
      <c r="J5239" s="3"/>
      <c r="K5239" s="3"/>
      <c r="L5239" s="3"/>
    </row>
    <row r="5240" spans="9:12" x14ac:dyDescent="0.25">
      <c r="I5240" s="3"/>
      <c r="J5240" s="3"/>
      <c r="K5240" s="3"/>
      <c r="L5240" s="3"/>
    </row>
    <row r="5241" spans="9:12" x14ac:dyDescent="0.25">
      <c r="I5241" s="3"/>
      <c r="J5241" s="3"/>
      <c r="K5241" s="3"/>
      <c r="L5241" s="3"/>
    </row>
    <row r="5242" spans="9:12" x14ac:dyDescent="0.25">
      <c r="I5242" s="3"/>
      <c r="J5242" s="3"/>
      <c r="K5242" s="3"/>
      <c r="L5242" s="3"/>
    </row>
    <row r="5243" spans="9:12" x14ac:dyDescent="0.25">
      <c r="I5243" s="3"/>
      <c r="J5243" s="3"/>
      <c r="K5243" s="3"/>
      <c r="L5243" s="3"/>
    </row>
    <row r="5244" spans="9:12" x14ac:dyDescent="0.25">
      <c r="I5244" s="3"/>
      <c r="J5244" s="3"/>
      <c r="K5244" s="3"/>
      <c r="L5244" s="3"/>
    </row>
    <row r="5245" spans="9:12" x14ac:dyDescent="0.25">
      <c r="I5245" s="3"/>
      <c r="J5245" s="3"/>
      <c r="K5245" s="3"/>
      <c r="L5245" s="3"/>
    </row>
    <row r="5246" spans="9:12" x14ac:dyDescent="0.25">
      <c r="I5246" s="3"/>
      <c r="J5246" s="3"/>
      <c r="K5246" s="3"/>
      <c r="L5246" s="3"/>
    </row>
    <row r="5247" spans="9:12" x14ac:dyDescent="0.25">
      <c r="I5247" s="3"/>
      <c r="J5247" s="3"/>
      <c r="K5247" s="3"/>
      <c r="L5247" s="3"/>
    </row>
    <row r="5248" spans="9:12" x14ac:dyDescent="0.25">
      <c r="I5248" s="3"/>
      <c r="J5248" s="3"/>
      <c r="K5248" s="3"/>
      <c r="L5248" s="3"/>
    </row>
    <row r="5249" spans="9:12" x14ac:dyDescent="0.25">
      <c r="I5249" s="3"/>
      <c r="J5249" s="3"/>
      <c r="K5249" s="3"/>
      <c r="L5249" s="3"/>
    </row>
    <row r="5250" spans="9:12" x14ac:dyDescent="0.25">
      <c r="I5250" s="3"/>
      <c r="J5250" s="3"/>
      <c r="K5250" s="3"/>
      <c r="L5250" s="3"/>
    </row>
    <row r="5251" spans="9:12" x14ac:dyDescent="0.25">
      <c r="I5251" s="3"/>
      <c r="J5251" s="3"/>
      <c r="K5251" s="3"/>
      <c r="L5251" s="3"/>
    </row>
    <row r="5252" spans="9:12" x14ac:dyDescent="0.25">
      <c r="I5252" s="3"/>
      <c r="J5252" s="3"/>
      <c r="K5252" s="3"/>
      <c r="L5252" s="3"/>
    </row>
    <row r="5253" spans="9:12" x14ac:dyDescent="0.25">
      <c r="I5253" s="3"/>
      <c r="J5253" s="3"/>
      <c r="K5253" s="3"/>
      <c r="L5253" s="3"/>
    </row>
    <row r="5254" spans="9:12" x14ac:dyDescent="0.25">
      <c r="I5254" s="3"/>
      <c r="J5254" s="3"/>
      <c r="K5254" s="3"/>
      <c r="L5254" s="3"/>
    </row>
    <row r="5255" spans="9:12" x14ac:dyDescent="0.25">
      <c r="I5255" s="3"/>
      <c r="J5255" s="3"/>
      <c r="K5255" s="3"/>
      <c r="L5255" s="3"/>
    </row>
    <row r="5256" spans="9:12" x14ac:dyDescent="0.25">
      <c r="I5256" s="3"/>
      <c r="J5256" s="3"/>
      <c r="K5256" s="3"/>
      <c r="L5256" s="3"/>
    </row>
    <row r="5257" spans="9:12" x14ac:dyDescent="0.25">
      <c r="I5257" s="3"/>
      <c r="J5257" s="3"/>
      <c r="K5257" s="3"/>
      <c r="L5257" s="3"/>
    </row>
    <row r="5258" spans="9:12" x14ac:dyDescent="0.25">
      <c r="I5258" s="3"/>
      <c r="J5258" s="3"/>
      <c r="K5258" s="3"/>
      <c r="L5258" s="3"/>
    </row>
    <row r="5259" spans="9:12" x14ac:dyDescent="0.25">
      <c r="I5259" s="3"/>
      <c r="J5259" s="3"/>
      <c r="K5259" s="3"/>
      <c r="L5259" s="3"/>
    </row>
    <row r="5260" spans="9:12" x14ac:dyDescent="0.25">
      <c r="I5260" s="3"/>
      <c r="J5260" s="3"/>
      <c r="K5260" s="3"/>
      <c r="L5260" s="3"/>
    </row>
    <row r="5261" spans="9:12" x14ac:dyDescent="0.25">
      <c r="I5261" s="3"/>
      <c r="J5261" s="3"/>
      <c r="K5261" s="3"/>
      <c r="L5261" s="3"/>
    </row>
    <row r="5262" spans="9:12" x14ac:dyDescent="0.25">
      <c r="I5262" s="3"/>
      <c r="J5262" s="3"/>
      <c r="K5262" s="3"/>
      <c r="L5262" s="3"/>
    </row>
    <row r="5263" spans="9:12" x14ac:dyDescent="0.25">
      <c r="I5263" s="3"/>
      <c r="J5263" s="3"/>
      <c r="K5263" s="3"/>
      <c r="L5263" s="3"/>
    </row>
    <row r="5264" spans="9:12" x14ac:dyDescent="0.25">
      <c r="I5264" s="3"/>
      <c r="J5264" s="3"/>
      <c r="K5264" s="3"/>
      <c r="L5264" s="3"/>
    </row>
    <row r="5265" spans="9:12" x14ac:dyDescent="0.25">
      <c r="I5265" s="3"/>
      <c r="J5265" s="3"/>
      <c r="K5265" s="3"/>
      <c r="L5265" s="3"/>
    </row>
    <row r="5266" spans="9:12" x14ac:dyDescent="0.25">
      <c r="I5266" s="3"/>
      <c r="J5266" s="3"/>
      <c r="K5266" s="3"/>
      <c r="L5266" s="3"/>
    </row>
    <row r="5267" spans="9:12" x14ac:dyDescent="0.25">
      <c r="I5267" s="3"/>
      <c r="J5267" s="3"/>
      <c r="K5267" s="3"/>
      <c r="L5267" s="3"/>
    </row>
    <row r="5268" spans="9:12" x14ac:dyDescent="0.25">
      <c r="I5268" s="3"/>
      <c r="J5268" s="3"/>
      <c r="K5268" s="3"/>
      <c r="L5268" s="3"/>
    </row>
    <row r="5269" spans="9:12" x14ac:dyDescent="0.25">
      <c r="I5269" s="3"/>
      <c r="J5269" s="3"/>
      <c r="K5269" s="3"/>
      <c r="L5269" s="3"/>
    </row>
    <row r="5270" spans="9:12" x14ac:dyDescent="0.25">
      <c r="I5270" s="3"/>
      <c r="J5270" s="3"/>
      <c r="K5270" s="3"/>
      <c r="L5270" s="3"/>
    </row>
    <row r="5271" spans="9:12" x14ac:dyDescent="0.25">
      <c r="I5271" s="3"/>
      <c r="J5271" s="3"/>
      <c r="K5271" s="3"/>
      <c r="L5271" s="3"/>
    </row>
    <row r="5272" spans="9:12" x14ac:dyDescent="0.25">
      <c r="I5272" s="3"/>
      <c r="J5272" s="3"/>
      <c r="K5272" s="3"/>
      <c r="L5272" s="3"/>
    </row>
    <row r="5273" spans="9:12" x14ac:dyDescent="0.25">
      <c r="I5273" s="3"/>
      <c r="J5273" s="3"/>
      <c r="K5273" s="3"/>
      <c r="L5273" s="3"/>
    </row>
    <row r="5274" spans="9:12" x14ac:dyDescent="0.25">
      <c r="I5274" s="3"/>
      <c r="J5274" s="3"/>
      <c r="K5274" s="3"/>
      <c r="L5274" s="3"/>
    </row>
    <row r="5275" spans="9:12" x14ac:dyDescent="0.25">
      <c r="I5275" s="3"/>
      <c r="J5275" s="3"/>
      <c r="K5275" s="3"/>
      <c r="L5275" s="3"/>
    </row>
    <row r="5276" spans="9:12" x14ac:dyDescent="0.25">
      <c r="I5276" s="3"/>
      <c r="J5276" s="3"/>
      <c r="K5276" s="3"/>
      <c r="L5276" s="3"/>
    </row>
    <row r="5277" spans="9:12" x14ac:dyDescent="0.25">
      <c r="I5277" s="3"/>
      <c r="J5277" s="3"/>
      <c r="K5277" s="3"/>
      <c r="L5277" s="3"/>
    </row>
    <row r="5278" spans="9:12" x14ac:dyDescent="0.25">
      <c r="I5278" s="3"/>
      <c r="J5278" s="3"/>
      <c r="K5278" s="3"/>
      <c r="L5278" s="3"/>
    </row>
    <row r="5279" spans="9:12" x14ac:dyDescent="0.25">
      <c r="I5279" s="3"/>
      <c r="J5279" s="3"/>
      <c r="K5279" s="3"/>
      <c r="L5279" s="3"/>
    </row>
    <row r="5280" spans="9:12" x14ac:dyDescent="0.25">
      <c r="I5280" s="3"/>
      <c r="J5280" s="3"/>
      <c r="K5280" s="3"/>
      <c r="L5280" s="3"/>
    </row>
    <row r="5281" spans="9:12" x14ac:dyDescent="0.25">
      <c r="I5281" s="3"/>
      <c r="J5281" s="3"/>
      <c r="K5281" s="3"/>
      <c r="L5281" s="3"/>
    </row>
    <row r="5282" spans="9:12" x14ac:dyDescent="0.25">
      <c r="I5282" s="3"/>
      <c r="J5282" s="3"/>
      <c r="K5282" s="3"/>
      <c r="L5282" s="3"/>
    </row>
    <row r="5283" spans="9:12" x14ac:dyDescent="0.25">
      <c r="I5283" s="3"/>
      <c r="J5283" s="3"/>
      <c r="K5283" s="3"/>
      <c r="L5283" s="3"/>
    </row>
    <row r="5284" spans="9:12" x14ac:dyDescent="0.25">
      <c r="I5284" s="3"/>
      <c r="J5284" s="3"/>
      <c r="K5284" s="3"/>
      <c r="L5284" s="3"/>
    </row>
    <row r="5285" spans="9:12" x14ac:dyDescent="0.25">
      <c r="I5285" s="3"/>
      <c r="J5285" s="3"/>
      <c r="K5285" s="3"/>
      <c r="L5285" s="3"/>
    </row>
    <row r="5286" spans="9:12" x14ac:dyDescent="0.25">
      <c r="I5286" s="3"/>
      <c r="J5286" s="3"/>
      <c r="K5286" s="3"/>
      <c r="L5286" s="3"/>
    </row>
    <row r="5287" spans="9:12" x14ac:dyDescent="0.25">
      <c r="I5287" s="3"/>
      <c r="J5287" s="3"/>
      <c r="K5287" s="3"/>
      <c r="L5287" s="3"/>
    </row>
    <row r="5288" spans="9:12" x14ac:dyDescent="0.25">
      <c r="I5288" s="3"/>
      <c r="J5288" s="3"/>
      <c r="K5288" s="3"/>
      <c r="L5288" s="3"/>
    </row>
    <row r="5289" spans="9:12" x14ac:dyDescent="0.25">
      <c r="I5289" s="3"/>
      <c r="J5289" s="3"/>
      <c r="K5289" s="3"/>
      <c r="L5289" s="3"/>
    </row>
    <row r="5290" spans="9:12" x14ac:dyDescent="0.25">
      <c r="I5290" s="3"/>
      <c r="J5290" s="3"/>
      <c r="K5290" s="3"/>
      <c r="L5290" s="3"/>
    </row>
    <row r="5291" spans="9:12" x14ac:dyDescent="0.25">
      <c r="I5291" s="3"/>
      <c r="J5291" s="3"/>
      <c r="K5291" s="3"/>
      <c r="L5291" s="3"/>
    </row>
    <row r="5292" spans="9:12" x14ac:dyDescent="0.25">
      <c r="I5292" s="3"/>
      <c r="J5292" s="3"/>
      <c r="K5292" s="3"/>
      <c r="L5292" s="3"/>
    </row>
    <row r="5293" spans="9:12" x14ac:dyDescent="0.25">
      <c r="I5293" s="3"/>
      <c r="J5293" s="3"/>
      <c r="K5293" s="3"/>
      <c r="L5293" s="3"/>
    </row>
    <row r="5294" spans="9:12" x14ac:dyDescent="0.25">
      <c r="I5294" s="3"/>
      <c r="J5294" s="3"/>
      <c r="K5294" s="3"/>
      <c r="L5294" s="3"/>
    </row>
    <row r="5295" spans="9:12" x14ac:dyDescent="0.25">
      <c r="I5295" s="3"/>
      <c r="J5295" s="3"/>
      <c r="K5295" s="3"/>
      <c r="L5295" s="3"/>
    </row>
    <row r="5296" spans="9:12" x14ac:dyDescent="0.25">
      <c r="I5296" s="3"/>
      <c r="J5296" s="3"/>
      <c r="K5296" s="3"/>
      <c r="L5296" s="3"/>
    </row>
    <row r="5297" spans="9:12" x14ac:dyDescent="0.25">
      <c r="I5297" s="3"/>
      <c r="J5297" s="3"/>
      <c r="K5297" s="3"/>
      <c r="L5297" s="3"/>
    </row>
    <row r="5298" spans="9:12" x14ac:dyDescent="0.25">
      <c r="I5298" s="3"/>
      <c r="J5298" s="3"/>
      <c r="K5298" s="3"/>
      <c r="L5298" s="3"/>
    </row>
    <row r="5299" spans="9:12" x14ac:dyDescent="0.25">
      <c r="I5299" s="3"/>
      <c r="J5299" s="3"/>
      <c r="K5299" s="3"/>
      <c r="L5299" s="3"/>
    </row>
    <row r="5300" spans="9:12" x14ac:dyDescent="0.25">
      <c r="I5300" s="3"/>
      <c r="J5300" s="3"/>
      <c r="K5300" s="3"/>
      <c r="L5300" s="3"/>
    </row>
    <row r="5301" spans="9:12" x14ac:dyDescent="0.25">
      <c r="I5301" s="3"/>
      <c r="J5301" s="3"/>
      <c r="K5301" s="3"/>
      <c r="L5301" s="3"/>
    </row>
    <row r="5302" spans="9:12" x14ac:dyDescent="0.25">
      <c r="I5302" s="3"/>
      <c r="J5302" s="3"/>
      <c r="K5302" s="3"/>
      <c r="L5302" s="3"/>
    </row>
    <row r="5303" spans="9:12" x14ac:dyDescent="0.25">
      <c r="I5303" s="3"/>
      <c r="J5303" s="3"/>
      <c r="K5303" s="3"/>
      <c r="L5303" s="3"/>
    </row>
    <row r="5304" spans="9:12" x14ac:dyDescent="0.25">
      <c r="I5304" s="3"/>
      <c r="J5304" s="3"/>
      <c r="K5304" s="3"/>
      <c r="L5304" s="3"/>
    </row>
    <row r="5305" spans="9:12" x14ac:dyDescent="0.25">
      <c r="I5305" s="3"/>
      <c r="J5305" s="3"/>
      <c r="K5305" s="3"/>
      <c r="L5305" s="3"/>
    </row>
    <row r="5306" spans="9:12" x14ac:dyDescent="0.25">
      <c r="I5306" s="3"/>
      <c r="J5306" s="3"/>
      <c r="K5306" s="3"/>
      <c r="L5306" s="3"/>
    </row>
    <row r="5307" spans="9:12" x14ac:dyDescent="0.25">
      <c r="I5307" s="3"/>
      <c r="J5307" s="3"/>
      <c r="K5307" s="3"/>
      <c r="L5307" s="3"/>
    </row>
    <row r="5308" spans="9:12" x14ac:dyDescent="0.25">
      <c r="I5308" s="3"/>
      <c r="J5308" s="3"/>
      <c r="K5308" s="3"/>
      <c r="L5308" s="3"/>
    </row>
    <row r="5309" spans="9:12" x14ac:dyDescent="0.25">
      <c r="I5309" s="3"/>
      <c r="J5309" s="3"/>
      <c r="K5309" s="3"/>
      <c r="L5309" s="3"/>
    </row>
    <row r="5310" spans="9:12" x14ac:dyDescent="0.25">
      <c r="I5310" s="3"/>
      <c r="J5310" s="3"/>
      <c r="K5310" s="3"/>
      <c r="L5310" s="3"/>
    </row>
    <row r="5311" spans="9:12" x14ac:dyDescent="0.25">
      <c r="I5311" s="3"/>
      <c r="J5311" s="3"/>
      <c r="K5311" s="3"/>
      <c r="L5311" s="3"/>
    </row>
    <row r="5312" spans="9:12" x14ac:dyDescent="0.25">
      <c r="I5312" s="3"/>
      <c r="J5312" s="3"/>
      <c r="K5312" s="3"/>
      <c r="L5312" s="3"/>
    </row>
    <row r="5313" spans="9:12" x14ac:dyDescent="0.25">
      <c r="I5313" s="3"/>
      <c r="J5313" s="3"/>
      <c r="K5313" s="3"/>
      <c r="L5313" s="3"/>
    </row>
    <row r="5314" spans="9:12" x14ac:dyDescent="0.25">
      <c r="I5314" s="3"/>
      <c r="J5314" s="3"/>
      <c r="K5314" s="3"/>
      <c r="L5314" s="3"/>
    </row>
    <row r="5315" spans="9:12" x14ac:dyDescent="0.25">
      <c r="I5315" s="3"/>
      <c r="J5315" s="3"/>
      <c r="K5315" s="3"/>
      <c r="L5315" s="3"/>
    </row>
    <row r="5316" spans="9:12" x14ac:dyDescent="0.25">
      <c r="I5316" s="3"/>
      <c r="J5316" s="3"/>
      <c r="K5316" s="3"/>
      <c r="L5316" s="3"/>
    </row>
    <row r="5317" spans="9:12" x14ac:dyDescent="0.25">
      <c r="I5317" s="3"/>
      <c r="J5317" s="3"/>
      <c r="K5317" s="3"/>
      <c r="L5317" s="3"/>
    </row>
    <row r="5318" spans="9:12" x14ac:dyDescent="0.25">
      <c r="I5318" s="3"/>
      <c r="J5318" s="3"/>
      <c r="K5318" s="3"/>
      <c r="L5318" s="3"/>
    </row>
    <row r="5319" spans="9:12" x14ac:dyDescent="0.25">
      <c r="I5319" s="3"/>
      <c r="J5319" s="3"/>
      <c r="K5319" s="3"/>
      <c r="L5319" s="3"/>
    </row>
    <row r="5320" spans="9:12" x14ac:dyDescent="0.25">
      <c r="I5320" s="3"/>
      <c r="J5320" s="3"/>
      <c r="K5320" s="3"/>
      <c r="L5320" s="3"/>
    </row>
    <row r="5321" spans="9:12" x14ac:dyDescent="0.25">
      <c r="I5321" s="3"/>
      <c r="J5321" s="3"/>
      <c r="K5321" s="3"/>
      <c r="L5321" s="3"/>
    </row>
    <row r="5322" spans="9:12" x14ac:dyDescent="0.25">
      <c r="I5322" s="3"/>
      <c r="J5322" s="3"/>
      <c r="K5322" s="3"/>
      <c r="L5322" s="3"/>
    </row>
    <row r="5323" spans="9:12" x14ac:dyDescent="0.25">
      <c r="I5323" s="3"/>
      <c r="J5323" s="3"/>
      <c r="K5323" s="3"/>
      <c r="L5323" s="3"/>
    </row>
    <row r="5324" spans="9:12" x14ac:dyDescent="0.25">
      <c r="I5324" s="3"/>
      <c r="J5324" s="3"/>
      <c r="K5324" s="3"/>
      <c r="L5324" s="3"/>
    </row>
    <row r="5325" spans="9:12" x14ac:dyDescent="0.25">
      <c r="I5325" s="3"/>
      <c r="J5325" s="3"/>
      <c r="K5325" s="3"/>
      <c r="L5325" s="3"/>
    </row>
    <row r="5326" spans="9:12" x14ac:dyDescent="0.25">
      <c r="I5326" s="3"/>
      <c r="J5326" s="3"/>
      <c r="K5326" s="3"/>
      <c r="L5326" s="3"/>
    </row>
    <row r="5327" spans="9:12" x14ac:dyDescent="0.25">
      <c r="I5327" s="3"/>
      <c r="J5327" s="3"/>
      <c r="K5327" s="3"/>
      <c r="L5327" s="3"/>
    </row>
    <row r="5328" spans="9:12" x14ac:dyDescent="0.25">
      <c r="I5328" s="3"/>
      <c r="J5328" s="3"/>
      <c r="K5328" s="3"/>
      <c r="L5328" s="3"/>
    </row>
    <row r="5329" spans="9:12" x14ac:dyDescent="0.25">
      <c r="I5329" s="3"/>
      <c r="J5329" s="3"/>
      <c r="K5329" s="3"/>
      <c r="L5329" s="3"/>
    </row>
    <row r="5330" spans="9:12" x14ac:dyDescent="0.25">
      <c r="I5330" s="3"/>
      <c r="J5330" s="3"/>
      <c r="K5330" s="3"/>
      <c r="L5330" s="3"/>
    </row>
    <row r="5331" spans="9:12" x14ac:dyDescent="0.25">
      <c r="I5331" s="3"/>
      <c r="J5331" s="3"/>
      <c r="K5331" s="3"/>
      <c r="L5331" s="3"/>
    </row>
    <row r="5332" spans="9:12" x14ac:dyDescent="0.25">
      <c r="I5332" s="3"/>
      <c r="J5332" s="3"/>
      <c r="K5332" s="3"/>
      <c r="L5332" s="3"/>
    </row>
    <row r="5333" spans="9:12" x14ac:dyDescent="0.25">
      <c r="I5333" s="3"/>
      <c r="J5333" s="3"/>
      <c r="K5333" s="3"/>
      <c r="L5333" s="3"/>
    </row>
    <row r="5334" spans="9:12" x14ac:dyDescent="0.25">
      <c r="I5334" s="3"/>
      <c r="J5334" s="3"/>
      <c r="K5334" s="3"/>
      <c r="L5334" s="3"/>
    </row>
    <row r="5335" spans="9:12" x14ac:dyDescent="0.25">
      <c r="I5335" s="3"/>
      <c r="J5335" s="3"/>
      <c r="K5335" s="3"/>
      <c r="L5335" s="3"/>
    </row>
    <row r="5336" spans="9:12" x14ac:dyDescent="0.25">
      <c r="I5336" s="3"/>
      <c r="J5336" s="3"/>
      <c r="K5336" s="3"/>
      <c r="L5336" s="3"/>
    </row>
    <row r="5337" spans="9:12" x14ac:dyDescent="0.25">
      <c r="I5337" s="3"/>
      <c r="J5337" s="3"/>
      <c r="K5337" s="3"/>
      <c r="L5337" s="3"/>
    </row>
    <row r="5338" spans="9:12" x14ac:dyDescent="0.25">
      <c r="I5338" s="3"/>
      <c r="J5338" s="3"/>
      <c r="K5338" s="3"/>
      <c r="L5338" s="3"/>
    </row>
    <row r="5339" spans="9:12" x14ac:dyDescent="0.25">
      <c r="I5339" s="3"/>
      <c r="J5339" s="3"/>
      <c r="K5339" s="3"/>
      <c r="L5339" s="3"/>
    </row>
    <row r="5340" spans="9:12" x14ac:dyDescent="0.25">
      <c r="I5340" s="3"/>
      <c r="J5340" s="3"/>
      <c r="K5340" s="3"/>
      <c r="L5340" s="3"/>
    </row>
    <row r="5341" spans="9:12" x14ac:dyDescent="0.25">
      <c r="I5341" s="3"/>
      <c r="J5341" s="3"/>
      <c r="K5341" s="3"/>
      <c r="L5341" s="3"/>
    </row>
    <row r="5342" spans="9:12" x14ac:dyDescent="0.25">
      <c r="I5342" s="3"/>
      <c r="J5342" s="3"/>
      <c r="K5342" s="3"/>
      <c r="L5342" s="3"/>
    </row>
    <row r="5343" spans="9:12" x14ac:dyDescent="0.25">
      <c r="I5343" s="3"/>
      <c r="J5343" s="3"/>
      <c r="K5343" s="3"/>
      <c r="L5343" s="3"/>
    </row>
    <row r="5344" spans="9:12" x14ac:dyDescent="0.25">
      <c r="I5344" s="3"/>
      <c r="J5344" s="3"/>
      <c r="K5344" s="3"/>
      <c r="L5344" s="3"/>
    </row>
    <row r="5345" spans="9:12" x14ac:dyDescent="0.25">
      <c r="I5345" s="3"/>
      <c r="J5345" s="3"/>
      <c r="K5345" s="3"/>
      <c r="L5345" s="3"/>
    </row>
    <row r="5346" spans="9:12" x14ac:dyDescent="0.25">
      <c r="I5346" s="3"/>
      <c r="J5346" s="3"/>
      <c r="K5346" s="3"/>
      <c r="L5346" s="3"/>
    </row>
    <row r="5347" spans="9:12" x14ac:dyDescent="0.25">
      <c r="I5347" s="3"/>
      <c r="J5347" s="3"/>
      <c r="K5347" s="3"/>
      <c r="L5347" s="3"/>
    </row>
    <row r="5348" spans="9:12" x14ac:dyDescent="0.25">
      <c r="I5348" s="3"/>
      <c r="J5348" s="3"/>
      <c r="K5348" s="3"/>
      <c r="L5348" s="3"/>
    </row>
    <row r="5349" spans="9:12" x14ac:dyDescent="0.25">
      <c r="I5349" s="3"/>
      <c r="J5349" s="3"/>
      <c r="K5349" s="3"/>
      <c r="L5349" s="3"/>
    </row>
    <row r="5350" spans="9:12" x14ac:dyDescent="0.25">
      <c r="I5350" s="3"/>
      <c r="J5350" s="3"/>
      <c r="K5350" s="3"/>
      <c r="L5350" s="3"/>
    </row>
    <row r="5351" spans="9:12" x14ac:dyDescent="0.25">
      <c r="I5351" s="3"/>
      <c r="J5351" s="3"/>
      <c r="K5351" s="3"/>
      <c r="L5351" s="3"/>
    </row>
    <row r="5352" spans="9:12" x14ac:dyDescent="0.25">
      <c r="I5352" s="3"/>
      <c r="J5352" s="3"/>
      <c r="K5352" s="3"/>
      <c r="L5352" s="3"/>
    </row>
    <row r="5353" spans="9:12" x14ac:dyDescent="0.25">
      <c r="I5353" s="3"/>
      <c r="J5353" s="3"/>
      <c r="K5353" s="3"/>
      <c r="L5353" s="3"/>
    </row>
    <row r="5354" spans="9:12" x14ac:dyDescent="0.25">
      <c r="I5354" s="3"/>
      <c r="J5354" s="3"/>
      <c r="K5354" s="3"/>
      <c r="L5354" s="3"/>
    </row>
    <row r="5355" spans="9:12" x14ac:dyDescent="0.25">
      <c r="I5355" s="3"/>
      <c r="J5355" s="3"/>
      <c r="K5355" s="3"/>
      <c r="L5355" s="3"/>
    </row>
    <row r="5356" spans="9:12" x14ac:dyDescent="0.25">
      <c r="I5356" s="3"/>
      <c r="J5356" s="3"/>
      <c r="K5356" s="3"/>
      <c r="L5356" s="3"/>
    </row>
    <row r="5357" spans="9:12" x14ac:dyDescent="0.25">
      <c r="I5357" s="3"/>
      <c r="J5357" s="3"/>
      <c r="K5357" s="3"/>
      <c r="L5357" s="3"/>
    </row>
    <row r="5358" spans="9:12" x14ac:dyDescent="0.25">
      <c r="I5358" s="3"/>
      <c r="J5358" s="3"/>
      <c r="K5358" s="3"/>
      <c r="L5358" s="3"/>
    </row>
    <row r="5359" spans="9:12" x14ac:dyDescent="0.25">
      <c r="I5359" s="3"/>
      <c r="J5359" s="3"/>
      <c r="K5359" s="3"/>
      <c r="L5359" s="3"/>
    </row>
    <row r="5360" spans="9:12" x14ac:dyDescent="0.25">
      <c r="I5360" s="3"/>
      <c r="J5360" s="3"/>
      <c r="K5360" s="3"/>
      <c r="L5360" s="3"/>
    </row>
    <row r="5361" spans="9:12" x14ac:dyDescent="0.25">
      <c r="I5361" s="3"/>
      <c r="J5361" s="3"/>
      <c r="K5361" s="3"/>
      <c r="L5361" s="3"/>
    </row>
    <row r="5362" spans="9:12" x14ac:dyDescent="0.25">
      <c r="I5362" s="3"/>
      <c r="J5362" s="3"/>
      <c r="K5362" s="3"/>
      <c r="L5362" s="3"/>
    </row>
    <row r="5363" spans="9:12" x14ac:dyDescent="0.25">
      <c r="I5363" s="3"/>
      <c r="J5363" s="3"/>
      <c r="K5363" s="3"/>
      <c r="L5363" s="3"/>
    </row>
    <row r="5364" spans="9:12" x14ac:dyDescent="0.25">
      <c r="I5364" s="3"/>
      <c r="J5364" s="3"/>
      <c r="K5364" s="3"/>
      <c r="L5364" s="3"/>
    </row>
    <row r="5365" spans="9:12" x14ac:dyDescent="0.25">
      <c r="I5365" s="3"/>
      <c r="J5365" s="3"/>
      <c r="K5365" s="3"/>
      <c r="L5365" s="3"/>
    </row>
    <row r="5366" spans="9:12" x14ac:dyDescent="0.25">
      <c r="I5366" s="4"/>
      <c r="J5366" s="4"/>
      <c r="K5366" s="4"/>
      <c r="L5366" s="4"/>
    </row>
    <row r="5367" spans="9:12" x14ac:dyDescent="0.25">
      <c r="I5367" s="4"/>
      <c r="J5367" s="4"/>
      <c r="K5367" s="4"/>
      <c r="L5367" s="4"/>
    </row>
    <row r="5368" spans="9:12" x14ac:dyDescent="0.25">
      <c r="I5368" s="4"/>
      <c r="J5368" s="4"/>
      <c r="K5368" s="4"/>
      <c r="L5368" s="4"/>
    </row>
    <row r="5369" spans="9:12" x14ac:dyDescent="0.25">
      <c r="I5369" s="3"/>
      <c r="J5369" s="3"/>
      <c r="K5369" s="3"/>
      <c r="L5369" s="3"/>
    </row>
    <row r="5370" spans="9:12" x14ac:dyDescent="0.25">
      <c r="I5370" s="3"/>
      <c r="J5370" s="3"/>
      <c r="K5370" s="3"/>
      <c r="L5370" s="3"/>
    </row>
    <row r="5371" spans="9:12" x14ac:dyDescent="0.25">
      <c r="I5371" s="3"/>
      <c r="J5371" s="3"/>
      <c r="K5371" s="3"/>
      <c r="L5371" s="3"/>
    </row>
    <row r="5372" spans="9:12" x14ac:dyDescent="0.25">
      <c r="I5372" s="3"/>
      <c r="J5372" s="3"/>
      <c r="K5372" s="3"/>
      <c r="L5372" s="3"/>
    </row>
    <row r="5373" spans="9:12" x14ac:dyDescent="0.25">
      <c r="I5373" s="3"/>
      <c r="J5373" s="3"/>
      <c r="K5373" s="3"/>
      <c r="L5373" s="3"/>
    </row>
    <row r="5374" spans="9:12" x14ac:dyDescent="0.25">
      <c r="I5374" s="3"/>
      <c r="J5374" s="3"/>
      <c r="K5374" s="3"/>
      <c r="L5374" s="3"/>
    </row>
    <row r="5375" spans="9:12" x14ac:dyDescent="0.25">
      <c r="I5375" s="3"/>
      <c r="J5375" s="3"/>
      <c r="K5375" s="3"/>
      <c r="L5375" s="3"/>
    </row>
    <row r="5376" spans="9:12" x14ac:dyDescent="0.25">
      <c r="I5376" s="3"/>
      <c r="J5376" s="3"/>
      <c r="K5376" s="3"/>
      <c r="L5376" s="3"/>
    </row>
    <row r="5377" spans="9:12" x14ac:dyDescent="0.25">
      <c r="I5377" s="3"/>
      <c r="J5377" s="3"/>
      <c r="K5377" s="3"/>
      <c r="L5377" s="3"/>
    </row>
    <row r="5378" spans="9:12" x14ac:dyDescent="0.25">
      <c r="I5378" s="3"/>
      <c r="J5378" s="3"/>
      <c r="K5378" s="3"/>
      <c r="L5378" s="3"/>
    </row>
    <row r="5379" spans="9:12" x14ac:dyDescent="0.25">
      <c r="I5379" s="3"/>
      <c r="J5379" s="3"/>
      <c r="K5379" s="3"/>
      <c r="L5379" s="3"/>
    </row>
    <row r="5380" spans="9:12" x14ac:dyDescent="0.25">
      <c r="I5380" s="3"/>
      <c r="J5380" s="3"/>
      <c r="K5380" s="3"/>
      <c r="L5380" s="3"/>
    </row>
    <row r="5381" spans="9:12" x14ac:dyDescent="0.25">
      <c r="I5381" s="3"/>
      <c r="J5381" s="3"/>
      <c r="K5381" s="3"/>
      <c r="L5381" s="3"/>
    </row>
    <row r="5382" spans="9:12" x14ac:dyDescent="0.25">
      <c r="I5382" s="3"/>
      <c r="J5382" s="3"/>
      <c r="K5382" s="3"/>
      <c r="L5382" s="3"/>
    </row>
    <row r="5383" spans="9:12" x14ac:dyDescent="0.25">
      <c r="I5383" s="3"/>
      <c r="J5383" s="3"/>
      <c r="K5383" s="3"/>
      <c r="L5383" s="3"/>
    </row>
    <row r="5384" spans="9:12" x14ac:dyDescent="0.25">
      <c r="I5384" s="3"/>
      <c r="J5384" s="3"/>
      <c r="K5384" s="3"/>
      <c r="L5384" s="3"/>
    </row>
    <row r="5385" spans="9:12" x14ac:dyDescent="0.25">
      <c r="I5385" s="3"/>
      <c r="J5385" s="3"/>
      <c r="K5385" s="3"/>
      <c r="L5385" s="3"/>
    </row>
    <row r="5386" spans="9:12" x14ac:dyDescent="0.25">
      <c r="I5386" s="3"/>
      <c r="J5386" s="3"/>
      <c r="K5386" s="3"/>
      <c r="L5386" s="3"/>
    </row>
    <row r="5387" spans="9:12" x14ac:dyDescent="0.25">
      <c r="I5387" s="3"/>
      <c r="J5387" s="3"/>
      <c r="K5387" s="3"/>
      <c r="L5387" s="3"/>
    </row>
    <row r="5388" spans="9:12" x14ac:dyDescent="0.25">
      <c r="I5388" s="3"/>
      <c r="J5388" s="3"/>
      <c r="K5388" s="3"/>
      <c r="L5388" s="3"/>
    </row>
    <row r="5389" spans="9:12" x14ac:dyDescent="0.25">
      <c r="I5389" s="3"/>
      <c r="J5389" s="3"/>
      <c r="K5389" s="3"/>
      <c r="L5389" s="3"/>
    </row>
    <row r="5390" spans="9:12" x14ac:dyDescent="0.25">
      <c r="I5390" s="3"/>
      <c r="J5390" s="3"/>
      <c r="K5390" s="3"/>
      <c r="L5390" s="3"/>
    </row>
    <row r="5391" spans="9:12" x14ac:dyDescent="0.25">
      <c r="I5391" s="3"/>
      <c r="J5391" s="3"/>
      <c r="K5391" s="3"/>
      <c r="L5391" s="3"/>
    </row>
    <row r="5392" spans="9:12" x14ac:dyDescent="0.25">
      <c r="I5392" s="3"/>
      <c r="J5392" s="3"/>
      <c r="K5392" s="3"/>
      <c r="L5392" s="3"/>
    </row>
    <row r="5393" spans="9:12" x14ac:dyDescent="0.25">
      <c r="I5393" s="3"/>
      <c r="J5393" s="3"/>
      <c r="K5393" s="3"/>
      <c r="L5393" s="3"/>
    </row>
    <row r="5394" spans="9:12" x14ac:dyDescent="0.25">
      <c r="I5394" s="3"/>
      <c r="J5394" s="3"/>
      <c r="K5394" s="3"/>
      <c r="L5394" s="3"/>
    </row>
    <row r="5395" spans="9:12" x14ac:dyDescent="0.25">
      <c r="I5395" s="3"/>
      <c r="J5395" s="3"/>
      <c r="K5395" s="3"/>
      <c r="L5395" s="3"/>
    </row>
    <row r="5396" spans="9:12" x14ac:dyDescent="0.25">
      <c r="I5396" s="3"/>
      <c r="J5396" s="3"/>
      <c r="K5396" s="3"/>
      <c r="L5396" s="3"/>
    </row>
    <row r="5397" spans="9:12" x14ac:dyDescent="0.25">
      <c r="I5397" s="3"/>
      <c r="J5397" s="3"/>
      <c r="K5397" s="3"/>
      <c r="L5397" s="3"/>
    </row>
    <row r="5398" spans="9:12" x14ac:dyDescent="0.25">
      <c r="I5398" s="3"/>
      <c r="J5398" s="3"/>
      <c r="K5398" s="3"/>
      <c r="L5398" s="3"/>
    </row>
    <row r="5399" spans="9:12" x14ac:dyDescent="0.25">
      <c r="I5399" s="3"/>
      <c r="J5399" s="3"/>
      <c r="K5399" s="3"/>
      <c r="L5399" s="3"/>
    </row>
    <row r="5400" spans="9:12" x14ac:dyDescent="0.25">
      <c r="I5400" s="3"/>
      <c r="J5400" s="3"/>
      <c r="K5400" s="3"/>
      <c r="L5400" s="3"/>
    </row>
    <row r="5401" spans="9:12" x14ac:dyDescent="0.25">
      <c r="I5401" s="3"/>
      <c r="J5401" s="3"/>
      <c r="K5401" s="3"/>
      <c r="L5401" s="3"/>
    </row>
    <row r="5402" spans="9:12" x14ac:dyDescent="0.25">
      <c r="I5402" s="3"/>
      <c r="J5402" s="3"/>
      <c r="K5402" s="3"/>
      <c r="L5402" s="3"/>
    </row>
    <row r="5403" spans="9:12" x14ac:dyDescent="0.25">
      <c r="I5403" s="3"/>
      <c r="J5403" s="3"/>
      <c r="K5403" s="3"/>
      <c r="L5403" s="3"/>
    </row>
    <row r="5404" spans="9:12" x14ac:dyDescent="0.25">
      <c r="I5404" s="3"/>
      <c r="J5404" s="3"/>
      <c r="K5404" s="3"/>
      <c r="L5404" s="3"/>
    </row>
    <row r="5405" spans="9:12" x14ac:dyDescent="0.25">
      <c r="I5405" s="3"/>
      <c r="J5405" s="3"/>
      <c r="K5405" s="3"/>
      <c r="L5405" s="3"/>
    </row>
    <row r="5406" spans="9:12" x14ac:dyDescent="0.25">
      <c r="I5406" s="3"/>
      <c r="J5406" s="3"/>
      <c r="K5406" s="3"/>
      <c r="L5406" s="3"/>
    </row>
    <row r="5407" spans="9:12" x14ac:dyDescent="0.25">
      <c r="I5407" s="3"/>
      <c r="J5407" s="3"/>
      <c r="K5407" s="3"/>
      <c r="L5407" s="3"/>
    </row>
    <row r="5408" spans="9:12" x14ac:dyDescent="0.25">
      <c r="I5408" s="3"/>
      <c r="J5408" s="3"/>
      <c r="K5408" s="3"/>
      <c r="L5408" s="3"/>
    </row>
    <row r="5409" spans="9:12" x14ac:dyDescent="0.25">
      <c r="I5409" s="3"/>
      <c r="J5409" s="3"/>
      <c r="K5409" s="3"/>
      <c r="L5409" s="3"/>
    </row>
    <row r="5410" spans="9:12" x14ac:dyDescent="0.25">
      <c r="I5410" s="3"/>
      <c r="J5410" s="3"/>
      <c r="K5410" s="3"/>
      <c r="L5410" s="3"/>
    </row>
    <row r="5411" spans="9:12" x14ac:dyDescent="0.25">
      <c r="I5411" s="3"/>
      <c r="J5411" s="3"/>
      <c r="K5411" s="3"/>
      <c r="L5411" s="3"/>
    </row>
    <row r="5412" spans="9:12" x14ac:dyDescent="0.25">
      <c r="I5412" s="3"/>
      <c r="J5412" s="3"/>
      <c r="K5412" s="3"/>
      <c r="L5412" s="3"/>
    </row>
    <row r="5413" spans="9:12" x14ac:dyDescent="0.25">
      <c r="I5413" s="3"/>
      <c r="J5413" s="3"/>
      <c r="K5413" s="3"/>
      <c r="L5413" s="3"/>
    </row>
    <row r="5414" spans="9:12" x14ac:dyDescent="0.25">
      <c r="I5414" s="3"/>
      <c r="J5414" s="3"/>
      <c r="K5414" s="3"/>
      <c r="L5414" s="3"/>
    </row>
    <row r="5415" spans="9:12" x14ac:dyDescent="0.25">
      <c r="I5415" s="3"/>
      <c r="J5415" s="3"/>
      <c r="K5415" s="3"/>
      <c r="L5415" s="3"/>
    </row>
    <row r="5416" spans="9:12" x14ac:dyDescent="0.25">
      <c r="I5416" s="3"/>
      <c r="J5416" s="3"/>
      <c r="K5416" s="3"/>
      <c r="L5416" s="3"/>
    </row>
    <row r="5417" spans="9:12" x14ac:dyDescent="0.25">
      <c r="I5417" s="3"/>
      <c r="J5417" s="3"/>
      <c r="K5417" s="3"/>
      <c r="L5417" s="3"/>
    </row>
    <row r="5418" spans="9:12" x14ac:dyDescent="0.25">
      <c r="I5418" s="3"/>
      <c r="J5418" s="3"/>
      <c r="K5418" s="3"/>
      <c r="L5418" s="3"/>
    </row>
    <row r="5419" spans="9:12" x14ac:dyDescent="0.25">
      <c r="I5419" s="3"/>
      <c r="J5419" s="3"/>
      <c r="K5419" s="3"/>
      <c r="L5419" s="3"/>
    </row>
    <row r="5420" spans="9:12" x14ac:dyDescent="0.25">
      <c r="I5420" s="3"/>
      <c r="J5420" s="3"/>
      <c r="K5420" s="3"/>
      <c r="L5420" s="3"/>
    </row>
    <row r="5421" spans="9:12" x14ac:dyDescent="0.25">
      <c r="I5421" s="3"/>
      <c r="J5421" s="3"/>
      <c r="K5421" s="3"/>
      <c r="L5421" s="3"/>
    </row>
    <row r="5422" spans="9:12" x14ac:dyDescent="0.25">
      <c r="I5422" s="3"/>
      <c r="J5422" s="3"/>
      <c r="K5422" s="3"/>
      <c r="L5422" s="3"/>
    </row>
    <row r="5423" spans="9:12" x14ac:dyDescent="0.25">
      <c r="I5423" s="3"/>
      <c r="J5423" s="3"/>
      <c r="K5423" s="3"/>
      <c r="L5423" s="3"/>
    </row>
    <row r="5424" spans="9:12" x14ac:dyDescent="0.25">
      <c r="I5424" s="3"/>
      <c r="J5424" s="3"/>
      <c r="K5424" s="3"/>
      <c r="L5424" s="3"/>
    </row>
    <row r="5425" spans="9:12" x14ac:dyDescent="0.25">
      <c r="I5425" s="3"/>
      <c r="J5425" s="3"/>
      <c r="K5425" s="3"/>
      <c r="L5425" s="3"/>
    </row>
    <row r="5426" spans="9:12" x14ac:dyDescent="0.25">
      <c r="I5426" s="3"/>
      <c r="J5426" s="3"/>
      <c r="K5426" s="3"/>
      <c r="L5426" s="3"/>
    </row>
    <row r="5427" spans="9:12" x14ac:dyDescent="0.25">
      <c r="I5427" s="3"/>
      <c r="J5427" s="3"/>
      <c r="K5427" s="3"/>
      <c r="L5427" s="3"/>
    </row>
    <row r="5428" spans="9:12" x14ac:dyDescent="0.25">
      <c r="I5428" s="3"/>
      <c r="J5428" s="3"/>
      <c r="K5428" s="3"/>
      <c r="L5428" s="3"/>
    </row>
    <row r="5429" spans="9:12" x14ac:dyDescent="0.25">
      <c r="I5429" s="3"/>
      <c r="J5429" s="3"/>
      <c r="K5429" s="3"/>
      <c r="L5429" s="3"/>
    </row>
    <row r="5430" spans="9:12" x14ac:dyDescent="0.25">
      <c r="I5430" s="3"/>
      <c r="J5430" s="3"/>
      <c r="K5430" s="3"/>
      <c r="L5430" s="3"/>
    </row>
    <row r="5431" spans="9:12" x14ac:dyDescent="0.25">
      <c r="I5431" s="3"/>
      <c r="J5431" s="3"/>
      <c r="K5431" s="3"/>
      <c r="L5431" s="3"/>
    </row>
    <row r="5432" spans="9:12" x14ac:dyDescent="0.25">
      <c r="I5432" s="3"/>
      <c r="J5432" s="3"/>
      <c r="K5432" s="3"/>
      <c r="L5432" s="3"/>
    </row>
    <row r="5433" spans="9:12" x14ac:dyDescent="0.25">
      <c r="I5433" s="3"/>
      <c r="J5433" s="3"/>
      <c r="K5433" s="3"/>
      <c r="L5433" s="3"/>
    </row>
    <row r="5434" spans="9:12" x14ac:dyDescent="0.25">
      <c r="I5434" s="3"/>
      <c r="J5434" s="3"/>
      <c r="K5434" s="3"/>
      <c r="L5434" s="3"/>
    </row>
    <row r="5435" spans="9:12" x14ac:dyDescent="0.25">
      <c r="I5435" s="3"/>
      <c r="J5435" s="3"/>
      <c r="K5435" s="3"/>
      <c r="L5435" s="3"/>
    </row>
    <row r="5436" spans="9:12" x14ac:dyDescent="0.25">
      <c r="I5436" s="3"/>
      <c r="J5436" s="3"/>
      <c r="K5436" s="3"/>
      <c r="L5436" s="3"/>
    </row>
    <row r="5437" spans="9:12" x14ac:dyDescent="0.25">
      <c r="I5437" s="3"/>
      <c r="J5437" s="3"/>
      <c r="K5437" s="3"/>
      <c r="L5437" s="3"/>
    </row>
    <row r="5438" spans="9:12" x14ac:dyDescent="0.25">
      <c r="I5438" s="3"/>
      <c r="J5438" s="3"/>
      <c r="K5438" s="3"/>
      <c r="L5438" s="3"/>
    </row>
    <row r="5439" spans="9:12" x14ac:dyDescent="0.25">
      <c r="I5439" s="3"/>
      <c r="J5439" s="3"/>
      <c r="K5439" s="3"/>
      <c r="L5439" s="3"/>
    </row>
    <row r="5440" spans="9:12" x14ac:dyDescent="0.25">
      <c r="I5440" s="3"/>
      <c r="J5440" s="3"/>
      <c r="K5440" s="3"/>
      <c r="L5440" s="3"/>
    </row>
    <row r="5441" spans="9:12" x14ac:dyDescent="0.25">
      <c r="I5441" s="3"/>
      <c r="J5441" s="3"/>
      <c r="K5441" s="3"/>
      <c r="L5441" s="3"/>
    </row>
    <row r="5442" spans="9:12" x14ac:dyDescent="0.25">
      <c r="I5442" s="3"/>
      <c r="J5442" s="3"/>
      <c r="K5442" s="3"/>
      <c r="L5442" s="3"/>
    </row>
    <row r="5443" spans="9:12" x14ac:dyDescent="0.25">
      <c r="I5443" s="3"/>
      <c r="J5443" s="3"/>
      <c r="K5443" s="3"/>
      <c r="L5443" s="3"/>
    </row>
    <row r="5444" spans="9:12" x14ac:dyDescent="0.25">
      <c r="I5444" s="3"/>
      <c r="J5444" s="3"/>
      <c r="K5444" s="3"/>
      <c r="L5444" s="3"/>
    </row>
    <row r="5445" spans="9:12" x14ac:dyDescent="0.25">
      <c r="I5445" s="3"/>
      <c r="J5445" s="3"/>
      <c r="K5445" s="3"/>
      <c r="L5445" s="3"/>
    </row>
    <row r="5446" spans="9:12" x14ac:dyDescent="0.25">
      <c r="I5446" s="3"/>
      <c r="J5446" s="3"/>
      <c r="K5446" s="3"/>
      <c r="L5446" s="3"/>
    </row>
    <row r="5447" spans="9:12" x14ac:dyDescent="0.25">
      <c r="I5447" s="3"/>
      <c r="J5447" s="3"/>
      <c r="K5447" s="3"/>
      <c r="L5447" s="3"/>
    </row>
    <row r="5448" spans="9:12" x14ac:dyDescent="0.25">
      <c r="I5448" s="3"/>
      <c r="J5448" s="3"/>
      <c r="K5448" s="3"/>
      <c r="L5448" s="3"/>
    </row>
    <row r="5449" spans="9:12" x14ac:dyDescent="0.25">
      <c r="I5449" s="3"/>
      <c r="J5449" s="3"/>
      <c r="K5449" s="3"/>
      <c r="L5449" s="3"/>
    </row>
    <row r="5450" spans="9:12" x14ac:dyDescent="0.25">
      <c r="I5450" s="3"/>
      <c r="J5450" s="3"/>
      <c r="K5450" s="3"/>
      <c r="L5450" s="3"/>
    </row>
    <row r="5451" spans="9:12" x14ac:dyDescent="0.25">
      <c r="I5451" s="3"/>
      <c r="J5451" s="3"/>
      <c r="K5451" s="3"/>
      <c r="L5451" s="3"/>
    </row>
    <row r="5452" spans="9:12" x14ac:dyDescent="0.25">
      <c r="I5452" s="3"/>
      <c r="J5452" s="3"/>
      <c r="K5452" s="3"/>
      <c r="L5452" s="3"/>
    </row>
    <row r="5453" spans="9:12" x14ac:dyDescent="0.25">
      <c r="I5453" s="3"/>
      <c r="J5453" s="3"/>
      <c r="K5453" s="3"/>
      <c r="L5453" s="3"/>
    </row>
    <row r="5454" spans="9:12" x14ac:dyDescent="0.25">
      <c r="I5454" s="3"/>
      <c r="J5454" s="3"/>
      <c r="K5454" s="3"/>
      <c r="L5454" s="3"/>
    </row>
    <row r="5455" spans="9:12" x14ac:dyDescent="0.25">
      <c r="I5455" s="3"/>
      <c r="J5455" s="3"/>
      <c r="K5455" s="3"/>
      <c r="L5455" s="3"/>
    </row>
    <row r="5456" spans="9:12" x14ac:dyDescent="0.25">
      <c r="I5456" s="3"/>
      <c r="J5456" s="3"/>
      <c r="K5456" s="3"/>
      <c r="L5456" s="3"/>
    </row>
    <row r="5457" spans="9:12" x14ac:dyDescent="0.25">
      <c r="I5457" s="3"/>
      <c r="J5457" s="3"/>
      <c r="K5457" s="3"/>
      <c r="L5457" s="3"/>
    </row>
    <row r="5458" spans="9:12" x14ac:dyDescent="0.25">
      <c r="I5458" s="3"/>
      <c r="J5458" s="3"/>
      <c r="K5458" s="3"/>
      <c r="L5458" s="3"/>
    </row>
    <row r="5459" spans="9:12" x14ac:dyDescent="0.25">
      <c r="I5459" s="3"/>
      <c r="J5459" s="3"/>
      <c r="K5459" s="3"/>
      <c r="L5459" s="3"/>
    </row>
    <row r="5460" spans="9:12" x14ac:dyDescent="0.25">
      <c r="I5460" s="3"/>
      <c r="J5460" s="3"/>
      <c r="K5460" s="3"/>
      <c r="L5460" s="3"/>
    </row>
    <row r="5461" spans="9:12" x14ac:dyDescent="0.25">
      <c r="I5461" s="3"/>
      <c r="J5461" s="3"/>
      <c r="K5461" s="3"/>
      <c r="L5461" s="3"/>
    </row>
    <row r="5462" spans="9:12" x14ac:dyDescent="0.25">
      <c r="I5462" s="3"/>
      <c r="J5462" s="3"/>
      <c r="K5462" s="3"/>
      <c r="L5462" s="3"/>
    </row>
    <row r="5463" spans="9:12" x14ac:dyDescent="0.25">
      <c r="I5463" s="3"/>
      <c r="J5463" s="3"/>
      <c r="K5463" s="3"/>
      <c r="L5463" s="3"/>
    </row>
    <row r="5464" spans="9:12" x14ac:dyDescent="0.25">
      <c r="I5464" s="3"/>
      <c r="J5464" s="3"/>
      <c r="K5464" s="3"/>
      <c r="L5464" s="3"/>
    </row>
    <row r="5465" spans="9:12" x14ac:dyDescent="0.25">
      <c r="I5465" s="3"/>
      <c r="J5465" s="3"/>
      <c r="K5465" s="3"/>
      <c r="L5465" s="3"/>
    </row>
    <row r="5466" spans="9:12" x14ac:dyDescent="0.25">
      <c r="I5466" s="3"/>
      <c r="J5466" s="3"/>
      <c r="K5466" s="3"/>
      <c r="L5466" s="3"/>
    </row>
    <row r="5467" spans="9:12" x14ac:dyDescent="0.25">
      <c r="I5467" s="3"/>
      <c r="J5467" s="3"/>
      <c r="K5467" s="3"/>
      <c r="L5467" s="3"/>
    </row>
    <row r="5468" spans="9:12" x14ac:dyDescent="0.25">
      <c r="I5468" s="3"/>
      <c r="J5468" s="3"/>
      <c r="K5468" s="3"/>
      <c r="L5468" s="3"/>
    </row>
    <row r="5469" spans="9:12" x14ac:dyDescent="0.25">
      <c r="I5469" s="3"/>
      <c r="J5469" s="3"/>
      <c r="K5469" s="3"/>
      <c r="L5469" s="3"/>
    </row>
    <row r="5470" spans="9:12" x14ac:dyDescent="0.25">
      <c r="I5470" s="3"/>
      <c r="J5470" s="3"/>
      <c r="K5470" s="3"/>
      <c r="L5470" s="3"/>
    </row>
    <row r="5471" spans="9:12" x14ac:dyDescent="0.25">
      <c r="I5471" s="3"/>
      <c r="J5471" s="3"/>
      <c r="K5471" s="3"/>
      <c r="L5471" s="3"/>
    </row>
    <row r="5472" spans="9:12" x14ac:dyDescent="0.25">
      <c r="I5472" s="3"/>
      <c r="J5472" s="3"/>
      <c r="K5472" s="3"/>
      <c r="L5472" s="3"/>
    </row>
    <row r="5473" spans="9:12" x14ac:dyDescent="0.25">
      <c r="I5473" s="3"/>
      <c r="J5473" s="3"/>
      <c r="K5473" s="3"/>
      <c r="L5473" s="3"/>
    </row>
    <row r="5474" spans="9:12" x14ac:dyDescent="0.25">
      <c r="I5474" s="3"/>
      <c r="J5474" s="3"/>
      <c r="K5474" s="3"/>
      <c r="L5474" s="3"/>
    </row>
    <row r="5475" spans="9:12" x14ac:dyDescent="0.25">
      <c r="I5475" s="3"/>
      <c r="J5475" s="3"/>
      <c r="K5475" s="3"/>
      <c r="L5475" s="3"/>
    </row>
    <row r="5476" spans="9:12" x14ac:dyDescent="0.25">
      <c r="I5476" s="3"/>
      <c r="J5476" s="3"/>
      <c r="K5476" s="3"/>
      <c r="L5476" s="3"/>
    </row>
    <row r="5477" spans="9:12" x14ac:dyDescent="0.25">
      <c r="I5477" s="3"/>
      <c r="J5477" s="3"/>
      <c r="K5477" s="3"/>
      <c r="L5477" s="3"/>
    </row>
    <row r="5478" spans="9:12" x14ac:dyDescent="0.25">
      <c r="I5478" s="3"/>
      <c r="J5478" s="3"/>
      <c r="K5478" s="3"/>
      <c r="L5478" s="3"/>
    </row>
    <row r="5479" spans="9:12" x14ac:dyDescent="0.25">
      <c r="I5479" s="3"/>
      <c r="J5479" s="3"/>
      <c r="K5479" s="3"/>
      <c r="L5479" s="3"/>
    </row>
    <row r="5480" spans="9:12" x14ac:dyDescent="0.25">
      <c r="I5480" s="3"/>
      <c r="J5480" s="3"/>
      <c r="K5480" s="3"/>
      <c r="L5480" s="3"/>
    </row>
    <row r="5481" spans="9:12" x14ac:dyDescent="0.25">
      <c r="I5481" s="3"/>
      <c r="J5481" s="3"/>
      <c r="K5481" s="3"/>
      <c r="L5481" s="3"/>
    </row>
    <row r="5482" spans="9:12" x14ac:dyDescent="0.25">
      <c r="I5482" s="3"/>
      <c r="J5482" s="3"/>
      <c r="K5482" s="3"/>
      <c r="L5482" s="3"/>
    </row>
    <row r="5483" spans="9:12" x14ac:dyDescent="0.25">
      <c r="I5483" s="3"/>
      <c r="J5483" s="3"/>
      <c r="K5483" s="3"/>
      <c r="L5483" s="3"/>
    </row>
    <row r="5484" spans="9:12" x14ac:dyDescent="0.25">
      <c r="I5484" s="3"/>
      <c r="J5484" s="3"/>
      <c r="K5484" s="3"/>
      <c r="L5484" s="3"/>
    </row>
    <row r="5485" spans="9:12" x14ac:dyDescent="0.25">
      <c r="I5485" s="3"/>
      <c r="J5485" s="3"/>
      <c r="K5485" s="3"/>
      <c r="L5485" s="3"/>
    </row>
    <row r="5486" spans="9:12" x14ac:dyDescent="0.25">
      <c r="I5486" s="3"/>
      <c r="J5486" s="3"/>
      <c r="K5486" s="3"/>
      <c r="L5486" s="3"/>
    </row>
    <row r="5487" spans="9:12" x14ac:dyDescent="0.25">
      <c r="I5487" s="3"/>
      <c r="J5487" s="3"/>
      <c r="K5487" s="3"/>
      <c r="L5487" s="3"/>
    </row>
    <row r="5488" spans="9:12" x14ac:dyDescent="0.25">
      <c r="I5488" s="3"/>
      <c r="J5488" s="3"/>
      <c r="K5488" s="3"/>
      <c r="L5488" s="3"/>
    </row>
    <row r="5489" spans="9:12" x14ac:dyDescent="0.25">
      <c r="I5489" s="3"/>
      <c r="J5489" s="3"/>
      <c r="K5489" s="3"/>
      <c r="L5489" s="3"/>
    </row>
    <row r="5490" spans="9:12" x14ac:dyDescent="0.25">
      <c r="I5490" s="3"/>
      <c r="J5490" s="3"/>
      <c r="K5490" s="3"/>
      <c r="L5490" s="3"/>
    </row>
    <row r="5491" spans="9:12" x14ac:dyDescent="0.25">
      <c r="I5491" s="3"/>
      <c r="J5491" s="3"/>
      <c r="K5491" s="3"/>
      <c r="L5491" s="3"/>
    </row>
    <row r="5492" spans="9:12" x14ac:dyDescent="0.25">
      <c r="I5492" s="3"/>
      <c r="J5492" s="3"/>
      <c r="K5492" s="3"/>
      <c r="L5492" s="3"/>
    </row>
    <row r="5493" spans="9:12" x14ac:dyDescent="0.25">
      <c r="I5493" s="3"/>
      <c r="J5493" s="3"/>
      <c r="K5493" s="3"/>
      <c r="L5493" s="3"/>
    </row>
    <row r="5494" spans="9:12" x14ac:dyDescent="0.25">
      <c r="I5494" s="3"/>
      <c r="J5494" s="3"/>
      <c r="K5494" s="3"/>
      <c r="L5494" s="3"/>
    </row>
    <row r="5495" spans="9:12" x14ac:dyDescent="0.25">
      <c r="I5495" s="3"/>
      <c r="J5495" s="3"/>
      <c r="K5495" s="3"/>
      <c r="L5495" s="3"/>
    </row>
    <row r="5496" spans="9:12" x14ac:dyDescent="0.25">
      <c r="I5496" s="3"/>
      <c r="J5496" s="3"/>
      <c r="K5496" s="3"/>
      <c r="L5496" s="3"/>
    </row>
    <row r="5497" spans="9:12" x14ac:dyDescent="0.25">
      <c r="I5497" s="3"/>
      <c r="J5497" s="3"/>
      <c r="K5497" s="3"/>
      <c r="L5497" s="3"/>
    </row>
    <row r="5498" spans="9:12" x14ac:dyDescent="0.25">
      <c r="I5498" s="3"/>
      <c r="J5498" s="3"/>
      <c r="K5498" s="3"/>
      <c r="L5498" s="3"/>
    </row>
    <row r="5499" spans="9:12" x14ac:dyDescent="0.25">
      <c r="I5499" s="3"/>
      <c r="J5499" s="3"/>
      <c r="K5499" s="3"/>
      <c r="L5499" s="3"/>
    </row>
    <row r="5500" spans="9:12" x14ac:dyDescent="0.25">
      <c r="I5500" s="3"/>
      <c r="J5500" s="3"/>
      <c r="K5500" s="3"/>
      <c r="L5500" s="3"/>
    </row>
    <row r="5501" spans="9:12" x14ac:dyDescent="0.25">
      <c r="I5501" s="3"/>
      <c r="J5501" s="3"/>
      <c r="K5501" s="3"/>
      <c r="L5501" s="3"/>
    </row>
    <row r="5502" spans="9:12" x14ac:dyDescent="0.25">
      <c r="I5502" s="3"/>
      <c r="J5502" s="3"/>
      <c r="K5502" s="3"/>
      <c r="L5502" s="3"/>
    </row>
    <row r="5503" spans="9:12" x14ac:dyDescent="0.25">
      <c r="I5503" s="3"/>
      <c r="J5503" s="3"/>
      <c r="K5503" s="3"/>
      <c r="L5503" s="3"/>
    </row>
    <row r="5504" spans="9:12" x14ac:dyDescent="0.25">
      <c r="I5504" s="3"/>
      <c r="J5504" s="3"/>
      <c r="K5504" s="3"/>
      <c r="L5504" s="3"/>
    </row>
    <row r="5505" spans="9:12" x14ac:dyDescent="0.25">
      <c r="I5505" s="3"/>
      <c r="J5505" s="3"/>
      <c r="K5505" s="3"/>
      <c r="L5505" s="3"/>
    </row>
    <row r="5506" spans="9:12" x14ac:dyDescent="0.25">
      <c r="I5506" s="3"/>
      <c r="J5506" s="3"/>
      <c r="K5506" s="3"/>
      <c r="L5506" s="3"/>
    </row>
    <row r="5507" spans="9:12" x14ac:dyDescent="0.25">
      <c r="I5507" s="3"/>
      <c r="J5507" s="3"/>
      <c r="K5507" s="3"/>
      <c r="L5507" s="3"/>
    </row>
    <row r="5508" spans="9:12" x14ac:dyDescent="0.25">
      <c r="I5508" s="3"/>
      <c r="J5508" s="3"/>
      <c r="K5508" s="3"/>
      <c r="L5508" s="3"/>
    </row>
    <row r="5509" spans="9:12" x14ac:dyDescent="0.25">
      <c r="I5509" s="3"/>
      <c r="J5509" s="3"/>
      <c r="K5509" s="3"/>
      <c r="L5509" s="3"/>
    </row>
    <row r="5510" spans="9:12" x14ac:dyDescent="0.25">
      <c r="I5510" s="3"/>
      <c r="J5510" s="3"/>
      <c r="K5510" s="3"/>
      <c r="L5510" s="3"/>
    </row>
    <row r="5511" spans="9:12" x14ac:dyDescent="0.25">
      <c r="I5511" s="3"/>
      <c r="J5511" s="3"/>
      <c r="K5511" s="3"/>
      <c r="L5511" s="3"/>
    </row>
    <row r="5512" spans="9:12" x14ac:dyDescent="0.25">
      <c r="I5512" s="3"/>
      <c r="J5512" s="3"/>
      <c r="K5512" s="3"/>
      <c r="L5512" s="3"/>
    </row>
    <row r="5513" spans="9:12" x14ac:dyDescent="0.25">
      <c r="I5513" s="3"/>
      <c r="J5513" s="3"/>
      <c r="K5513" s="3"/>
      <c r="L5513" s="3"/>
    </row>
    <row r="5514" spans="9:12" x14ac:dyDescent="0.25">
      <c r="I5514" s="3"/>
      <c r="J5514" s="3"/>
      <c r="K5514" s="3"/>
      <c r="L5514" s="3"/>
    </row>
    <row r="5515" spans="9:12" x14ac:dyDescent="0.25">
      <c r="I5515" s="3"/>
      <c r="J5515" s="3"/>
      <c r="K5515" s="3"/>
      <c r="L5515" s="3"/>
    </row>
    <row r="5516" spans="9:12" x14ac:dyDescent="0.25">
      <c r="I5516" s="3"/>
      <c r="J5516" s="3"/>
      <c r="K5516" s="3"/>
      <c r="L5516" s="3"/>
    </row>
    <row r="5517" spans="9:12" x14ac:dyDescent="0.25">
      <c r="I5517" s="3"/>
      <c r="J5517" s="3"/>
      <c r="K5517" s="3"/>
      <c r="L5517" s="3"/>
    </row>
    <row r="5518" spans="9:12" x14ac:dyDescent="0.25">
      <c r="I5518" s="3"/>
      <c r="J5518" s="3"/>
      <c r="K5518" s="3"/>
      <c r="L5518" s="3"/>
    </row>
    <row r="5519" spans="9:12" x14ac:dyDescent="0.25">
      <c r="I5519" s="3"/>
      <c r="J5519" s="3"/>
      <c r="K5519" s="3"/>
      <c r="L5519" s="3"/>
    </row>
    <row r="5520" spans="9:12" x14ac:dyDescent="0.25">
      <c r="I5520" s="3"/>
      <c r="J5520" s="3"/>
      <c r="K5520" s="3"/>
      <c r="L5520" s="3"/>
    </row>
    <row r="5521" spans="9:12" x14ac:dyDescent="0.25">
      <c r="I5521" s="3"/>
      <c r="J5521" s="3"/>
      <c r="K5521" s="3"/>
      <c r="L5521" s="3"/>
    </row>
    <row r="5522" spans="9:12" x14ac:dyDescent="0.25">
      <c r="I5522" s="3"/>
      <c r="J5522" s="3"/>
      <c r="K5522" s="3"/>
      <c r="L5522" s="3"/>
    </row>
    <row r="5523" spans="9:12" x14ac:dyDescent="0.25">
      <c r="I5523" s="3"/>
      <c r="J5523" s="3"/>
      <c r="K5523" s="3"/>
      <c r="L5523" s="3"/>
    </row>
    <row r="5524" spans="9:12" x14ac:dyDescent="0.25">
      <c r="I5524" s="3"/>
      <c r="J5524" s="3"/>
      <c r="K5524" s="3"/>
      <c r="L5524" s="3"/>
    </row>
    <row r="5525" spans="9:12" x14ac:dyDescent="0.25">
      <c r="I5525" s="3"/>
      <c r="J5525" s="3"/>
      <c r="K5525" s="3"/>
      <c r="L5525" s="3"/>
    </row>
    <row r="5526" spans="9:12" x14ac:dyDescent="0.25">
      <c r="I5526" s="3"/>
      <c r="J5526" s="3"/>
      <c r="K5526" s="3"/>
      <c r="L5526" s="3"/>
    </row>
    <row r="5527" spans="9:12" x14ac:dyDescent="0.25">
      <c r="I5527" s="3"/>
      <c r="J5527" s="3"/>
      <c r="K5527" s="3"/>
      <c r="L5527" s="3"/>
    </row>
    <row r="5528" spans="9:12" x14ac:dyDescent="0.25">
      <c r="I5528" s="3"/>
      <c r="J5528" s="3"/>
      <c r="K5528" s="3"/>
      <c r="L5528" s="3"/>
    </row>
    <row r="5529" spans="9:12" x14ac:dyDescent="0.25">
      <c r="I5529" s="3"/>
      <c r="J5529" s="3"/>
      <c r="K5529" s="3"/>
      <c r="L5529" s="3"/>
    </row>
    <row r="5530" spans="9:12" x14ac:dyDescent="0.25">
      <c r="I5530" s="3"/>
      <c r="J5530" s="3"/>
      <c r="K5530" s="3"/>
      <c r="L5530" s="3"/>
    </row>
    <row r="5531" spans="9:12" x14ac:dyDescent="0.25">
      <c r="I5531" s="3"/>
      <c r="J5531" s="3"/>
      <c r="K5531" s="3"/>
      <c r="L5531" s="3"/>
    </row>
    <row r="5532" spans="9:12" x14ac:dyDescent="0.25">
      <c r="I5532" s="3"/>
      <c r="J5532" s="3"/>
      <c r="K5532" s="3"/>
      <c r="L5532" s="3"/>
    </row>
    <row r="5533" spans="9:12" x14ac:dyDescent="0.25">
      <c r="I5533" s="3"/>
      <c r="J5533" s="3"/>
      <c r="K5533" s="3"/>
      <c r="L5533" s="3"/>
    </row>
    <row r="5534" spans="9:12" x14ac:dyDescent="0.25">
      <c r="I5534" s="3"/>
      <c r="J5534" s="3"/>
      <c r="K5534" s="3"/>
      <c r="L5534" s="3"/>
    </row>
    <row r="5535" spans="9:12" x14ac:dyDescent="0.25">
      <c r="I5535" s="3"/>
      <c r="J5535" s="3"/>
      <c r="K5535" s="3"/>
      <c r="L5535" s="3"/>
    </row>
    <row r="5536" spans="9:12" x14ac:dyDescent="0.25">
      <c r="I5536" s="3"/>
      <c r="J5536" s="3"/>
      <c r="K5536" s="3"/>
      <c r="L5536" s="3"/>
    </row>
    <row r="5537" spans="9:12" x14ac:dyDescent="0.25">
      <c r="I5537" s="3"/>
      <c r="J5537" s="3"/>
      <c r="K5537" s="3"/>
      <c r="L5537" s="3"/>
    </row>
    <row r="5538" spans="9:12" x14ac:dyDescent="0.25">
      <c r="I5538" s="3"/>
      <c r="J5538" s="3"/>
      <c r="K5538" s="3"/>
      <c r="L5538" s="3"/>
    </row>
    <row r="5539" spans="9:12" x14ac:dyDescent="0.25">
      <c r="I5539" s="3"/>
      <c r="J5539" s="3"/>
      <c r="K5539" s="3"/>
      <c r="L5539" s="3"/>
    </row>
    <row r="5540" spans="9:12" x14ac:dyDescent="0.25">
      <c r="I5540" s="3"/>
      <c r="J5540" s="3"/>
      <c r="K5540" s="3"/>
      <c r="L5540" s="3"/>
    </row>
    <row r="5541" spans="9:12" x14ac:dyDescent="0.25">
      <c r="I5541" s="3"/>
      <c r="J5541" s="3"/>
      <c r="K5541" s="3"/>
      <c r="L5541" s="3"/>
    </row>
    <row r="5542" spans="9:12" x14ac:dyDescent="0.25">
      <c r="I5542" s="3"/>
      <c r="J5542" s="3"/>
      <c r="K5542" s="3"/>
      <c r="L5542" s="3"/>
    </row>
    <row r="5543" spans="9:12" x14ac:dyDescent="0.25">
      <c r="I5543" s="3"/>
      <c r="J5543" s="3"/>
      <c r="K5543" s="3"/>
      <c r="L5543" s="3"/>
    </row>
    <row r="5544" spans="9:12" x14ac:dyDescent="0.25">
      <c r="I5544" s="3"/>
      <c r="J5544" s="3"/>
      <c r="K5544" s="3"/>
      <c r="L5544" s="3"/>
    </row>
    <row r="5545" spans="9:12" x14ac:dyDescent="0.25">
      <c r="I5545" s="3"/>
      <c r="J5545" s="3"/>
      <c r="K5545" s="3"/>
      <c r="L5545" s="3"/>
    </row>
    <row r="5546" spans="9:12" x14ac:dyDescent="0.25">
      <c r="I5546" s="3"/>
      <c r="J5546" s="3"/>
      <c r="K5546" s="3"/>
      <c r="L5546" s="3"/>
    </row>
    <row r="5547" spans="9:12" x14ac:dyDescent="0.25">
      <c r="I5547" s="3"/>
      <c r="J5547" s="3"/>
      <c r="K5547" s="3"/>
      <c r="L5547" s="3"/>
    </row>
    <row r="5548" spans="9:12" x14ac:dyDescent="0.25">
      <c r="I5548" s="3"/>
      <c r="J5548" s="3"/>
      <c r="K5548" s="3"/>
      <c r="L5548" s="3"/>
    </row>
    <row r="5549" spans="9:12" x14ac:dyDescent="0.25">
      <c r="I5549" s="3"/>
      <c r="J5549" s="3"/>
      <c r="K5549" s="3"/>
      <c r="L5549" s="3"/>
    </row>
    <row r="5550" spans="9:12" x14ac:dyDescent="0.25">
      <c r="I5550" s="3"/>
      <c r="J5550" s="3"/>
      <c r="K5550" s="3"/>
      <c r="L5550" s="3"/>
    </row>
    <row r="5551" spans="9:12" x14ac:dyDescent="0.25">
      <c r="I5551" s="3"/>
      <c r="J5551" s="3"/>
      <c r="K5551" s="3"/>
      <c r="L5551" s="3"/>
    </row>
    <row r="5552" spans="9:12" x14ac:dyDescent="0.25">
      <c r="I5552" s="3"/>
      <c r="J5552" s="3"/>
      <c r="K5552" s="3"/>
      <c r="L5552" s="3"/>
    </row>
    <row r="5553" spans="9:12" x14ac:dyDescent="0.25">
      <c r="I5553" s="3"/>
      <c r="J5553" s="3"/>
      <c r="K5553" s="3"/>
      <c r="L5553" s="3"/>
    </row>
    <row r="5554" spans="9:12" x14ac:dyDescent="0.25">
      <c r="I5554" s="3"/>
      <c r="J5554" s="3"/>
      <c r="K5554" s="3"/>
      <c r="L5554" s="3"/>
    </row>
    <row r="5555" spans="9:12" x14ac:dyDescent="0.25">
      <c r="I5555" s="3"/>
      <c r="J5555" s="3"/>
      <c r="K5555" s="3"/>
      <c r="L5555" s="3"/>
    </row>
    <row r="5556" spans="9:12" x14ac:dyDescent="0.25">
      <c r="I5556" s="3"/>
      <c r="J5556" s="3"/>
      <c r="K5556" s="3"/>
      <c r="L5556" s="3"/>
    </row>
    <row r="5557" spans="9:12" x14ac:dyDescent="0.25">
      <c r="I5557" s="3"/>
      <c r="J5557" s="3"/>
      <c r="K5557" s="3"/>
      <c r="L5557" s="3"/>
    </row>
    <row r="5558" spans="9:12" x14ac:dyDescent="0.25">
      <c r="I5558" s="3"/>
      <c r="J5558" s="3"/>
      <c r="K5558" s="3"/>
      <c r="L5558" s="3"/>
    </row>
    <row r="5559" spans="9:12" x14ac:dyDescent="0.25">
      <c r="I5559" s="3"/>
      <c r="J5559" s="3"/>
      <c r="K5559" s="3"/>
      <c r="L5559" s="3"/>
    </row>
    <row r="5560" spans="9:12" x14ac:dyDescent="0.25">
      <c r="I5560" s="3"/>
      <c r="J5560" s="3"/>
      <c r="K5560" s="3"/>
      <c r="L5560" s="3"/>
    </row>
    <row r="5561" spans="9:12" x14ac:dyDescent="0.25">
      <c r="I5561" s="3"/>
      <c r="J5561" s="3"/>
      <c r="K5561" s="3"/>
      <c r="L5561" s="3"/>
    </row>
    <row r="5562" spans="9:12" x14ac:dyDescent="0.25">
      <c r="I5562" s="3"/>
      <c r="J5562" s="3"/>
      <c r="K5562" s="3"/>
      <c r="L5562" s="3"/>
    </row>
    <row r="5563" spans="9:12" x14ac:dyDescent="0.25">
      <c r="I5563" s="3"/>
      <c r="J5563" s="3"/>
      <c r="K5563" s="3"/>
      <c r="L5563" s="3"/>
    </row>
    <row r="5564" spans="9:12" x14ac:dyDescent="0.25">
      <c r="I5564" s="3"/>
      <c r="J5564" s="3"/>
      <c r="K5564" s="3"/>
      <c r="L5564" s="3"/>
    </row>
    <row r="5565" spans="9:12" x14ac:dyDescent="0.25">
      <c r="I5565" s="3"/>
      <c r="J5565" s="3"/>
      <c r="K5565" s="3"/>
      <c r="L5565" s="3"/>
    </row>
    <row r="5566" spans="9:12" x14ac:dyDescent="0.25">
      <c r="I5566" s="3"/>
      <c r="J5566" s="3"/>
      <c r="K5566" s="3"/>
      <c r="L5566" s="3"/>
    </row>
    <row r="5567" spans="9:12" x14ac:dyDescent="0.25">
      <c r="I5567" s="3"/>
      <c r="J5567" s="3"/>
      <c r="K5567" s="3"/>
      <c r="L5567" s="3"/>
    </row>
    <row r="5568" spans="9:12" x14ac:dyDescent="0.25">
      <c r="I5568" s="3"/>
      <c r="J5568" s="3"/>
      <c r="K5568" s="3"/>
      <c r="L5568" s="3"/>
    </row>
    <row r="5569" spans="9:12" x14ac:dyDescent="0.25">
      <c r="I5569" s="3"/>
      <c r="J5569" s="3"/>
      <c r="K5569" s="3"/>
      <c r="L5569" s="3"/>
    </row>
    <row r="5570" spans="9:12" x14ac:dyDescent="0.25">
      <c r="I5570" s="3"/>
      <c r="J5570" s="3"/>
      <c r="K5570" s="3"/>
      <c r="L5570" s="3"/>
    </row>
    <row r="5571" spans="9:12" x14ac:dyDescent="0.25">
      <c r="I5571" s="3"/>
      <c r="J5571" s="3"/>
      <c r="K5571" s="3"/>
      <c r="L5571" s="3"/>
    </row>
    <row r="5572" spans="9:12" x14ac:dyDescent="0.25">
      <c r="I5572" s="3"/>
      <c r="J5572" s="3"/>
      <c r="K5572" s="3"/>
      <c r="L5572" s="3"/>
    </row>
    <row r="5573" spans="9:12" x14ac:dyDescent="0.25">
      <c r="I5573" s="3"/>
      <c r="J5573" s="3"/>
      <c r="K5573" s="3"/>
      <c r="L5573" s="3"/>
    </row>
    <row r="5574" spans="9:12" x14ac:dyDescent="0.25">
      <c r="I5574" s="3"/>
      <c r="J5574" s="3"/>
      <c r="K5574" s="3"/>
      <c r="L5574" s="3"/>
    </row>
    <row r="5575" spans="9:12" x14ac:dyDescent="0.25">
      <c r="I5575" s="3"/>
      <c r="J5575" s="3"/>
      <c r="K5575" s="3"/>
      <c r="L5575" s="3"/>
    </row>
    <row r="5576" spans="9:12" x14ac:dyDescent="0.25">
      <c r="I5576" s="3"/>
      <c r="J5576" s="3"/>
      <c r="K5576" s="3"/>
      <c r="L5576" s="3"/>
    </row>
    <row r="5577" spans="9:12" x14ac:dyDescent="0.25">
      <c r="I5577" s="3"/>
      <c r="J5577" s="3"/>
      <c r="K5577" s="3"/>
      <c r="L5577" s="3"/>
    </row>
    <row r="5578" spans="9:12" x14ac:dyDescent="0.25">
      <c r="I5578" s="3"/>
      <c r="J5578" s="3"/>
      <c r="K5578" s="3"/>
      <c r="L5578" s="3"/>
    </row>
    <row r="5579" spans="9:12" x14ac:dyDescent="0.25">
      <c r="I5579" s="3"/>
      <c r="J5579" s="3"/>
      <c r="K5579" s="3"/>
      <c r="L5579" s="3"/>
    </row>
    <row r="5580" spans="9:12" x14ac:dyDescent="0.25">
      <c r="I5580" s="3"/>
      <c r="J5580" s="3"/>
      <c r="K5580" s="3"/>
      <c r="L5580" s="3"/>
    </row>
    <row r="5581" spans="9:12" x14ac:dyDescent="0.25">
      <c r="I5581" s="3"/>
      <c r="J5581" s="3"/>
      <c r="K5581" s="3"/>
      <c r="L5581" s="3"/>
    </row>
    <row r="5582" spans="9:12" x14ac:dyDescent="0.25">
      <c r="I5582" s="3"/>
      <c r="J5582" s="3"/>
      <c r="K5582" s="3"/>
      <c r="L5582" s="3"/>
    </row>
    <row r="5583" spans="9:12" x14ac:dyDescent="0.25">
      <c r="I5583" s="3"/>
      <c r="J5583" s="3"/>
      <c r="K5583" s="3"/>
      <c r="L5583" s="3"/>
    </row>
    <row r="5584" spans="9:12" x14ac:dyDescent="0.25">
      <c r="I5584" s="3"/>
      <c r="J5584" s="3"/>
      <c r="K5584" s="3"/>
      <c r="L5584" s="3"/>
    </row>
    <row r="5585" spans="9:12" x14ac:dyDescent="0.25">
      <c r="I5585" s="3"/>
      <c r="J5585" s="3"/>
      <c r="K5585" s="3"/>
      <c r="L5585" s="3"/>
    </row>
    <row r="5586" spans="9:12" x14ac:dyDescent="0.25">
      <c r="I5586" s="3"/>
      <c r="J5586" s="3"/>
      <c r="K5586" s="3"/>
      <c r="L5586" s="3"/>
    </row>
    <row r="5587" spans="9:12" x14ac:dyDescent="0.25">
      <c r="I5587" s="3"/>
      <c r="J5587" s="3"/>
      <c r="K5587" s="3"/>
      <c r="L5587" s="3"/>
    </row>
    <row r="5588" spans="9:12" x14ac:dyDescent="0.25">
      <c r="I5588" s="3"/>
      <c r="J5588" s="3"/>
      <c r="K5588" s="3"/>
      <c r="L5588" s="3"/>
    </row>
    <row r="5589" spans="9:12" x14ac:dyDescent="0.25">
      <c r="I5589" s="3"/>
      <c r="J5589" s="3"/>
      <c r="K5589" s="3"/>
      <c r="L5589" s="3"/>
    </row>
    <row r="5590" spans="9:12" x14ac:dyDescent="0.25">
      <c r="I5590" s="3"/>
      <c r="J5590" s="3"/>
      <c r="K5590" s="3"/>
      <c r="L5590" s="3"/>
    </row>
    <row r="5591" spans="9:12" x14ac:dyDescent="0.25">
      <c r="I5591" s="3"/>
      <c r="J5591" s="3"/>
      <c r="K5591" s="3"/>
      <c r="L5591" s="3"/>
    </row>
    <row r="5592" spans="9:12" x14ac:dyDescent="0.25">
      <c r="I5592" s="3"/>
      <c r="J5592" s="3"/>
      <c r="K5592" s="3"/>
      <c r="L5592" s="3"/>
    </row>
    <row r="5593" spans="9:12" x14ac:dyDescent="0.25">
      <c r="I5593" s="3"/>
      <c r="J5593" s="3"/>
      <c r="K5593" s="3"/>
      <c r="L5593" s="3"/>
    </row>
    <row r="5594" spans="9:12" x14ac:dyDescent="0.25">
      <c r="I5594" s="3"/>
      <c r="J5594" s="3"/>
      <c r="K5594" s="3"/>
      <c r="L5594" s="3"/>
    </row>
    <row r="5595" spans="9:12" x14ac:dyDescent="0.25">
      <c r="I5595" s="3"/>
      <c r="J5595" s="3"/>
      <c r="K5595" s="3"/>
      <c r="L5595" s="3"/>
    </row>
    <row r="5596" spans="9:12" x14ac:dyDescent="0.25">
      <c r="I5596" s="3"/>
      <c r="J5596" s="3"/>
      <c r="K5596" s="3"/>
      <c r="L5596" s="3"/>
    </row>
    <row r="5597" spans="9:12" x14ac:dyDescent="0.25">
      <c r="I5597" s="3"/>
      <c r="J5597" s="3"/>
      <c r="K5597" s="3"/>
      <c r="L5597" s="3"/>
    </row>
    <row r="5598" spans="9:12" x14ac:dyDescent="0.25">
      <c r="I5598" s="3"/>
      <c r="J5598" s="3"/>
      <c r="K5598" s="3"/>
      <c r="L5598" s="3"/>
    </row>
    <row r="5599" spans="9:12" x14ac:dyDescent="0.25">
      <c r="I5599" s="3"/>
      <c r="J5599" s="3"/>
      <c r="K5599" s="3"/>
      <c r="L5599" s="3"/>
    </row>
    <row r="5600" spans="9:12" x14ac:dyDescent="0.25">
      <c r="I5600" s="3"/>
      <c r="J5600" s="3"/>
      <c r="K5600" s="3"/>
      <c r="L5600" s="3"/>
    </row>
    <row r="5601" spans="9:12" x14ac:dyDescent="0.25">
      <c r="I5601" s="3"/>
      <c r="J5601" s="3"/>
      <c r="K5601" s="3"/>
      <c r="L5601" s="3"/>
    </row>
    <row r="5602" spans="9:12" x14ac:dyDescent="0.25">
      <c r="I5602" s="3"/>
      <c r="J5602" s="3"/>
      <c r="K5602" s="3"/>
      <c r="L5602" s="3"/>
    </row>
    <row r="5603" spans="9:12" x14ac:dyDescent="0.25">
      <c r="I5603" s="3"/>
      <c r="J5603" s="3"/>
      <c r="K5603" s="3"/>
      <c r="L5603" s="3"/>
    </row>
    <row r="5604" spans="9:12" x14ac:dyDescent="0.25">
      <c r="I5604" s="3"/>
      <c r="J5604" s="3"/>
      <c r="K5604" s="3"/>
      <c r="L5604" s="3"/>
    </row>
    <row r="5605" spans="9:12" x14ac:dyDescent="0.25">
      <c r="I5605" s="3"/>
      <c r="J5605" s="3"/>
      <c r="K5605" s="3"/>
      <c r="L5605" s="3"/>
    </row>
    <row r="5606" spans="9:12" x14ac:dyDescent="0.25">
      <c r="I5606" s="3"/>
      <c r="J5606" s="3"/>
      <c r="K5606" s="3"/>
      <c r="L5606" s="3"/>
    </row>
    <row r="5607" spans="9:12" x14ac:dyDescent="0.25">
      <c r="I5607" s="3"/>
      <c r="J5607" s="3"/>
      <c r="K5607" s="3"/>
      <c r="L5607" s="3"/>
    </row>
    <row r="5608" spans="9:12" x14ac:dyDescent="0.25">
      <c r="I5608" s="3"/>
      <c r="J5608" s="3"/>
      <c r="K5608" s="3"/>
      <c r="L5608" s="3"/>
    </row>
    <row r="5609" spans="9:12" x14ac:dyDescent="0.25">
      <c r="I5609" s="3"/>
      <c r="J5609" s="3"/>
      <c r="K5609" s="3"/>
      <c r="L5609" s="3"/>
    </row>
    <row r="5610" spans="9:12" x14ac:dyDescent="0.25">
      <c r="I5610" s="3"/>
      <c r="J5610" s="3"/>
      <c r="K5610" s="3"/>
      <c r="L5610" s="3"/>
    </row>
    <row r="5611" spans="9:12" x14ac:dyDescent="0.25">
      <c r="I5611" s="3"/>
      <c r="J5611" s="3"/>
      <c r="K5611" s="3"/>
      <c r="L5611" s="3"/>
    </row>
    <row r="5612" spans="9:12" x14ac:dyDescent="0.25">
      <c r="I5612" s="3"/>
      <c r="J5612" s="3"/>
      <c r="K5612" s="3"/>
      <c r="L5612" s="3"/>
    </row>
    <row r="5613" spans="9:12" x14ac:dyDescent="0.25">
      <c r="I5613" s="3"/>
      <c r="J5613" s="3"/>
      <c r="K5613" s="3"/>
      <c r="L5613" s="3"/>
    </row>
    <row r="5614" spans="9:12" x14ac:dyDescent="0.25">
      <c r="I5614" s="3"/>
      <c r="J5614" s="3"/>
      <c r="K5614" s="3"/>
      <c r="L5614" s="3"/>
    </row>
    <row r="5615" spans="9:12" x14ac:dyDescent="0.25">
      <c r="I5615" s="3"/>
      <c r="J5615" s="3"/>
      <c r="K5615" s="3"/>
      <c r="L5615" s="3"/>
    </row>
    <row r="5616" spans="9:12" x14ac:dyDescent="0.25">
      <c r="I5616" s="3"/>
      <c r="J5616" s="3"/>
      <c r="K5616" s="3"/>
      <c r="L5616" s="3"/>
    </row>
    <row r="5617" spans="9:12" x14ac:dyDescent="0.25">
      <c r="I5617" s="3"/>
      <c r="J5617" s="3"/>
      <c r="K5617" s="3"/>
      <c r="L5617" s="3"/>
    </row>
    <row r="5618" spans="9:12" x14ac:dyDescent="0.25">
      <c r="I5618" s="3"/>
      <c r="J5618" s="3"/>
      <c r="K5618" s="3"/>
      <c r="L5618" s="3"/>
    </row>
    <row r="5619" spans="9:12" x14ac:dyDescent="0.25">
      <c r="I5619" s="3"/>
      <c r="J5619" s="3"/>
      <c r="K5619" s="3"/>
      <c r="L5619" s="3"/>
    </row>
    <row r="5620" spans="9:12" x14ac:dyDescent="0.25">
      <c r="I5620" s="3"/>
      <c r="J5620" s="3"/>
      <c r="K5620" s="3"/>
      <c r="L5620" s="3"/>
    </row>
    <row r="5621" spans="9:12" x14ac:dyDescent="0.25">
      <c r="I5621" s="3"/>
      <c r="J5621" s="3"/>
      <c r="K5621" s="3"/>
      <c r="L5621" s="3"/>
    </row>
    <row r="5622" spans="9:12" x14ac:dyDescent="0.25">
      <c r="I5622" s="3"/>
      <c r="J5622" s="3"/>
      <c r="K5622" s="3"/>
      <c r="L5622" s="3"/>
    </row>
    <row r="5623" spans="9:12" x14ac:dyDescent="0.25">
      <c r="I5623" s="3"/>
      <c r="J5623" s="3"/>
      <c r="K5623" s="3"/>
      <c r="L5623" s="3"/>
    </row>
    <row r="5624" spans="9:12" x14ac:dyDescent="0.25">
      <c r="I5624" s="3"/>
      <c r="J5624" s="3"/>
      <c r="K5624" s="3"/>
      <c r="L5624" s="3"/>
    </row>
    <row r="5625" spans="9:12" x14ac:dyDescent="0.25">
      <c r="I5625" s="3"/>
      <c r="J5625" s="3"/>
      <c r="K5625" s="3"/>
      <c r="L5625" s="3"/>
    </row>
    <row r="5626" spans="9:12" x14ac:dyDescent="0.25">
      <c r="I5626" s="3"/>
      <c r="J5626" s="3"/>
      <c r="K5626" s="3"/>
      <c r="L5626" s="3"/>
    </row>
    <row r="5627" spans="9:12" x14ac:dyDescent="0.25">
      <c r="I5627" s="3"/>
      <c r="J5627" s="3"/>
      <c r="K5627" s="3"/>
      <c r="L5627" s="3"/>
    </row>
    <row r="5628" spans="9:12" x14ac:dyDescent="0.25">
      <c r="I5628" s="3"/>
      <c r="J5628" s="3"/>
      <c r="K5628" s="3"/>
      <c r="L5628" s="3"/>
    </row>
    <row r="5629" spans="9:12" x14ac:dyDescent="0.25">
      <c r="I5629" s="3"/>
      <c r="J5629" s="3"/>
      <c r="K5629" s="3"/>
      <c r="L5629" s="3"/>
    </row>
    <row r="5630" spans="9:12" x14ac:dyDescent="0.25">
      <c r="I5630" s="3"/>
      <c r="J5630" s="3"/>
      <c r="K5630" s="3"/>
      <c r="L5630" s="3"/>
    </row>
    <row r="5631" spans="9:12" x14ac:dyDescent="0.25">
      <c r="I5631" s="3"/>
      <c r="J5631" s="3"/>
      <c r="K5631" s="3"/>
      <c r="L5631" s="3"/>
    </row>
    <row r="5632" spans="9:12" x14ac:dyDescent="0.25">
      <c r="I5632" s="3"/>
      <c r="J5632" s="3"/>
      <c r="K5632" s="3"/>
      <c r="L5632" s="3"/>
    </row>
    <row r="5633" spans="9:12" x14ac:dyDescent="0.25">
      <c r="I5633" s="3"/>
      <c r="J5633" s="3"/>
      <c r="K5633" s="3"/>
      <c r="L5633" s="3"/>
    </row>
    <row r="5634" spans="9:12" x14ac:dyDescent="0.25">
      <c r="I5634" s="3"/>
      <c r="J5634" s="3"/>
      <c r="K5634" s="3"/>
      <c r="L5634" s="3"/>
    </row>
    <row r="5635" spans="9:12" x14ac:dyDescent="0.25">
      <c r="I5635" s="3"/>
      <c r="J5635" s="3"/>
      <c r="K5635" s="3"/>
      <c r="L5635" s="3"/>
    </row>
    <row r="5636" spans="9:12" x14ac:dyDescent="0.25">
      <c r="I5636" s="3"/>
      <c r="J5636" s="3"/>
      <c r="K5636" s="3"/>
      <c r="L5636" s="3"/>
    </row>
    <row r="5637" spans="9:12" x14ac:dyDescent="0.25">
      <c r="I5637" s="3"/>
      <c r="J5637" s="3"/>
      <c r="K5637" s="3"/>
      <c r="L5637" s="3"/>
    </row>
    <row r="5638" spans="9:12" x14ac:dyDescent="0.25">
      <c r="I5638" s="3"/>
      <c r="J5638" s="3"/>
      <c r="K5638" s="3"/>
      <c r="L5638" s="3"/>
    </row>
    <row r="5639" spans="9:12" x14ac:dyDescent="0.25">
      <c r="I5639" s="3"/>
      <c r="J5639" s="3"/>
      <c r="K5639" s="3"/>
      <c r="L5639" s="3"/>
    </row>
    <row r="5640" spans="9:12" x14ac:dyDescent="0.25">
      <c r="I5640" s="3"/>
      <c r="J5640" s="3"/>
      <c r="K5640" s="3"/>
      <c r="L5640" s="3"/>
    </row>
    <row r="5641" spans="9:12" x14ac:dyDescent="0.25">
      <c r="I5641" s="3"/>
      <c r="J5641" s="3"/>
      <c r="K5641" s="3"/>
      <c r="L5641" s="3"/>
    </row>
    <row r="5642" spans="9:12" x14ac:dyDescent="0.25">
      <c r="I5642" s="3"/>
      <c r="J5642" s="3"/>
      <c r="K5642" s="3"/>
      <c r="L5642" s="3"/>
    </row>
    <row r="5643" spans="9:12" x14ac:dyDescent="0.25">
      <c r="I5643" s="3"/>
      <c r="J5643" s="3"/>
      <c r="K5643" s="3"/>
      <c r="L5643" s="3"/>
    </row>
    <row r="5644" spans="9:12" x14ac:dyDescent="0.25">
      <c r="I5644" s="3"/>
      <c r="J5644" s="3"/>
      <c r="K5644" s="3"/>
      <c r="L5644" s="3"/>
    </row>
    <row r="5645" spans="9:12" x14ac:dyDescent="0.25">
      <c r="I5645" s="3"/>
      <c r="J5645" s="3"/>
      <c r="K5645" s="3"/>
      <c r="L5645" s="3"/>
    </row>
    <row r="5646" spans="9:12" x14ac:dyDescent="0.25">
      <c r="I5646" s="3"/>
      <c r="J5646" s="3"/>
      <c r="K5646" s="3"/>
      <c r="L5646" s="3"/>
    </row>
    <row r="5647" spans="9:12" x14ac:dyDescent="0.25">
      <c r="I5647" s="3"/>
      <c r="J5647" s="3"/>
      <c r="K5647" s="3"/>
      <c r="L5647" s="3"/>
    </row>
    <row r="5648" spans="9:12" x14ac:dyDescent="0.25">
      <c r="I5648" s="3"/>
      <c r="J5648" s="3"/>
      <c r="K5648" s="3"/>
      <c r="L5648" s="3"/>
    </row>
    <row r="5649" spans="9:12" x14ac:dyDescent="0.25">
      <c r="I5649" s="3"/>
      <c r="J5649" s="3"/>
      <c r="K5649" s="3"/>
      <c r="L5649" s="3"/>
    </row>
    <row r="5650" spans="9:12" x14ac:dyDescent="0.25">
      <c r="I5650" s="3"/>
      <c r="J5650" s="3"/>
      <c r="K5650" s="3"/>
      <c r="L5650" s="3"/>
    </row>
    <row r="5651" spans="9:12" x14ac:dyDescent="0.25">
      <c r="I5651" s="3"/>
      <c r="J5651" s="3"/>
      <c r="K5651" s="3"/>
      <c r="L5651" s="3"/>
    </row>
    <row r="5652" spans="9:12" x14ac:dyDescent="0.25">
      <c r="I5652" s="3"/>
      <c r="J5652" s="3"/>
      <c r="K5652" s="3"/>
      <c r="L5652" s="3"/>
    </row>
    <row r="5653" spans="9:12" x14ac:dyDescent="0.25">
      <c r="I5653" s="3"/>
      <c r="J5653" s="3"/>
      <c r="K5653" s="3"/>
      <c r="L5653" s="3"/>
    </row>
    <row r="5654" spans="9:12" x14ac:dyDescent="0.25">
      <c r="I5654" s="3"/>
      <c r="J5654" s="3"/>
      <c r="K5654" s="3"/>
      <c r="L5654" s="3"/>
    </row>
    <row r="5655" spans="9:12" x14ac:dyDescent="0.25">
      <c r="I5655" s="3"/>
      <c r="J5655" s="3"/>
      <c r="K5655" s="3"/>
      <c r="L5655" s="3"/>
    </row>
    <row r="5656" spans="9:12" x14ac:dyDescent="0.25">
      <c r="I5656" s="3"/>
      <c r="J5656" s="3"/>
      <c r="K5656" s="3"/>
      <c r="L5656" s="3"/>
    </row>
    <row r="5657" spans="9:12" x14ac:dyDescent="0.25">
      <c r="I5657" s="3"/>
      <c r="J5657" s="3"/>
      <c r="K5657" s="3"/>
      <c r="L5657" s="3"/>
    </row>
    <row r="5658" spans="9:12" x14ac:dyDescent="0.25">
      <c r="I5658" s="3"/>
      <c r="J5658" s="3"/>
      <c r="K5658" s="3"/>
      <c r="L5658" s="3"/>
    </row>
    <row r="5659" spans="9:12" x14ac:dyDescent="0.25">
      <c r="I5659" s="3"/>
      <c r="J5659" s="3"/>
      <c r="K5659" s="3"/>
      <c r="L5659" s="3"/>
    </row>
    <row r="5660" spans="9:12" x14ac:dyDescent="0.25">
      <c r="I5660" s="3"/>
      <c r="J5660" s="3"/>
      <c r="K5660" s="3"/>
      <c r="L5660" s="3"/>
    </row>
    <row r="5661" spans="9:12" x14ac:dyDescent="0.25">
      <c r="I5661" s="3"/>
      <c r="J5661" s="3"/>
      <c r="K5661" s="3"/>
      <c r="L5661" s="3"/>
    </row>
    <row r="5662" spans="9:12" x14ac:dyDescent="0.25">
      <c r="I5662" s="3"/>
      <c r="J5662" s="3"/>
      <c r="K5662" s="3"/>
      <c r="L5662" s="3"/>
    </row>
    <row r="5663" spans="9:12" x14ac:dyDescent="0.25">
      <c r="I5663" s="3"/>
      <c r="J5663" s="3"/>
      <c r="K5663" s="3"/>
      <c r="L5663" s="3"/>
    </row>
    <row r="5664" spans="9:12" x14ac:dyDescent="0.25">
      <c r="I5664" s="3"/>
      <c r="J5664" s="3"/>
      <c r="K5664" s="3"/>
      <c r="L5664" s="3"/>
    </row>
    <row r="5665" spans="9:12" x14ac:dyDescent="0.25">
      <c r="I5665" s="3"/>
      <c r="J5665" s="3"/>
      <c r="K5665" s="3"/>
      <c r="L5665" s="3"/>
    </row>
    <row r="5666" spans="9:12" x14ac:dyDescent="0.25">
      <c r="I5666" s="3"/>
      <c r="J5666" s="3"/>
      <c r="K5666" s="3"/>
      <c r="L5666" s="3"/>
    </row>
    <row r="5667" spans="9:12" x14ac:dyDescent="0.25">
      <c r="I5667" s="3"/>
      <c r="J5667" s="3"/>
      <c r="K5667" s="3"/>
      <c r="L5667" s="3"/>
    </row>
    <row r="5668" spans="9:12" x14ac:dyDescent="0.25">
      <c r="I5668" s="3"/>
      <c r="J5668" s="3"/>
      <c r="K5668" s="3"/>
      <c r="L5668" s="3"/>
    </row>
    <row r="5669" spans="9:12" x14ac:dyDescent="0.25">
      <c r="I5669" s="3"/>
      <c r="J5669" s="3"/>
      <c r="K5669" s="3"/>
      <c r="L5669" s="3"/>
    </row>
    <row r="5670" spans="9:12" x14ac:dyDescent="0.25">
      <c r="I5670" s="3"/>
      <c r="J5670" s="3"/>
      <c r="K5670" s="3"/>
      <c r="L5670" s="3"/>
    </row>
    <row r="5671" spans="9:12" x14ac:dyDescent="0.25">
      <c r="I5671" s="3"/>
      <c r="J5671" s="3"/>
      <c r="K5671" s="3"/>
      <c r="L5671" s="3"/>
    </row>
    <row r="5672" spans="9:12" x14ac:dyDescent="0.25">
      <c r="I5672" s="3"/>
      <c r="J5672" s="3"/>
      <c r="K5672" s="3"/>
      <c r="L5672" s="3"/>
    </row>
    <row r="5673" spans="9:12" x14ac:dyDescent="0.25">
      <c r="I5673" s="3"/>
      <c r="J5673" s="3"/>
      <c r="K5673" s="3"/>
      <c r="L5673" s="3"/>
    </row>
    <row r="5674" spans="9:12" x14ac:dyDescent="0.25">
      <c r="I5674" s="3"/>
      <c r="J5674" s="3"/>
      <c r="K5674" s="3"/>
      <c r="L5674" s="3"/>
    </row>
    <row r="5675" spans="9:12" x14ac:dyDescent="0.25">
      <c r="I5675" s="3"/>
      <c r="J5675" s="3"/>
      <c r="K5675" s="3"/>
      <c r="L5675" s="3"/>
    </row>
    <row r="5676" spans="9:12" x14ac:dyDescent="0.25">
      <c r="I5676" s="3"/>
      <c r="J5676" s="3"/>
      <c r="K5676" s="3"/>
      <c r="L5676" s="3"/>
    </row>
    <row r="5677" spans="9:12" x14ac:dyDescent="0.25">
      <c r="I5677" s="3"/>
      <c r="J5677" s="3"/>
      <c r="K5677" s="3"/>
      <c r="L5677" s="3"/>
    </row>
    <row r="5678" spans="9:12" x14ac:dyDescent="0.25">
      <c r="I5678" s="3"/>
      <c r="J5678" s="3"/>
      <c r="K5678" s="3"/>
      <c r="L5678" s="3"/>
    </row>
    <row r="5679" spans="9:12" x14ac:dyDescent="0.25">
      <c r="I5679" s="3"/>
      <c r="J5679" s="3"/>
      <c r="K5679" s="3"/>
      <c r="L5679" s="3"/>
    </row>
    <row r="5680" spans="9:12" x14ac:dyDescent="0.25">
      <c r="I5680" s="3"/>
      <c r="J5680" s="3"/>
      <c r="K5680" s="3"/>
      <c r="L5680" s="3"/>
    </row>
    <row r="5681" spans="9:12" x14ac:dyDescent="0.25">
      <c r="I5681" s="3"/>
      <c r="J5681" s="3"/>
      <c r="K5681" s="3"/>
      <c r="L5681" s="3"/>
    </row>
    <row r="5682" spans="9:12" x14ac:dyDescent="0.25">
      <c r="I5682" s="3"/>
      <c r="J5682" s="3"/>
      <c r="K5682" s="3"/>
      <c r="L5682" s="3"/>
    </row>
    <row r="5683" spans="9:12" x14ac:dyDescent="0.25">
      <c r="I5683" s="3"/>
      <c r="J5683" s="3"/>
      <c r="K5683" s="3"/>
      <c r="L5683" s="3"/>
    </row>
    <row r="5684" spans="9:12" x14ac:dyDescent="0.25">
      <c r="I5684" s="3"/>
      <c r="J5684" s="3"/>
      <c r="K5684" s="3"/>
      <c r="L5684" s="3"/>
    </row>
    <row r="5685" spans="9:12" x14ac:dyDescent="0.25">
      <c r="I5685" s="3"/>
      <c r="J5685" s="3"/>
      <c r="K5685" s="3"/>
      <c r="L5685" s="3"/>
    </row>
    <row r="5686" spans="9:12" x14ac:dyDescent="0.25">
      <c r="I5686" s="3"/>
      <c r="J5686" s="3"/>
      <c r="K5686" s="3"/>
      <c r="L5686" s="3"/>
    </row>
    <row r="5687" spans="9:12" x14ac:dyDescent="0.25">
      <c r="I5687" s="3"/>
      <c r="J5687" s="3"/>
      <c r="K5687" s="3"/>
      <c r="L5687" s="3"/>
    </row>
    <row r="5688" spans="9:12" x14ac:dyDescent="0.25">
      <c r="I5688" s="3"/>
      <c r="J5688" s="3"/>
      <c r="K5688" s="3"/>
      <c r="L5688" s="3"/>
    </row>
    <row r="5689" spans="9:12" x14ac:dyDescent="0.25">
      <c r="I5689" s="3"/>
      <c r="J5689" s="3"/>
      <c r="K5689" s="3"/>
      <c r="L5689" s="3"/>
    </row>
    <row r="5690" spans="9:12" x14ac:dyDescent="0.25">
      <c r="I5690" s="3"/>
      <c r="J5690" s="3"/>
      <c r="K5690" s="3"/>
      <c r="L5690" s="3"/>
    </row>
    <row r="5691" spans="9:12" x14ac:dyDescent="0.25">
      <c r="I5691" s="3"/>
      <c r="J5691" s="3"/>
      <c r="K5691" s="3"/>
      <c r="L5691" s="3"/>
    </row>
    <row r="5692" spans="9:12" x14ac:dyDescent="0.25">
      <c r="I5692" s="3"/>
      <c r="J5692" s="3"/>
      <c r="K5692" s="3"/>
      <c r="L5692" s="3"/>
    </row>
    <row r="5693" spans="9:12" x14ac:dyDescent="0.25">
      <c r="I5693" s="3"/>
      <c r="J5693" s="3"/>
      <c r="K5693" s="3"/>
      <c r="L5693" s="3"/>
    </row>
    <row r="5694" spans="9:12" x14ac:dyDescent="0.25">
      <c r="I5694" s="3"/>
      <c r="J5694" s="3"/>
      <c r="K5694" s="3"/>
      <c r="L5694" s="3"/>
    </row>
    <row r="5695" spans="9:12" x14ac:dyDescent="0.25">
      <c r="I5695" s="3"/>
      <c r="J5695" s="3"/>
      <c r="K5695" s="3"/>
      <c r="L5695" s="3"/>
    </row>
    <row r="5696" spans="9:12" x14ac:dyDescent="0.25">
      <c r="I5696" s="3"/>
      <c r="J5696" s="3"/>
      <c r="K5696" s="3"/>
      <c r="L5696" s="3"/>
    </row>
    <row r="5697" spans="9:12" x14ac:dyDescent="0.25">
      <c r="I5697" s="3"/>
      <c r="J5697" s="3"/>
      <c r="K5697" s="3"/>
      <c r="L5697" s="3"/>
    </row>
    <row r="5698" spans="9:12" x14ac:dyDescent="0.25">
      <c r="I5698" s="3"/>
      <c r="J5698" s="3"/>
      <c r="K5698" s="3"/>
      <c r="L5698" s="3"/>
    </row>
    <row r="5699" spans="9:12" x14ac:dyDescent="0.25">
      <c r="I5699" s="3"/>
      <c r="J5699" s="3"/>
      <c r="K5699" s="3"/>
      <c r="L5699" s="3"/>
    </row>
    <row r="5700" spans="9:12" x14ac:dyDescent="0.25">
      <c r="I5700" s="3"/>
      <c r="J5700" s="3"/>
      <c r="K5700" s="3"/>
      <c r="L5700" s="3"/>
    </row>
    <row r="5701" spans="9:12" x14ac:dyDescent="0.25">
      <c r="I5701" s="3"/>
      <c r="J5701" s="3"/>
      <c r="K5701" s="3"/>
      <c r="L5701" s="3"/>
    </row>
    <row r="5702" spans="9:12" x14ac:dyDescent="0.25">
      <c r="I5702" s="3"/>
      <c r="J5702" s="3"/>
      <c r="K5702" s="3"/>
      <c r="L5702" s="3"/>
    </row>
    <row r="5703" spans="9:12" x14ac:dyDescent="0.25">
      <c r="I5703" s="3"/>
      <c r="J5703" s="3"/>
      <c r="K5703" s="3"/>
      <c r="L5703" s="3"/>
    </row>
    <row r="5704" spans="9:12" x14ac:dyDescent="0.25">
      <c r="I5704" s="3"/>
      <c r="J5704" s="3"/>
      <c r="K5704" s="3"/>
      <c r="L5704" s="3"/>
    </row>
    <row r="5705" spans="9:12" x14ac:dyDescent="0.25">
      <c r="I5705" s="3"/>
      <c r="J5705" s="3"/>
      <c r="K5705" s="3"/>
      <c r="L5705" s="3"/>
    </row>
    <row r="5706" spans="9:12" x14ac:dyDescent="0.25">
      <c r="I5706" s="3"/>
      <c r="J5706" s="3"/>
      <c r="K5706" s="3"/>
      <c r="L5706" s="3"/>
    </row>
    <row r="5707" spans="9:12" x14ac:dyDescent="0.25">
      <c r="I5707" s="3"/>
      <c r="J5707" s="3"/>
      <c r="K5707" s="3"/>
      <c r="L5707" s="3"/>
    </row>
    <row r="5708" spans="9:12" x14ac:dyDescent="0.25">
      <c r="I5708" s="3"/>
      <c r="J5708" s="3"/>
      <c r="K5708" s="3"/>
      <c r="L5708" s="3"/>
    </row>
    <row r="5709" spans="9:12" x14ac:dyDescent="0.25">
      <c r="I5709" s="3"/>
      <c r="J5709" s="3"/>
      <c r="K5709" s="3"/>
      <c r="L5709" s="3"/>
    </row>
    <row r="5710" spans="9:12" x14ac:dyDescent="0.25">
      <c r="I5710" s="3"/>
      <c r="J5710" s="3"/>
      <c r="K5710" s="3"/>
      <c r="L5710" s="3"/>
    </row>
    <row r="5711" spans="9:12" x14ac:dyDescent="0.25">
      <c r="I5711" s="3"/>
      <c r="J5711" s="3"/>
      <c r="K5711" s="3"/>
      <c r="L5711" s="3"/>
    </row>
    <row r="5712" spans="9:12" x14ac:dyDescent="0.25">
      <c r="I5712" s="3"/>
      <c r="J5712" s="3"/>
      <c r="K5712" s="3"/>
      <c r="L5712" s="3"/>
    </row>
    <row r="5713" spans="9:12" x14ac:dyDescent="0.25">
      <c r="I5713" s="3"/>
      <c r="J5713" s="3"/>
      <c r="K5713" s="3"/>
      <c r="L5713" s="3"/>
    </row>
    <row r="5714" spans="9:12" x14ac:dyDescent="0.25">
      <c r="I5714" s="3"/>
      <c r="J5714" s="3"/>
      <c r="K5714" s="3"/>
      <c r="L5714" s="3"/>
    </row>
    <row r="5715" spans="9:12" x14ac:dyDescent="0.25">
      <c r="I5715" s="3"/>
      <c r="J5715" s="3"/>
      <c r="K5715" s="3"/>
      <c r="L5715" s="3"/>
    </row>
    <row r="5716" spans="9:12" x14ac:dyDescent="0.25">
      <c r="I5716" s="3"/>
      <c r="J5716" s="3"/>
      <c r="K5716" s="3"/>
      <c r="L5716" s="3"/>
    </row>
    <row r="5717" spans="9:12" x14ac:dyDescent="0.25">
      <c r="I5717" s="3"/>
      <c r="J5717" s="3"/>
      <c r="K5717" s="3"/>
      <c r="L5717" s="3"/>
    </row>
    <row r="5718" spans="9:12" x14ac:dyDescent="0.25">
      <c r="I5718" s="3"/>
      <c r="J5718" s="3"/>
      <c r="K5718" s="3"/>
      <c r="L5718" s="3"/>
    </row>
    <row r="5719" spans="9:12" x14ac:dyDescent="0.25">
      <c r="I5719" s="3"/>
      <c r="J5719" s="3"/>
      <c r="K5719" s="3"/>
      <c r="L5719" s="3"/>
    </row>
    <row r="5720" spans="9:12" x14ac:dyDescent="0.25">
      <c r="I5720" s="3"/>
      <c r="J5720" s="3"/>
      <c r="K5720" s="3"/>
      <c r="L5720" s="3"/>
    </row>
    <row r="5721" spans="9:12" x14ac:dyDescent="0.25">
      <c r="I5721" s="3"/>
      <c r="J5721" s="3"/>
      <c r="K5721" s="3"/>
      <c r="L5721" s="3"/>
    </row>
    <row r="5722" spans="9:12" x14ac:dyDescent="0.25">
      <c r="I5722" s="3"/>
      <c r="J5722" s="3"/>
      <c r="K5722" s="3"/>
      <c r="L5722" s="3"/>
    </row>
    <row r="5723" spans="9:12" x14ac:dyDescent="0.25">
      <c r="I5723" s="3"/>
      <c r="J5723" s="3"/>
      <c r="K5723" s="3"/>
      <c r="L5723" s="3"/>
    </row>
    <row r="5724" spans="9:12" x14ac:dyDescent="0.25">
      <c r="I5724" s="3"/>
      <c r="J5724" s="3"/>
      <c r="K5724" s="3"/>
      <c r="L5724" s="3"/>
    </row>
    <row r="5725" spans="9:12" x14ac:dyDescent="0.25">
      <c r="I5725" s="3"/>
      <c r="J5725" s="3"/>
      <c r="K5725" s="3"/>
      <c r="L5725" s="3"/>
    </row>
    <row r="5726" spans="9:12" x14ac:dyDescent="0.25">
      <c r="I5726" s="3"/>
      <c r="J5726" s="3"/>
      <c r="K5726" s="3"/>
      <c r="L5726" s="3"/>
    </row>
    <row r="5727" spans="9:12" x14ac:dyDescent="0.25">
      <c r="I5727" s="3"/>
      <c r="J5727" s="3"/>
      <c r="K5727" s="3"/>
      <c r="L5727" s="3"/>
    </row>
    <row r="5728" spans="9:12" x14ac:dyDescent="0.25">
      <c r="I5728" s="3"/>
      <c r="J5728" s="3"/>
      <c r="K5728" s="3"/>
      <c r="L5728" s="3"/>
    </row>
    <row r="5729" spans="9:12" x14ac:dyDescent="0.25">
      <c r="I5729" s="3"/>
      <c r="J5729" s="3"/>
      <c r="K5729" s="3"/>
      <c r="L5729" s="3"/>
    </row>
    <row r="5730" spans="9:12" x14ac:dyDescent="0.25">
      <c r="I5730" s="3"/>
      <c r="J5730" s="3"/>
      <c r="K5730" s="3"/>
      <c r="L5730" s="3"/>
    </row>
    <row r="5731" spans="9:12" x14ac:dyDescent="0.25">
      <c r="I5731" s="3"/>
      <c r="J5731" s="3"/>
      <c r="K5731" s="3"/>
      <c r="L5731" s="3"/>
    </row>
    <row r="5732" spans="9:12" x14ac:dyDescent="0.25">
      <c r="I5732" s="3"/>
      <c r="J5732" s="3"/>
      <c r="K5732" s="3"/>
      <c r="L5732" s="3"/>
    </row>
    <row r="5733" spans="9:12" x14ac:dyDescent="0.25">
      <c r="I5733" s="3"/>
      <c r="J5733" s="3"/>
      <c r="K5733" s="3"/>
      <c r="L5733" s="3"/>
    </row>
    <row r="5734" spans="9:12" x14ac:dyDescent="0.25">
      <c r="I5734" s="3"/>
      <c r="J5734" s="3"/>
      <c r="K5734" s="3"/>
      <c r="L5734" s="3"/>
    </row>
    <row r="5735" spans="9:12" x14ac:dyDescent="0.25">
      <c r="I5735" s="3"/>
      <c r="J5735" s="3"/>
      <c r="K5735" s="3"/>
      <c r="L5735" s="3"/>
    </row>
    <row r="5736" spans="9:12" x14ac:dyDescent="0.25">
      <c r="I5736" s="3"/>
      <c r="J5736" s="3"/>
      <c r="K5736" s="3"/>
      <c r="L5736" s="3"/>
    </row>
    <row r="5737" spans="9:12" x14ac:dyDescent="0.25">
      <c r="I5737" s="3"/>
      <c r="J5737" s="3"/>
      <c r="K5737" s="3"/>
      <c r="L5737" s="3"/>
    </row>
    <row r="5738" spans="9:12" x14ac:dyDescent="0.25">
      <c r="I5738" s="3"/>
      <c r="J5738" s="3"/>
      <c r="K5738" s="3"/>
      <c r="L5738" s="3"/>
    </row>
    <row r="5739" spans="9:12" x14ac:dyDescent="0.25">
      <c r="I5739" s="3"/>
      <c r="J5739" s="3"/>
      <c r="K5739" s="3"/>
      <c r="L5739" s="3"/>
    </row>
    <row r="5740" spans="9:12" x14ac:dyDescent="0.25">
      <c r="I5740" s="3"/>
      <c r="J5740" s="3"/>
      <c r="K5740" s="3"/>
      <c r="L5740" s="3"/>
    </row>
    <row r="5741" spans="9:12" x14ac:dyDescent="0.25">
      <c r="I5741" s="3"/>
      <c r="J5741" s="3"/>
      <c r="K5741" s="3"/>
      <c r="L5741" s="3"/>
    </row>
    <row r="5742" spans="9:12" x14ac:dyDescent="0.25">
      <c r="I5742" s="3"/>
      <c r="J5742" s="3"/>
      <c r="K5742" s="3"/>
      <c r="L5742" s="3"/>
    </row>
    <row r="5743" spans="9:12" x14ac:dyDescent="0.25">
      <c r="I5743" s="3"/>
      <c r="J5743" s="3"/>
      <c r="K5743" s="3"/>
      <c r="L5743" s="3"/>
    </row>
    <row r="5744" spans="9:12" x14ac:dyDescent="0.25">
      <c r="I5744" s="3"/>
      <c r="J5744" s="3"/>
      <c r="K5744" s="3"/>
      <c r="L5744" s="3"/>
    </row>
    <row r="5745" spans="9:12" x14ac:dyDescent="0.25">
      <c r="I5745" s="3"/>
      <c r="J5745" s="3"/>
      <c r="K5745" s="3"/>
      <c r="L5745" s="3"/>
    </row>
    <row r="5746" spans="9:12" x14ac:dyDescent="0.25">
      <c r="I5746" s="3"/>
      <c r="J5746" s="3"/>
      <c r="K5746" s="3"/>
      <c r="L5746" s="3"/>
    </row>
    <row r="5747" spans="9:12" x14ac:dyDescent="0.25">
      <c r="I5747" s="3"/>
      <c r="J5747" s="3"/>
      <c r="K5747" s="3"/>
      <c r="L5747" s="3"/>
    </row>
    <row r="5748" spans="9:12" x14ac:dyDescent="0.25">
      <c r="I5748" s="3"/>
      <c r="J5748" s="3"/>
      <c r="K5748" s="3"/>
      <c r="L5748" s="3"/>
    </row>
    <row r="5749" spans="9:12" x14ac:dyDescent="0.25">
      <c r="I5749" s="3"/>
      <c r="J5749" s="3"/>
      <c r="K5749" s="3"/>
      <c r="L5749" s="3"/>
    </row>
    <row r="5750" spans="9:12" x14ac:dyDescent="0.25">
      <c r="I5750" s="3"/>
      <c r="J5750" s="3"/>
      <c r="K5750" s="3"/>
      <c r="L5750" s="3"/>
    </row>
    <row r="5751" spans="9:12" x14ac:dyDescent="0.25">
      <c r="I5751" s="3"/>
      <c r="J5751" s="3"/>
      <c r="K5751" s="3"/>
      <c r="L5751" s="3"/>
    </row>
    <row r="5752" spans="9:12" x14ac:dyDescent="0.25">
      <c r="I5752" s="3"/>
      <c r="J5752" s="3"/>
      <c r="K5752" s="3"/>
      <c r="L5752" s="3"/>
    </row>
    <row r="5753" spans="9:12" x14ac:dyDescent="0.25">
      <c r="I5753" s="3"/>
      <c r="J5753" s="3"/>
      <c r="K5753" s="3"/>
      <c r="L5753" s="3"/>
    </row>
    <row r="5754" spans="9:12" x14ac:dyDescent="0.25">
      <c r="I5754" s="3"/>
      <c r="J5754" s="3"/>
      <c r="K5754" s="3"/>
      <c r="L5754" s="3"/>
    </row>
    <row r="5755" spans="9:12" x14ac:dyDescent="0.25">
      <c r="I5755" s="3"/>
      <c r="J5755" s="3"/>
      <c r="K5755" s="3"/>
      <c r="L5755" s="3"/>
    </row>
    <row r="5756" spans="9:12" x14ac:dyDescent="0.25">
      <c r="I5756" s="3"/>
      <c r="J5756" s="3"/>
      <c r="K5756" s="3"/>
      <c r="L5756" s="3"/>
    </row>
    <row r="5757" spans="9:12" x14ac:dyDescent="0.25">
      <c r="I5757" s="3"/>
      <c r="J5757" s="3"/>
      <c r="K5757" s="3"/>
      <c r="L5757" s="3"/>
    </row>
    <row r="5758" spans="9:12" x14ac:dyDescent="0.25">
      <c r="I5758" s="3"/>
      <c r="J5758" s="3"/>
      <c r="K5758" s="3"/>
      <c r="L5758" s="3"/>
    </row>
    <row r="5759" spans="9:12" x14ac:dyDescent="0.25">
      <c r="I5759" s="3"/>
      <c r="J5759" s="3"/>
      <c r="K5759" s="3"/>
      <c r="L5759" s="3"/>
    </row>
    <row r="5760" spans="9:12" x14ac:dyDescent="0.25">
      <c r="I5760" s="3"/>
      <c r="J5760" s="3"/>
      <c r="K5760" s="3"/>
      <c r="L5760" s="3"/>
    </row>
    <row r="5761" spans="9:12" x14ac:dyDescent="0.25">
      <c r="I5761" s="3"/>
      <c r="J5761" s="3"/>
      <c r="K5761" s="3"/>
      <c r="L5761" s="3"/>
    </row>
    <row r="5762" spans="9:12" x14ac:dyDescent="0.25">
      <c r="I5762" s="3"/>
      <c r="J5762" s="3"/>
      <c r="K5762" s="3"/>
      <c r="L5762" s="3"/>
    </row>
    <row r="5763" spans="9:12" x14ac:dyDescent="0.25">
      <c r="I5763" s="3"/>
      <c r="J5763" s="3"/>
      <c r="K5763" s="3"/>
      <c r="L5763" s="3"/>
    </row>
    <row r="5764" spans="9:12" x14ac:dyDescent="0.25">
      <c r="I5764" s="3"/>
      <c r="J5764" s="3"/>
      <c r="K5764" s="3"/>
      <c r="L5764" s="3"/>
    </row>
    <row r="5765" spans="9:12" x14ac:dyDescent="0.25">
      <c r="I5765" s="3"/>
      <c r="J5765" s="3"/>
      <c r="K5765" s="3"/>
      <c r="L5765" s="3"/>
    </row>
    <row r="5766" spans="9:12" x14ac:dyDescent="0.25">
      <c r="I5766" s="3"/>
      <c r="J5766" s="3"/>
      <c r="K5766" s="3"/>
      <c r="L5766" s="3"/>
    </row>
    <row r="5767" spans="9:12" x14ac:dyDescent="0.25">
      <c r="I5767" s="3"/>
      <c r="J5767" s="3"/>
      <c r="K5767" s="3"/>
      <c r="L5767" s="3"/>
    </row>
    <row r="5768" spans="9:12" x14ac:dyDescent="0.25">
      <c r="I5768" s="3"/>
      <c r="J5768" s="3"/>
      <c r="K5768" s="3"/>
      <c r="L5768" s="3"/>
    </row>
    <row r="5769" spans="9:12" x14ac:dyDescent="0.25">
      <c r="I5769" s="3"/>
      <c r="J5769" s="3"/>
      <c r="K5769" s="3"/>
      <c r="L5769" s="3"/>
    </row>
    <row r="5770" spans="9:12" x14ac:dyDescent="0.25">
      <c r="I5770" s="3"/>
      <c r="J5770" s="3"/>
      <c r="K5770" s="3"/>
      <c r="L5770" s="3"/>
    </row>
    <row r="5771" spans="9:12" x14ac:dyDescent="0.25">
      <c r="I5771" s="3"/>
      <c r="J5771" s="3"/>
      <c r="K5771" s="3"/>
      <c r="L5771" s="3"/>
    </row>
    <row r="5772" spans="9:12" x14ac:dyDescent="0.25">
      <c r="I5772" s="3"/>
      <c r="J5772" s="3"/>
      <c r="K5772" s="3"/>
      <c r="L5772" s="3"/>
    </row>
    <row r="5773" spans="9:12" x14ac:dyDescent="0.25">
      <c r="I5773" s="3"/>
      <c r="J5773" s="3"/>
      <c r="K5773" s="3"/>
      <c r="L5773" s="3"/>
    </row>
    <row r="5774" spans="9:12" x14ac:dyDescent="0.25">
      <c r="I5774" s="3"/>
      <c r="J5774" s="3"/>
      <c r="K5774" s="3"/>
      <c r="L5774" s="3"/>
    </row>
    <row r="5775" spans="9:12" x14ac:dyDescent="0.25">
      <c r="I5775" s="3"/>
      <c r="J5775" s="3"/>
      <c r="K5775" s="3"/>
      <c r="L5775" s="3"/>
    </row>
    <row r="5776" spans="9:12" x14ac:dyDescent="0.25">
      <c r="I5776" s="3"/>
      <c r="J5776" s="3"/>
      <c r="K5776" s="3"/>
      <c r="L5776" s="3"/>
    </row>
    <row r="5777" spans="9:12" x14ac:dyDescent="0.25">
      <c r="I5777" s="3"/>
      <c r="J5777" s="3"/>
      <c r="K5777" s="3"/>
      <c r="L5777" s="3"/>
    </row>
    <row r="5778" spans="9:12" x14ac:dyDescent="0.25">
      <c r="I5778" s="3"/>
      <c r="J5778" s="3"/>
      <c r="K5778" s="3"/>
      <c r="L5778" s="3"/>
    </row>
    <row r="5779" spans="9:12" x14ac:dyDescent="0.25">
      <c r="I5779" s="3"/>
      <c r="J5779" s="3"/>
      <c r="K5779" s="3"/>
      <c r="L5779" s="3"/>
    </row>
    <row r="5780" spans="9:12" x14ac:dyDescent="0.25">
      <c r="I5780" s="3"/>
      <c r="J5780" s="3"/>
      <c r="K5780" s="3"/>
      <c r="L5780" s="3"/>
    </row>
    <row r="5781" spans="9:12" x14ac:dyDescent="0.25">
      <c r="I5781" s="3"/>
      <c r="J5781" s="3"/>
      <c r="K5781" s="3"/>
      <c r="L5781" s="3"/>
    </row>
    <row r="5782" spans="9:12" x14ac:dyDescent="0.25">
      <c r="I5782" s="3"/>
      <c r="J5782" s="3"/>
      <c r="K5782" s="3"/>
      <c r="L5782" s="3"/>
    </row>
    <row r="5783" spans="9:12" x14ac:dyDescent="0.25">
      <c r="I5783" s="3"/>
      <c r="J5783" s="3"/>
      <c r="K5783" s="3"/>
      <c r="L5783" s="3"/>
    </row>
    <row r="5784" spans="9:12" x14ac:dyDescent="0.25">
      <c r="I5784" s="3"/>
      <c r="J5784" s="3"/>
      <c r="K5784" s="3"/>
      <c r="L5784" s="3"/>
    </row>
    <row r="5785" spans="9:12" x14ac:dyDescent="0.25">
      <c r="I5785" s="4"/>
      <c r="J5785" s="4"/>
      <c r="K5785" s="4"/>
      <c r="L5785" s="4"/>
    </row>
    <row r="5786" spans="9:12" x14ac:dyDescent="0.25">
      <c r="I5786" s="3"/>
      <c r="J5786" s="3"/>
      <c r="K5786" s="3"/>
      <c r="L5786" s="3"/>
    </row>
    <row r="5787" spans="9:12" x14ac:dyDescent="0.25">
      <c r="I5787" s="3"/>
      <c r="J5787" s="3"/>
      <c r="K5787" s="3"/>
      <c r="L5787" s="3"/>
    </row>
    <row r="5788" spans="9:12" x14ac:dyDescent="0.25">
      <c r="I5788" s="3"/>
      <c r="J5788" s="3"/>
      <c r="K5788" s="3"/>
      <c r="L5788" s="3"/>
    </row>
    <row r="5789" spans="9:12" x14ac:dyDescent="0.25">
      <c r="I5789" s="3"/>
      <c r="J5789" s="3"/>
      <c r="K5789" s="3"/>
      <c r="L5789" s="3"/>
    </row>
    <row r="5790" spans="9:12" x14ac:dyDescent="0.25">
      <c r="I5790" s="3"/>
      <c r="J5790" s="3"/>
      <c r="K5790" s="3"/>
      <c r="L5790" s="3"/>
    </row>
    <row r="5791" spans="9:12" x14ac:dyDescent="0.25">
      <c r="I5791" s="3"/>
      <c r="J5791" s="3"/>
      <c r="K5791" s="3"/>
      <c r="L5791" s="3"/>
    </row>
    <row r="5792" spans="9:12" x14ac:dyDescent="0.25">
      <c r="I5792" s="3"/>
      <c r="J5792" s="3"/>
      <c r="K5792" s="3"/>
      <c r="L5792" s="3"/>
    </row>
    <row r="5793" spans="9:12" x14ac:dyDescent="0.25">
      <c r="I5793" s="3"/>
      <c r="J5793" s="3"/>
      <c r="K5793" s="3"/>
      <c r="L5793" s="3"/>
    </row>
    <row r="5794" spans="9:12" x14ac:dyDescent="0.25">
      <c r="I5794" s="3"/>
      <c r="J5794" s="3"/>
      <c r="K5794" s="3"/>
      <c r="L5794" s="3"/>
    </row>
    <row r="5795" spans="9:12" x14ac:dyDescent="0.25">
      <c r="I5795" s="3"/>
      <c r="J5795" s="3"/>
      <c r="K5795" s="3"/>
      <c r="L5795" s="3"/>
    </row>
    <row r="5796" spans="9:12" x14ac:dyDescent="0.25">
      <c r="I5796" s="3"/>
      <c r="J5796" s="3"/>
      <c r="K5796" s="3"/>
      <c r="L5796" s="3"/>
    </row>
    <row r="5797" spans="9:12" x14ac:dyDescent="0.25">
      <c r="I5797" s="3"/>
      <c r="J5797" s="3"/>
      <c r="K5797" s="3"/>
      <c r="L5797" s="3"/>
    </row>
    <row r="5798" spans="9:12" x14ac:dyDescent="0.25">
      <c r="I5798" s="3"/>
      <c r="J5798" s="3"/>
      <c r="K5798" s="3"/>
      <c r="L5798" s="3"/>
    </row>
    <row r="5799" spans="9:12" x14ac:dyDescent="0.25">
      <c r="I5799" s="3"/>
      <c r="J5799" s="3"/>
      <c r="K5799" s="3"/>
      <c r="L5799" s="3"/>
    </row>
    <row r="5800" spans="9:12" x14ac:dyDescent="0.25">
      <c r="I5800" s="4"/>
      <c r="J5800" s="4"/>
      <c r="K5800" s="4"/>
      <c r="L5800" s="4"/>
    </row>
    <row r="5801" spans="9:12" x14ac:dyDescent="0.25">
      <c r="I5801" s="3"/>
      <c r="J5801" s="3"/>
      <c r="K5801" s="3"/>
      <c r="L5801" s="3"/>
    </row>
    <row r="5802" spans="9:12" x14ac:dyDescent="0.25">
      <c r="I5802" s="3"/>
      <c r="J5802" s="3"/>
      <c r="K5802" s="3"/>
      <c r="L5802" s="3"/>
    </row>
    <row r="5803" spans="9:12" x14ac:dyDescent="0.25">
      <c r="I5803" s="3"/>
      <c r="J5803" s="3"/>
      <c r="K5803" s="3"/>
      <c r="L5803" s="3"/>
    </row>
    <row r="5804" spans="9:12" x14ac:dyDescent="0.25">
      <c r="I5804" s="3"/>
      <c r="J5804" s="3"/>
      <c r="K5804" s="3"/>
      <c r="L5804" s="3"/>
    </row>
    <row r="5805" spans="9:12" x14ac:dyDescent="0.25">
      <c r="I5805" s="3"/>
      <c r="J5805" s="3"/>
      <c r="K5805" s="3"/>
      <c r="L5805" s="3"/>
    </row>
    <row r="5806" spans="9:12" x14ac:dyDescent="0.25">
      <c r="I5806" s="3"/>
      <c r="J5806" s="3"/>
      <c r="K5806" s="3"/>
      <c r="L5806" s="3"/>
    </row>
    <row r="5807" spans="9:12" x14ac:dyDescent="0.25">
      <c r="I5807" s="3"/>
      <c r="J5807" s="3"/>
      <c r="K5807" s="3"/>
      <c r="L5807" s="3"/>
    </row>
    <row r="5808" spans="9:12" x14ac:dyDescent="0.25">
      <c r="I5808" s="3"/>
      <c r="J5808" s="3"/>
      <c r="K5808" s="3"/>
      <c r="L5808" s="3"/>
    </row>
    <row r="5809" spans="9:12" x14ac:dyDescent="0.25">
      <c r="I5809" s="3"/>
      <c r="J5809" s="3"/>
      <c r="K5809" s="3"/>
      <c r="L5809" s="3"/>
    </row>
    <row r="5810" spans="9:12" x14ac:dyDescent="0.25">
      <c r="I5810" s="3"/>
      <c r="J5810" s="3"/>
      <c r="K5810" s="3"/>
      <c r="L5810" s="3"/>
    </row>
    <row r="5811" spans="9:12" x14ac:dyDescent="0.25">
      <c r="I5811" s="3"/>
      <c r="J5811" s="3"/>
      <c r="K5811" s="3"/>
      <c r="L5811" s="3"/>
    </row>
    <row r="5812" spans="9:12" x14ac:dyDescent="0.25">
      <c r="I5812" s="3"/>
      <c r="J5812" s="3"/>
      <c r="K5812" s="3"/>
      <c r="L5812" s="3"/>
    </row>
    <row r="5813" spans="9:12" x14ac:dyDescent="0.25">
      <c r="I5813" s="3"/>
      <c r="J5813" s="3"/>
      <c r="K5813" s="3"/>
      <c r="L5813" s="3"/>
    </row>
    <row r="5814" spans="9:12" x14ac:dyDescent="0.25">
      <c r="I5814" s="3"/>
      <c r="J5814" s="3"/>
      <c r="K5814" s="3"/>
      <c r="L5814" s="3"/>
    </row>
    <row r="5815" spans="9:12" x14ac:dyDescent="0.25">
      <c r="I5815" s="3"/>
      <c r="J5815" s="3"/>
      <c r="K5815" s="3"/>
      <c r="L5815" s="3"/>
    </row>
    <row r="5816" spans="9:12" x14ac:dyDescent="0.25">
      <c r="I5816" s="3"/>
      <c r="J5816" s="3"/>
      <c r="K5816" s="3"/>
      <c r="L5816" s="3"/>
    </row>
    <row r="5817" spans="9:12" x14ac:dyDescent="0.25">
      <c r="I5817" s="3"/>
      <c r="J5817" s="3"/>
      <c r="K5817" s="3"/>
      <c r="L5817" s="3"/>
    </row>
    <row r="5818" spans="9:12" x14ac:dyDescent="0.25">
      <c r="I5818" s="3"/>
      <c r="J5818" s="3"/>
      <c r="K5818" s="3"/>
      <c r="L5818" s="3"/>
    </row>
    <row r="5819" spans="9:12" x14ac:dyDescent="0.25">
      <c r="I5819" s="3"/>
      <c r="J5819" s="3"/>
      <c r="K5819" s="3"/>
      <c r="L5819" s="3"/>
    </row>
    <row r="5820" spans="9:12" x14ac:dyDescent="0.25">
      <c r="I5820" s="3"/>
      <c r="J5820" s="3"/>
      <c r="K5820" s="3"/>
      <c r="L5820" s="3"/>
    </row>
    <row r="5821" spans="9:12" x14ac:dyDescent="0.25">
      <c r="I5821" s="3"/>
      <c r="J5821" s="3"/>
      <c r="K5821" s="3"/>
      <c r="L5821" s="3"/>
    </row>
    <row r="5822" spans="9:12" x14ac:dyDescent="0.25">
      <c r="I5822" s="3"/>
      <c r="J5822" s="3"/>
      <c r="K5822" s="3"/>
      <c r="L5822" s="3"/>
    </row>
    <row r="5823" spans="9:12" x14ac:dyDescent="0.25">
      <c r="I5823" s="3"/>
      <c r="J5823" s="3"/>
      <c r="K5823" s="3"/>
      <c r="L5823" s="3"/>
    </row>
    <row r="5824" spans="9:12" x14ac:dyDescent="0.25">
      <c r="I5824" s="3"/>
      <c r="J5824" s="3"/>
      <c r="K5824" s="3"/>
      <c r="L5824" s="3"/>
    </row>
    <row r="5825" spans="9:12" x14ac:dyDescent="0.25">
      <c r="I5825" s="3"/>
      <c r="J5825" s="3"/>
      <c r="K5825" s="3"/>
      <c r="L5825" s="3"/>
    </row>
    <row r="5826" spans="9:12" x14ac:dyDescent="0.25">
      <c r="I5826" s="3"/>
      <c r="J5826" s="3"/>
      <c r="K5826" s="3"/>
      <c r="L5826" s="3"/>
    </row>
    <row r="5827" spans="9:12" x14ac:dyDescent="0.25">
      <c r="I5827" s="3"/>
      <c r="J5827" s="3"/>
      <c r="K5827" s="3"/>
      <c r="L5827" s="3"/>
    </row>
    <row r="5828" spans="9:12" x14ac:dyDescent="0.25">
      <c r="I5828" s="3"/>
      <c r="J5828" s="3"/>
      <c r="K5828" s="3"/>
      <c r="L5828" s="3"/>
    </row>
    <row r="5829" spans="9:12" x14ac:dyDescent="0.25">
      <c r="I5829" s="3"/>
      <c r="J5829" s="3"/>
      <c r="K5829" s="3"/>
      <c r="L5829" s="3"/>
    </row>
    <row r="5830" spans="9:12" x14ac:dyDescent="0.25">
      <c r="I5830" s="3"/>
      <c r="J5830" s="3"/>
      <c r="K5830" s="3"/>
      <c r="L5830" s="3"/>
    </row>
    <row r="5831" spans="9:12" x14ac:dyDescent="0.25">
      <c r="I5831" s="3"/>
      <c r="J5831" s="3"/>
      <c r="K5831" s="3"/>
      <c r="L5831" s="3"/>
    </row>
    <row r="5832" spans="9:12" x14ac:dyDescent="0.25">
      <c r="I5832" s="3"/>
      <c r="J5832" s="3"/>
      <c r="K5832" s="3"/>
      <c r="L5832" s="3"/>
    </row>
    <row r="5833" spans="9:12" x14ac:dyDescent="0.25">
      <c r="I5833" s="3"/>
      <c r="J5833" s="3"/>
      <c r="K5833" s="3"/>
      <c r="L5833" s="3"/>
    </row>
    <row r="5834" spans="9:12" x14ac:dyDescent="0.25">
      <c r="I5834" s="3"/>
      <c r="J5834" s="3"/>
      <c r="K5834" s="3"/>
      <c r="L5834" s="3"/>
    </row>
    <row r="5835" spans="9:12" x14ac:dyDescent="0.25">
      <c r="I5835" s="3"/>
      <c r="J5835" s="3"/>
      <c r="K5835" s="3"/>
      <c r="L5835" s="3"/>
    </row>
    <row r="5836" spans="9:12" x14ac:dyDescent="0.25">
      <c r="I5836" s="3"/>
      <c r="J5836" s="3"/>
      <c r="K5836" s="3"/>
      <c r="L5836" s="3"/>
    </row>
    <row r="5837" spans="9:12" x14ac:dyDescent="0.25">
      <c r="I5837" s="3"/>
      <c r="J5837" s="3"/>
      <c r="K5837" s="3"/>
      <c r="L5837" s="3"/>
    </row>
    <row r="5838" spans="9:12" x14ac:dyDescent="0.25">
      <c r="I5838" s="3"/>
      <c r="J5838" s="3"/>
      <c r="K5838" s="3"/>
      <c r="L5838" s="3"/>
    </row>
    <row r="5839" spans="9:12" x14ac:dyDescent="0.25">
      <c r="I5839" s="3"/>
      <c r="J5839" s="3"/>
      <c r="K5839" s="3"/>
      <c r="L5839" s="3"/>
    </row>
    <row r="5840" spans="9:12" x14ac:dyDescent="0.25">
      <c r="I5840" s="3"/>
      <c r="J5840" s="3"/>
      <c r="K5840" s="3"/>
      <c r="L5840" s="3"/>
    </row>
    <row r="5841" spans="9:12" x14ac:dyDescent="0.25">
      <c r="I5841" s="3"/>
      <c r="J5841" s="3"/>
      <c r="K5841" s="3"/>
      <c r="L5841" s="3"/>
    </row>
    <row r="5842" spans="9:12" x14ac:dyDescent="0.25">
      <c r="I5842" s="3"/>
      <c r="J5842" s="3"/>
      <c r="K5842" s="3"/>
      <c r="L5842" s="3"/>
    </row>
    <row r="5843" spans="9:12" x14ac:dyDescent="0.25">
      <c r="I5843" s="3"/>
      <c r="J5843" s="3"/>
      <c r="K5843" s="3"/>
      <c r="L5843" s="3"/>
    </row>
    <row r="5844" spans="9:12" x14ac:dyDescent="0.25">
      <c r="I5844" s="3"/>
      <c r="J5844" s="3"/>
      <c r="K5844" s="3"/>
      <c r="L5844" s="3"/>
    </row>
    <row r="5845" spans="9:12" x14ac:dyDescent="0.25">
      <c r="I5845" s="3"/>
      <c r="J5845" s="3"/>
      <c r="K5845" s="3"/>
      <c r="L5845" s="3"/>
    </row>
    <row r="5846" spans="9:12" x14ac:dyDescent="0.25">
      <c r="I5846" s="3"/>
      <c r="J5846" s="3"/>
      <c r="K5846" s="3"/>
      <c r="L5846" s="3"/>
    </row>
    <row r="5847" spans="9:12" x14ac:dyDescent="0.25">
      <c r="I5847" s="3"/>
      <c r="J5847" s="3"/>
      <c r="K5847" s="3"/>
      <c r="L5847" s="3"/>
    </row>
    <row r="5848" spans="9:12" x14ac:dyDescent="0.25">
      <c r="I5848" s="3"/>
      <c r="J5848" s="3"/>
      <c r="K5848" s="3"/>
      <c r="L5848" s="3"/>
    </row>
    <row r="5849" spans="9:12" x14ac:dyDescent="0.25">
      <c r="I5849" s="3"/>
      <c r="J5849" s="3"/>
      <c r="K5849" s="3"/>
      <c r="L5849" s="3"/>
    </row>
    <row r="5850" spans="9:12" x14ac:dyDescent="0.25">
      <c r="I5850" s="3"/>
      <c r="J5850" s="3"/>
      <c r="K5850" s="3"/>
      <c r="L5850" s="3"/>
    </row>
    <row r="5851" spans="9:12" x14ac:dyDescent="0.25">
      <c r="I5851" s="3"/>
      <c r="J5851" s="3"/>
      <c r="K5851" s="3"/>
      <c r="L5851" s="3"/>
    </row>
    <row r="5852" spans="9:12" x14ac:dyDescent="0.25">
      <c r="I5852" s="3"/>
      <c r="J5852" s="3"/>
      <c r="K5852" s="3"/>
      <c r="L5852" s="3"/>
    </row>
    <row r="5853" spans="9:12" x14ac:dyDescent="0.25">
      <c r="I5853" s="3"/>
      <c r="J5853" s="3"/>
      <c r="K5853" s="3"/>
      <c r="L5853" s="3"/>
    </row>
    <row r="5854" spans="9:12" x14ac:dyDescent="0.25">
      <c r="I5854" s="3"/>
      <c r="J5854" s="3"/>
      <c r="K5854" s="3"/>
      <c r="L5854" s="3"/>
    </row>
    <row r="5855" spans="9:12" x14ac:dyDescent="0.25">
      <c r="I5855" s="3"/>
      <c r="J5855" s="3"/>
      <c r="K5855" s="3"/>
      <c r="L5855" s="3"/>
    </row>
    <row r="5856" spans="9:12" x14ac:dyDescent="0.25">
      <c r="I5856" s="3"/>
      <c r="J5856" s="3"/>
      <c r="K5856" s="3"/>
      <c r="L5856" s="3"/>
    </row>
    <row r="5857" spans="9:12" x14ac:dyDescent="0.25">
      <c r="I5857" s="3"/>
      <c r="J5857" s="3"/>
      <c r="K5857" s="3"/>
      <c r="L5857" s="3"/>
    </row>
    <row r="5858" spans="9:12" x14ac:dyDescent="0.25">
      <c r="I5858" s="3"/>
      <c r="J5858" s="3"/>
      <c r="K5858" s="3"/>
      <c r="L5858" s="3"/>
    </row>
    <row r="5859" spans="9:12" x14ac:dyDescent="0.25">
      <c r="I5859" s="3"/>
      <c r="J5859" s="3"/>
      <c r="K5859" s="3"/>
      <c r="L5859" s="3"/>
    </row>
    <row r="5860" spans="9:12" x14ac:dyDescent="0.25">
      <c r="I5860" s="3"/>
      <c r="J5860" s="3"/>
      <c r="K5860" s="3"/>
      <c r="L5860" s="3"/>
    </row>
    <row r="5861" spans="9:12" x14ac:dyDescent="0.25">
      <c r="I5861" s="3"/>
      <c r="J5861" s="3"/>
      <c r="K5861" s="3"/>
      <c r="L5861" s="3"/>
    </row>
    <row r="5862" spans="9:12" x14ac:dyDescent="0.25">
      <c r="I5862" s="3"/>
      <c r="J5862" s="3"/>
      <c r="K5862" s="3"/>
      <c r="L5862" s="3"/>
    </row>
    <row r="5863" spans="9:12" x14ac:dyDescent="0.25">
      <c r="I5863" s="5"/>
      <c r="J5863" s="5"/>
      <c r="K5863" s="5"/>
      <c r="L5863" s="5"/>
    </row>
    <row r="5864" spans="9:12" x14ac:dyDescent="0.25">
      <c r="I5864" s="3"/>
      <c r="J5864" s="3"/>
      <c r="K5864" s="3"/>
      <c r="L5864" s="3"/>
    </row>
    <row r="5865" spans="9:12" x14ac:dyDescent="0.25">
      <c r="I5865" s="3"/>
      <c r="J5865" s="3"/>
      <c r="K5865" s="3"/>
      <c r="L5865" s="3"/>
    </row>
    <row r="5866" spans="9:12" x14ac:dyDescent="0.25">
      <c r="I5866" s="3"/>
      <c r="J5866" s="3"/>
      <c r="K5866" s="3"/>
      <c r="L5866" s="3"/>
    </row>
    <row r="5867" spans="9:12" x14ac:dyDescent="0.25">
      <c r="I5867" s="3"/>
      <c r="J5867" s="3"/>
      <c r="K5867" s="3"/>
      <c r="L5867" s="3"/>
    </row>
    <row r="5868" spans="9:12" x14ac:dyDescent="0.25">
      <c r="I5868" s="3"/>
      <c r="J5868" s="3"/>
      <c r="K5868" s="3"/>
      <c r="L5868" s="3"/>
    </row>
    <row r="5869" spans="9:12" x14ac:dyDescent="0.25">
      <c r="I5869" s="3"/>
      <c r="J5869" s="3"/>
      <c r="K5869" s="3"/>
      <c r="L5869" s="3"/>
    </row>
    <row r="5870" spans="9:12" x14ac:dyDescent="0.25">
      <c r="I5870" s="3"/>
      <c r="J5870" s="3"/>
      <c r="K5870" s="3"/>
      <c r="L5870" s="3"/>
    </row>
    <row r="5871" spans="9:12" x14ac:dyDescent="0.25">
      <c r="I5871" s="3"/>
      <c r="J5871" s="3"/>
      <c r="K5871" s="3"/>
      <c r="L5871" s="3"/>
    </row>
    <row r="5872" spans="9:12" x14ac:dyDescent="0.25">
      <c r="I5872" s="3"/>
      <c r="J5872" s="3"/>
      <c r="K5872" s="3"/>
      <c r="L5872" s="3"/>
    </row>
    <row r="5873" spans="9:12" x14ac:dyDescent="0.25">
      <c r="I5873" s="3"/>
      <c r="J5873" s="3"/>
      <c r="K5873" s="3"/>
      <c r="L5873" s="3"/>
    </row>
    <row r="5874" spans="9:12" x14ac:dyDescent="0.25">
      <c r="I5874" s="3"/>
      <c r="J5874" s="3"/>
      <c r="K5874" s="3"/>
      <c r="L5874" s="3"/>
    </row>
    <row r="5875" spans="9:12" x14ac:dyDescent="0.25">
      <c r="I5875" s="3"/>
      <c r="J5875" s="3"/>
      <c r="K5875" s="3"/>
      <c r="L5875" s="3"/>
    </row>
    <row r="5876" spans="9:12" x14ac:dyDescent="0.25">
      <c r="I5876" s="3"/>
      <c r="J5876" s="3"/>
      <c r="K5876" s="3"/>
      <c r="L5876" s="3"/>
    </row>
    <row r="5877" spans="9:12" x14ac:dyDescent="0.25">
      <c r="I5877" s="3"/>
      <c r="J5877" s="3"/>
      <c r="K5877" s="3"/>
      <c r="L5877" s="3"/>
    </row>
    <row r="5878" spans="9:12" x14ac:dyDescent="0.25">
      <c r="I5878" s="3"/>
      <c r="J5878" s="3"/>
      <c r="K5878" s="3"/>
      <c r="L5878" s="3"/>
    </row>
    <row r="5879" spans="9:12" x14ac:dyDescent="0.25">
      <c r="I5879" s="3"/>
      <c r="J5879" s="3"/>
      <c r="K5879" s="3"/>
      <c r="L5879" s="3"/>
    </row>
    <row r="5880" spans="9:12" x14ac:dyDescent="0.25">
      <c r="I5880" s="3"/>
      <c r="J5880" s="3"/>
      <c r="K5880" s="3"/>
      <c r="L5880" s="3"/>
    </row>
    <row r="5881" spans="9:12" x14ac:dyDescent="0.25">
      <c r="I5881" s="3"/>
      <c r="J5881" s="3"/>
      <c r="K5881" s="3"/>
      <c r="L5881" s="3"/>
    </row>
    <row r="5882" spans="9:12" x14ac:dyDescent="0.25">
      <c r="I5882" s="3"/>
      <c r="J5882" s="3"/>
      <c r="K5882" s="3"/>
      <c r="L5882" s="3"/>
    </row>
    <row r="5883" spans="9:12" x14ac:dyDescent="0.25">
      <c r="I5883" s="3"/>
      <c r="J5883" s="3"/>
      <c r="K5883" s="3"/>
      <c r="L5883" s="3"/>
    </row>
    <row r="5884" spans="9:12" x14ac:dyDescent="0.25">
      <c r="I5884" s="3"/>
      <c r="J5884" s="3"/>
      <c r="K5884" s="3"/>
      <c r="L5884" s="3"/>
    </row>
    <row r="5885" spans="9:12" x14ac:dyDescent="0.25">
      <c r="I5885" s="3"/>
      <c r="J5885" s="3"/>
      <c r="K5885" s="3"/>
      <c r="L5885" s="3"/>
    </row>
    <row r="5886" spans="9:12" x14ac:dyDescent="0.25">
      <c r="I5886" s="3"/>
      <c r="J5886" s="3"/>
      <c r="K5886" s="3"/>
      <c r="L5886" s="3"/>
    </row>
    <row r="5887" spans="9:12" x14ac:dyDescent="0.25">
      <c r="I5887" s="3"/>
      <c r="J5887" s="3"/>
      <c r="K5887" s="3"/>
      <c r="L5887" s="3"/>
    </row>
    <row r="5888" spans="9:12" x14ac:dyDescent="0.25">
      <c r="I5888" s="3"/>
      <c r="J5888" s="3"/>
      <c r="K5888" s="3"/>
      <c r="L5888" s="3"/>
    </row>
    <row r="5889" spans="9:12" x14ac:dyDescent="0.25">
      <c r="I5889" s="3"/>
      <c r="J5889" s="3"/>
      <c r="K5889" s="3"/>
      <c r="L5889" s="3"/>
    </row>
    <row r="5890" spans="9:12" x14ac:dyDescent="0.25">
      <c r="I5890" s="3"/>
      <c r="J5890" s="3"/>
      <c r="K5890" s="3"/>
      <c r="L5890" s="3"/>
    </row>
    <row r="5891" spans="9:12" x14ac:dyDescent="0.25">
      <c r="I5891" s="3"/>
      <c r="J5891" s="3"/>
      <c r="K5891" s="3"/>
      <c r="L5891" s="3"/>
    </row>
    <row r="5892" spans="9:12" x14ac:dyDescent="0.25">
      <c r="I5892" s="3"/>
      <c r="J5892" s="3"/>
      <c r="K5892" s="3"/>
      <c r="L5892" s="3"/>
    </row>
    <row r="5893" spans="9:12" x14ac:dyDescent="0.25">
      <c r="I5893" s="3"/>
      <c r="J5893" s="3"/>
      <c r="K5893" s="3"/>
      <c r="L5893" s="3"/>
    </row>
    <row r="5894" spans="9:12" x14ac:dyDescent="0.25">
      <c r="I5894" s="3"/>
      <c r="J5894" s="3"/>
      <c r="K5894" s="3"/>
      <c r="L5894" s="3"/>
    </row>
    <row r="5895" spans="9:12" x14ac:dyDescent="0.25">
      <c r="I5895" s="3"/>
      <c r="J5895" s="3"/>
      <c r="K5895" s="3"/>
      <c r="L5895" s="3"/>
    </row>
    <row r="5896" spans="9:12" x14ac:dyDescent="0.25">
      <c r="I5896" s="3"/>
      <c r="J5896" s="3"/>
      <c r="K5896" s="3"/>
      <c r="L5896" s="3"/>
    </row>
    <row r="5897" spans="9:12" x14ac:dyDescent="0.25">
      <c r="I5897" s="3"/>
      <c r="J5897" s="3"/>
      <c r="K5897" s="3"/>
      <c r="L5897" s="3"/>
    </row>
    <row r="5898" spans="9:12" x14ac:dyDescent="0.25">
      <c r="I5898" s="3"/>
      <c r="J5898" s="3"/>
      <c r="K5898" s="3"/>
      <c r="L5898" s="3"/>
    </row>
    <row r="5899" spans="9:12" x14ac:dyDescent="0.25">
      <c r="I5899" s="3"/>
      <c r="J5899" s="3"/>
      <c r="K5899" s="3"/>
      <c r="L5899" s="3"/>
    </row>
    <row r="5900" spans="9:12" x14ac:dyDescent="0.25">
      <c r="I5900" s="3"/>
      <c r="J5900" s="3"/>
      <c r="K5900" s="3"/>
      <c r="L5900" s="3"/>
    </row>
    <row r="5901" spans="9:12" x14ac:dyDescent="0.25">
      <c r="I5901" s="3"/>
      <c r="J5901" s="3"/>
      <c r="K5901" s="3"/>
      <c r="L5901" s="3"/>
    </row>
    <row r="5902" spans="9:12" x14ac:dyDescent="0.25">
      <c r="I5902" s="3"/>
      <c r="J5902" s="3"/>
      <c r="K5902" s="3"/>
      <c r="L5902" s="3"/>
    </row>
    <row r="5903" spans="9:12" x14ac:dyDescent="0.25">
      <c r="I5903" s="3"/>
      <c r="J5903" s="3"/>
      <c r="K5903" s="3"/>
      <c r="L5903" s="3"/>
    </row>
    <row r="5904" spans="9:12" x14ac:dyDescent="0.25">
      <c r="I5904" s="3"/>
      <c r="J5904" s="3"/>
      <c r="K5904" s="3"/>
      <c r="L5904" s="3"/>
    </row>
    <row r="5905" spans="9:12" x14ac:dyDescent="0.25">
      <c r="I5905" s="3"/>
      <c r="J5905" s="3"/>
      <c r="K5905" s="3"/>
      <c r="L5905" s="3"/>
    </row>
    <row r="5906" spans="9:12" x14ac:dyDescent="0.25">
      <c r="I5906" s="3"/>
      <c r="J5906" s="3"/>
      <c r="K5906" s="3"/>
      <c r="L5906" s="3"/>
    </row>
    <row r="5907" spans="9:12" x14ac:dyDescent="0.25">
      <c r="I5907" s="3"/>
      <c r="J5907" s="3"/>
      <c r="K5907" s="3"/>
      <c r="L5907" s="3"/>
    </row>
    <row r="5908" spans="9:12" x14ac:dyDescent="0.25">
      <c r="I5908" s="3"/>
      <c r="J5908" s="3"/>
      <c r="K5908" s="3"/>
      <c r="L5908" s="3"/>
    </row>
    <row r="5909" spans="9:12" x14ac:dyDescent="0.25">
      <c r="I5909" s="3"/>
      <c r="J5909" s="3"/>
      <c r="K5909" s="3"/>
      <c r="L5909" s="3"/>
    </row>
    <row r="5910" spans="9:12" x14ac:dyDescent="0.25">
      <c r="I5910" s="3"/>
      <c r="J5910" s="3"/>
      <c r="K5910" s="3"/>
      <c r="L5910" s="3"/>
    </row>
    <row r="5911" spans="9:12" x14ac:dyDescent="0.25">
      <c r="I5911" s="3"/>
      <c r="J5911" s="3"/>
      <c r="K5911" s="3"/>
      <c r="L5911" s="3"/>
    </row>
    <row r="5912" spans="9:12" x14ac:dyDescent="0.25">
      <c r="I5912" s="3"/>
      <c r="J5912" s="3"/>
      <c r="K5912" s="3"/>
      <c r="L5912" s="3"/>
    </row>
    <row r="5913" spans="9:12" x14ac:dyDescent="0.25">
      <c r="I5913" s="3"/>
      <c r="J5913" s="3"/>
      <c r="K5913" s="3"/>
      <c r="L5913" s="3"/>
    </row>
    <row r="5914" spans="9:12" x14ac:dyDescent="0.25">
      <c r="I5914" s="3"/>
      <c r="J5914" s="3"/>
      <c r="K5914" s="3"/>
      <c r="L5914" s="3"/>
    </row>
    <row r="5915" spans="9:12" x14ac:dyDescent="0.25">
      <c r="I5915" s="3"/>
      <c r="J5915" s="3"/>
      <c r="K5915" s="3"/>
      <c r="L5915" s="3"/>
    </row>
    <row r="5916" spans="9:12" x14ac:dyDescent="0.25">
      <c r="I5916" s="3"/>
      <c r="J5916" s="3"/>
      <c r="K5916" s="3"/>
      <c r="L5916" s="3"/>
    </row>
    <row r="5917" spans="9:12" x14ac:dyDescent="0.25">
      <c r="I5917" s="3"/>
      <c r="J5917" s="3"/>
      <c r="K5917" s="3"/>
      <c r="L5917" s="3"/>
    </row>
    <row r="5918" spans="9:12" x14ac:dyDescent="0.25">
      <c r="I5918" s="3"/>
      <c r="J5918" s="3"/>
      <c r="K5918" s="3"/>
      <c r="L5918" s="3"/>
    </row>
    <row r="5919" spans="9:12" x14ac:dyDescent="0.25">
      <c r="I5919" s="3"/>
      <c r="J5919" s="3"/>
      <c r="K5919" s="3"/>
      <c r="L5919" s="3"/>
    </row>
    <row r="5920" spans="9:12" x14ac:dyDescent="0.25">
      <c r="I5920" s="3"/>
      <c r="J5920" s="3"/>
      <c r="K5920" s="3"/>
      <c r="L5920" s="3"/>
    </row>
    <row r="5921" spans="9:12" x14ac:dyDescent="0.25">
      <c r="I5921" s="3"/>
      <c r="J5921" s="3"/>
      <c r="K5921" s="3"/>
      <c r="L5921" s="3"/>
    </row>
    <row r="5922" spans="9:12" x14ac:dyDescent="0.25">
      <c r="I5922" s="3"/>
      <c r="J5922" s="3"/>
      <c r="K5922" s="3"/>
      <c r="L5922" s="3"/>
    </row>
    <row r="5923" spans="9:12" x14ac:dyDescent="0.25">
      <c r="I5923" s="3"/>
      <c r="J5923" s="3"/>
      <c r="K5923" s="3"/>
      <c r="L5923" s="3"/>
    </row>
    <row r="5924" spans="9:12" x14ac:dyDescent="0.25">
      <c r="I5924" s="3"/>
      <c r="J5924" s="3"/>
      <c r="K5924" s="3"/>
      <c r="L5924" s="3"/>
    </row>
    <row r="5925" spans="9:12" x14ac:dyDescent="0.25">
      <c r="I5925" s="3"/>
      <c r="J5925" s="3"/>
      <c r="K5925" s="3"/>
      <c r="L5925" s="3"/>
    </row>
    <row r="5926" spans="9:12" x14ac:dyDescent="0.25">
      <c r="I5926" s="3"/>
      <c r="J5926" s="3"/>
      <c r="K5926" s="3"/>
      <c r="L5926" s="3"/>
    </row>
    <row r="5927" spans="9:12" x14ac:dyDescent="0.25">
      <c r="I5927" s="3"/>
      <c r="J5927" s="3"/>
      <c r="K5927" s="3"/>
      <c r="L5927" s="3"/>
    </row>
    <row r="5928" spans="9:12" x14ac:dyDescent="0.25">
      <c r="I5928" s="3"/>
      <c r="J5928" s="3"/>
      <c r="K5928" s="3"/>
      <c r="L5928" s="3"/>
    </row>
    <row r="5929" spans="9:12" x14ac:dyDescent="0.25">
      <c r="I5929" s="3"/>
      <c r="J5929" s="3"/>
      <c r="K5929" s="3"/>
      <c r="L5929" s="3"/>
    </row>
    <row r="5930" spans="9:12" x14ac:dyDescent="0.25">
      <c r="I5930" s="3"/>
      <c r="J5930" s="3"/>
      <c r="K5930" s="3"/>
      <c r="L5930" s="3"/>
    </row>
    <row r="5931" spans="9:12" x14ac:dyDescent="0.25">
      <c r="I5931" s="3"/>
      <c r="J5931" s="3"/>
      <c r="K5931" s="3"/>
      <c r="L5931" s="3"/>
    </row>
    <row r="5932" spans="9:12" x14ac:dyDescent="0.25">
      <c r="I5932" s="3"/>
      <c r="J5932" s="3"/>
      <c r="K5932" s="3"/>
      <c r="L5932" s="3"/>
    </row>
    <row r="5933" spans="9:12" x14ac:dyDescent="0.25">
      <c r="I5933" s="3"/>
      <c r="J5933" s="3"/>
      <c r="K5933" s="3"/>
      <c r="L5933" s="3"/>
    </row>
    <row r="5934" spans="9:12" x14ac:dyDescent="0.25">
      <c r="I5934" s="3"/>
      <c r="J5934" s="3"/>
      <c r="K5934" s="3"/>
      <c r="L5934" s="3"/>
    </row>
    <row r="5935" spans="9:12" x14ac:dyDescent="0.25">
      <c r="I5935" s="3"/>
      <c r="J5935" s="3"/>
      <c r="K5935" s="3"/>
      <c r="L5935" s="3"/>
    </row>
    <row r="5936" spans="9:12" x14ac:dyDescent="0.25">
      <c r="I5936" s="3"/>
      <c r="J5936" s="3"/>
      <c r="K5936" s="3"/>
      <c r="L5936" s="3"/>
    </row>
    <row r="5937" spans="9:12" x14ac:dyDescent="0.25">
      <c r="I5937" s="4"/>
      <c r="J5937" s="4"/>
      <c r="K5937" s="4"/>
      <c r="L5937" s="4"/>
    </row>
    <row r="5938" spans="9:12" x14ac:dyDescent="0.25">
      <c r="I5938" s="4"/>
      <c r="J5938" s="4"/>
      <c r="K5938" s="4"/>
      <c r="L5938" s="4"/>
    </row>
    <row r="5939" spans="9:12" x14ac:dyDescent="0.25">
      <c r="I5939" s="3"/>
      <c r="J5939" s="3"/>
      <c r="K5939" s="3"/>
      <c r="L5939" s="3"/>
    </row>
    <row r="5940" spans="9:12" x14ac:dyDescent="0.25">
      <c r="I5940" s="3"/>
      <c r="J5940" s="3"/>
      <c r="K5940" s="3"/>
      <c r="L5940" s="3"/>
    </row>
    <row r="5941" spans="9:12" x14ac:dyDescent="0.25">
      <c r="I5941" s="3"/>
      <c r="J5941" s="3"/>
      <c r="K5941" s="3"/>
      <c r="L5941" s="3"/>
    </row>
    <row r="5942" spans="9:12" x14ac:dyDescent="0.25">
      <c r="I5942" s="3"/>
      <c r="J5942" s="3"/>
      <c r="K5942" s="3"/>
      <c r="L5942" s="3"/>
    </row>
    <row r="5943" spans="9:12" x14ac:dyDescent="0.25">
      <c r="I5943" s="3"/>
      <c r="J5943" s="3"/>
      <c r="K5943" s="3"/>
      <c r="L5943" s="3"/>
    </row>
    <row r="5944" spans="9:12" x14ac:dyDescent="0.25">
      <c r="I5944" s="3"/>
      <c r="J5944" s="3"/>
      <c r="K5944" s="3"/>
      <c r="L5944" s="3"/>
    </row>
    <row r="5945" spans="9:12" x14ac:dyDescent="0.25">
      <c r="I5945" s="3"/>
      <c r="J5945" s="3"/>
      <c r="K5945" s="3"/>
      <c r="L5945" s="3"/>
    </row>
    <row r="5946" spans="9:12" x14ac:dyDescent="0.25">
      <c r="I5946" s="3"/>
      <c r="J5946" s="3"/>
      <c r="K5946" s="3"/>
      <c r="L5946" s="3"/>
    </row>
    <row r="5947" spans="9:12" x14ac:dyDescent="0.25">
      <c r="I5947" s="3"/>
      <c r="J5947" s="3"/>
      <c r="K5947" s="3"/>
      <c r="L5947" s="3"/>
    </row>
    <row r="5948" spans="9:12" x14ac:dyDescent="0.25">
      <c r="I5948" s="3"/>
      <c r="J5948" s="3"/>
      <c r="K5948" s="3"/>
      <c r="L5948" s="3"/>
    </row>
    <row r="5949" spans="9:12" x14ac:dyDescent="0.25">
      <c r="I5949" s="3"/>
      <c r="J5949" s="3"/>
      <c r="K5949" s="3"/>
      <c r="L5949" s="3"/>
    </row>
    <row r="5950" spans="9:12" x14ac:dyDescent="0.25">
      <c r="I5950" s="3"/>
      <c r="J5950" s="3"/>
      <c r="K5950" s="3"/>
      <c r="L5950" s="3"/>
    </row>
    <row r="5951" spans="9:12" x14ac:dyDescent="0.25">
      <c r="I5951" s="3"/>
      <c r="J5951" s="3"/>
      <c r="K5951" s="3"/>
      <c r="L5951" s="3"/>
    </row>
    <row r="5952" spans="9:12" x14ac:dyDescent="0.25">
      <c r="I5952" s="3"/>
      <c r="J5952" s="3"/>
      <c r="K5952" s="3"/>
      <c r="L5952" s="3"/>
    </row>
    <row r="5953" spans="9:12" x14ac:dyDescent="0.25">
      <c r="I5953" s="3"/>
      <c r="J5953" s="3"/>
      <c r="K5953" s="3"/>
      <c r="L5953" s="3"/>
    </row>
    <row r="5954" spans="9:12" x14ac:dyDescent="0.25">
      <c r="I5954" s="3"/>
      <c r="J5954" s="3"/>
      <c r="K5954" s="3"/>
      <c r="L5954" s="3"/>
    </row>
    <row r="5955" spans="9:12" x14ac:dyDescent="0.25">
      <c r="I5955" s="3"/>
      <c r="J5955" s="3"/>
      <c r="K5955" s="3"/>
      <c r="L5955" s="3"/>
    </row>
    <row r="5956" spans="9:12" x14ac:dyDescent="0.25">
      <c r="I5956" s="3"/>
      <c r="J5956" s="3"/>
      <c r="K5956" s="3"/>
      <c r="L5956" s="3"/>
    </row>
    <row r="5957" spans="9:12" x14ac:dyDescent="0.25">
      <c r="I5957" s="3"/>
      <c r="J5957" s="3"/>
      <c r="K5957" s="3"/>
      <c r="L5957" s="3"/>
    </row>
    <row r="5958" spans="9:12" x14ac:dyDescent="0.25">
      <c r="I5958" s="3"/>
      <c r="J5958" s="3"/>
      <c r="K5958" s="3"/>
      <c r="L5958" s="3"/>
    </row>
    <row r="5959" spans="9:12" x14ac:dyDescent="0.25">
      <c r="I5959" s="3"/>
      <c r="J5959" s="3"/>
      <c r="K5959" s="3"/>
      <c r="L5959" s="3"/>
    </row>
    <row r="5960" spans="9:12" x14ac:dyDescent="0.25">
      <c r="I5960" s="3"/>
      <c r="J5960" s="3"/>
      <c r="K5960" s="3"/>
      <c r="L5960" s="3"/>
    </row>
    <row r="5961" spans="9:12" x14ac:dyDescent="0.25">
      <c r="I5961" s="3"/>
      <c r="J5961" s="3"/>
      <c r="K5961" s="3"/>
      <c r="L5961" s="3"/>
    </row>
    <row r="5962" spans="9:12" x14ac:dyDescent="0.25">
      <c r="I5962" s="3"/>
      <c r="J5962" s="3"/>
      <c r="K5962" s="3"/>
      <c r="L5962" s="3"/>
    </row>
    <row r="5963" spans="9:12" x14ac:dyDescent="0.25">
      <c r="I5963" s="3"/>
      <c r="J5963" s="3"/>
      <c r="K5963" s="3"/>
      <c r="L5963" s="3"/>
    </row>
    <row r="5964" spans="9:12" x14ac:dyDescent="0.25">
      <c r="I5964" s="3"/>
      <c r="J5964" s="3"/>
      <c r="K5964" s="3"/>
      <c r="L5964" s="3"/>
    </row>
    <row r="5965" spans="9:12" x14ac:dyDescent="0.25">
      <c r="I5965" s="3"/>
      <c r="J5965" s="3"/>
      <c r="K5965" s="3"/>
      <c r="L5965" s="3"/>
    </row>
    <row r="5966" spans="9:12" x14ac:dyDescent="0.25">
      <c r="I5966" s="3"/>
      <c r="J5966" s="3"/>
      <c r="K5966" s="3"/>
      <c r="L5966" s="3"/>
    </row>
    <row r="5967" spans="9:12" x14ac:dyDescent="0.25">
      <c r="I5967" s="3"/>
      <c r="J5967" s="3"/>
      <c r="K5967" s="3"/>
      <c r="L5967" s="3"/>
    </row>
    <row r="5968" spans="9:12" x14ac:dyDescent="0.25">
      <c r="I5968" s="3"/>
      <c r="J5968" s="3"/>
      <c r="K5968" s="3"/>
      <c r="L5968" s="3"/>
    </row>
    <row r="5969" spans="9:12" x14ac:dyDescent="0.25">
      <c r="I5969" s="3"/>
      <c r="J5969" s="3"/>
      <c r="K5969" s="3"/>
      <c r="L5969" s="3"/>
    </row>
    <row r="5970" spans="9:12" x14ac:dyDescent="0.25">
      <c r="I5970" s="3"/>
      <c r="J5970" s="3"/>
      <c r="K5970" s="3"/>
      <c r="L5970" s="3"/>
    </row>
    <row r="5971" spans="9:12" x14ac:dyDescent="0.25">
      <c r="I5971" s="3"/>
      <c r="J5971" s="3"/>
      <c r="K5971" s="3"/>
      <c r="L5971" s="3"/>
    </row>
    <row r="5972" spans="9:12" x14ac:dyDescent="0.25">
      <c r="I5972" s="3"/>
      <c r="J5972" s="3"/>
      <c r="K5972" s="3"/>
      <c r="L5972" s="3"/>
    </row>
    <row r="5973" spans="9:12" x14ac:dyDescent="0.25">
      <c r="I5973" s="3"/>
      <c r="J5973" s="3"/>
      <c r="K5973" s="3"/>
      <c r="L5973" s="3"/>
    </row>
    <row r="5974" spans="9:12" x14ac:dyDescent="0.25">
      <c r="I5974" s="3"/>
      <c r="J5974" s="3"/>
      <c r="K5974" s="3"/>
      <c r="L5974" s="3"/>
    </row>
    <row r="5975" spans="9:12" x14ac:dyDescent="0.25">
      <c r="I5975" s="3"/>
      <c r="J5975" s="3"/>
      <c r="K5975" s="3"/>
      <c r="L5975" s="3"/>
    </row>
    <row r="5976" spans="9:12" x14ac:dyDescent="0.25">
      <c r="I5976" s="3"/>
      <c r="J5976" s="3"/>
      <c r="K5976" s="3"/>
      <c r="L5976" s="3"/>
    </row>
    <row r="5977" spans="9:12" x14ac:dyDescent="0.25">
      <c r="I5977" s="3"/>
      <c r="J5977" s="3"/>
      <c r="K5977" s="3"/>
      <c r="L5977" s="3"/>
    </row>
    <row r="5978" spans="9:12" x14ac:dyDescent="0.25">
      <c r="I5978" s="3"/>
      <c r="J5978" s="3"/>
      <c r="K5978" s="3"/>
      <c r="L5978" s="3"/>
    </row>
    <row r="5979" spans="9:12" x14ac:dyDescent="0.25">
      <c r="I5979" s="3"/>
      <c r="J5979" s="3"/>
      <c r="K5979" s="3"/>
      <c r="L5979" s="3"/>
    </row>
    <row r="5980" spans="9:12" x14ac:dyDescent="0.25">
      <c r="I5980" s="3"/>
      <c r="J5980" s="3"/>
      <c r="K5980" s="3"/>
      <c r="L5980" s="3"/>
    </row>
    <row r="5981" spans="9:12" x14ac:dyDescent="0.25">
      <c r="I5981" s="3"/>
      <c r="J5981" s="3"/>
      <c r="K5981" s="3"/>
      <c r="L5981" s="3"/>
    </row>
    <row r="5982" spans="9:12" x14ac:dyDescent="0.25">
      <c r="I5982" s="3"/>
      <c r="J5982" s="3"/>
      <c r="K5982" s="3"/>
      <c r="L5982" s="3"/>
    </row>
    <row r="5983" spans="9:12" x14ac:dyDescent="0.25">
      <c r="I5983" s="3"/>
      <c r="J5983" s="3"/>
      <c r="K5983" s="3"/>
      <c r="L5983" s="3"/>
    </row>
    <row r="5984" spans="9:12" x14ac:dyDescent="0.25">
      <c r="I5984" s="3"/>
      <c r="J5984" s="3"/>
      <c r="K5984" s="3"/>
      <c r="L5984" s="3"/>
    </row>
    <row r="5985" spans="9:12" x14ac:dyDescent="0.25">
      <c r="I5985" s="3"/>
      <c r="J5985" s="3"/>
      <c r="K5985" s="3"/>
      <c r="L5985" s="3"/>
    </row>
    <row r="5986" spans="9:12" x14ac:dyDescent="0.25">
      <c r="I5986" s="3"/>
      <c r="J5986" s="3"/>
      <c r="K5986" s="3"/>
      <c r="L5986" s="3"/>
    </row>
    <row r="5987" spans="9:12" x14ac:dyDescent="0.25">
      <c r="I5987" s="3"/>
      <c r="J5987" s="3"/>
      <c r="K5987" s="3"/>
      <c r="L5987" s="3"/>
    </row>
    <row r="5988" spans="9:12" x14ac:dyDescent="0.25">
      <c r="I5988" s="3"/>
      <c r="J5988" s="3"/>
      <c r="K5988" s="3"/>
      <c r="L5988" s="3"/>
    </row>
    <row r="5989" spans="9:12" x14ac:dyDescent="0.25">
      <c r="I5989" s="3"/>
      <c r="J5989" s="3"/>
      <c r="K5989" s="3"/>
      <c r="L5989" s="3"/>
    </row>
    <row r="5990" spans="9:12" x14ac:dyDescent="0.25">
      <c r="I5990" s="3"/>
      <c r="J5990" s="3"/>
      <c r="K5990" s="3"/>
      <c r="L5990" s="3"/>
    </row>
    <row r="5991" spans="9:12" x14ac:dyDescent="0.25">
      <c r="I5991" s="4"/>
      <c r="J5991" s="4"/>
      <c r="K5991" s="4"/>
      <c r="L5991" s="4"/>
    </row>
    <row r="5992" spans="9:12" x14ac:dyDescent="0.25">
      <c r="I5992" s="3"/>
      <c r="J5992" s="3"/>
      <c r="K5992" s="3"/>
      <c r="L5992" s="3"/>
    </row>
    <row r="5993" spans="9:12" x14ac:dyDescent="0.25">
      <c r="I5993" s="3"/>
      <c r="J5993" s="3"/>
      <c r="K5993" s="3"/>
      <c r="L5993" s="3"/>
    </row>
    <row r="5994" spans="9:12" x14ac:dyDescent="0.25">
      <c r="I5994" s="3"/>
      <c r="J5994" s="3"/>
      <c r="K5994" s="3"/>
      <c r="L5994" s="3"/>
    </row>
    <row r="5995" spans="9:12" x14ac:dyDescent="0.25">
      <c r="I5995" s="3"/>
      <c r="J5995" s="3"/>
      <c r="K5995" s="3"/>
      <c r="L5995" s="3"/>
    </row>
    <row r="5996" spans="9:12" x14ac:dyDescent="0.25">
      <c r="I5996" s="3"/>
      <c r="J5996" s="3"/>
      <c r="K5996" s="3"/>
      <c r="L5996" s="3"/>
    </row>
    <row r="5997" spans="9:12" x14ac:dyDescent="0.25">
      <c r="I5997" s="3"/>
      <c r="J5997" s="3"/>
      <c r="K5997" s="3"/>
      <c r="L5997" s="3"/>
    </row>
    <row r="5998" spans="9:12" x14ac:dyDescent="0.25">
      <c r="I5998" s="3"/>
      <c r="J5998" s="3"/>
      <c r="K5998" s="3"/>
      <c r="L5998" s="3"/>
    </row>
    <row r="5999" spans="9:12" x14ac:dyDescent="0.25">
      <c r="I5999" s="3"/>
      <c r="J5999" s="3"/>
      <c r="K5999" s="3"/>
      <c r="L5999" s="3"/>
    </row>
    <row r="6000" spans="9:12" x14ac:dyDescent="0.25">
      <c r="I6000" s="3"/>
      <c r="J6000" s="3"/>
      <c r="K6000" s="3"/>
      <c r="L6000" s="3"/>
    </row>
    <row r="6001" spans="9:12" x14ac:dyDescent="0.25">
      <c r="I6001" s="3"/>
      <c r="J6001" s="3"/>
      <c r="K6001" s="3"/>
      <c r="L6001" s="3"/>
    </row>
    <row r="6002" spans="9:12" x14ac:dyDescent="0.25">
      <c r="I6002" s="3"/>
      <c r="J6002" s="3"/>
      <c r="K6002" s="3"/>
      <c r="L6002" s="3"/>
    </row>
    <row r="6003" spans="9:12" x14ac:dyDescent="0.25">
      <c r="I6003" s="3"/>
      <c r="J6003" s="3"/>
      <c r="K6003" s="3"/>
      <c r="L6003" s="3"/>
    </row>
    <row r="6004" spans="9:12" x14ac:dyDescent="0.25">
      <c r="I6004" s="3"/>
      <c r="J6004" s="3"/>
      <c r="K6004" s="3"/>
      <c r="L6004" s="3"/>
    </row>
    <row r="6005" spans="9:12" x14ac:dyDescent="0.25">
      <c r="I6005" s="3"/>
      <c r="J6005" s="3"/>
      <c r="K6005" s="3"/>
      <c r="L6005" s="3"/>
    </row>
    <row r="6006" spans="9:12" x14ac:dyDescent="0.25">
      <c r="I6006" s="3"/>
      <c r="J6006" s="3"/>
      <c r="K6006" s="3"/>
      <c r="L6006" s="3"/>
    </row>
    <row r="6007" spans="9:12" x14ac:dyDescent="0.25">
      <c r="I6007" s="3"/>
      <c r="J6007" s="3"/>
      <c r="K6007" s="3"/>
      <c r="L6007" s="3"/>
    </row>
    <row r="6008" spans="9:12" x14ac:dyDescent="0.25">
      <c r="I6008" s="3"/>
      <c r="J6008" s="3"/>
      <c r="K6008" s="3"/>
      <c r="L6008" s="3"/>
    </row>
    <row r="6009" spans="9:12" x14ac:dyDescent="0.25">
      <c r="I6009" s="3"/>
      <c r="J6009" s="3"/>
      <c r="K6009" s="3"/>
      <c r="L6009" s="3"/>
    </row>
    <row r="6010" spans="9:12" x14ac:dyDescent="0.25">
      <c r="I6010" s="3"/>
      <c r="J6010" s="3"/>
      <c r="K6010" s="3"/>
      <c r="L6010" s="3"/>
    </row>
    <row r="6011" spans="9:12" x14ac:dyDescent="0.25">
      <c r="I6011" s="3"/>
      <c r="J6011" s="3"/>
      <c r="K6011" s="3"/>
      <c r="L6011" s="3"/>
    </row>
    <row r="6012" spans="9:12" x14ac:dyDescent="0.25">
      <c r="I6012" s="3"/>
      <c r="J6012" s="3"/>
      <c r="K6012" s="3"/>
      <c r="L6012" s="3"/>
    </row>
    <row r="6013" spans="9:12" x14ac:dyDescent="0.25">
      <c r="I6013" s="3"/>
      <c r="J6013" s="3"/>
      <c r="K6013" s="3"/>
      <c r="L6013" s="3"/>
    </row>
    <row r="6014" spans="9:12" x14ac:dyDescent="0.25">
      <c r="I6014" s="3"/>
      <c r="J6014" s="3"/>
      <c r="K6014" s="3"/>
      <c r="L6014" s="3"/>
    </row>
    <row r="6015" spans="9:12" x14ac:dyDescent="0.25">
      <c r="I6015" s="3"/>
      <c r="J6015" s="3"/>
      <c r="K6015" s="3"/>
      <c r="L6015" s="3"/>
    </row>
    <row r="6016" spans="9:12" x14ac:dyDescent="0.25">
      <c r="I6016" s="3"/>
      <c r="J6016" s="3"/>
      <c r="K6016" s="3"/>
      <c r="L6016" s="3"/>
    </row>
    <row r="6017" spans="9:12" x14ac:dyDescent="0.25">
      <c r="I6017" s="3"/>
      <c r="J6017" s="3"/>
      <c r="K6017" s="3"/>
      <c r="L6017" s="3"/>
    </row>
    <row r="6018" spans="9:12" x14ac:dyDescent="0.25">
      <c r="I6018" s="3"/>
      <c r="J6018" s="3"/>
      <c r="K6018" s="3"/>
      <c r="L6018" s="3"/>
    </row>
    <row r="6019" spans="9:12" x14ac:dyDescent="0.25">
      <c r="I6019" s="3"/>
      <c r="J6019" s="3"/>
      <c r="K6019" s="3"/>
      <c r="L6019" s="3"/>
    </row>
    <row r="6020" spans="9:12" x14ac:dyDescent="0.25">
      <c r="I6020" s="3"/>
      <c r="J6020" s="3"/>
      <c r="K6020" s="3"/>
      <c r="L6020" s="3"/>
    </row>
    <row r="6021" spans="9:12" x14ac:dyDescent="0.25">
      <c r="I6021" s="3"/>
      <c r="J6021" s="3"/>
      <c r="K6021" s="3"/>
      <c r="L6021" s="3"/>
    </row>
    <row r="6022" spans="9:12" x14ac:dyDescent="0.25">
      <c r="I6022" s="3"/>
      <c r="J6022" s="3"/>
      <c r="K6022" s="3"/>
      <c r="L6022" s="3"/>
    </row>
    <row r="6023" spans="9:12" x14ac:dyDescent="0.25">
      <c r="I6023" s="3"/>
      <c r="J6023" s="3"/>
      <c r="K6023" s="3"/>
      <c r="L6023" s="3"/>
    </row>
    <row r="6024" spans="9:12" x14ac:dyDescent="0.25">
      <c r="I6024" s="3"/>
      <c r="J6024" s="3"/>
      <c r="K6024" s="3"/>
      <c r="L6024" s="3"/>
    </row>
    <row r="6025" spans="9:12" x14ac:dyDescent="0.25">
      <c r="I6025" s="3"/>
      <c r="J6025" s="3"/>
      <c r="K6025" s="3"/>
      <c r="L6025" s="3"/>
    </row>
    <row r="6026" spans="9:12" x14ac:dyDescent="0.25">
      <c r="I6026" s="3"/>
      <c r="J6026" s="3"/>
      <c r="K6026" s="3"/>
      <c r="L6026" s="3"/>
    </row>
    <row r="6027" spans="9:12" x14ac:dyDescent="0.25">
      <c r="I6027" s="3"/>
      <c r="J6027" s="3"/>
      <c r="K6027" s="3"/>
      <c r="L6027" s="3"/>
    </row>
    <row r="6028" spans="9:12" x14ac:dyDescent="0.25">
      <c r="I6028" s="3"/>
      <c r="J6028" s="3"/>
      <c r="K6028" s="3"/>
      <c r="L6028" s="3"/>
    </row>
    <row r="6029" spans="9:12" x14ac:dyDescent="0.25">
      <c r="I6029" s="3"/>
      <c r="J6029" s="3"/>
      <c r="K6029" s="3"/>
      <c r="L6029" s="3"/>
    </row>
    <row r="6030" spans="9:12" x14ac:dyDescent="0.25">
      <c r="I6030" s="3"/>
      <c r="J6030" s="3"/>
      <c r="K6030" s="3"/>
      <c r="L6030" s="3"/>
    </row>
    <row r="6031" spans="9:12" x14ac:dyDescent="0.25">
      <c r="I6031" s="3"/>
      <c r="J6031" s="3"/>
      <c r="K6031" s="3"/>
      <c r="L6031" s="3"/>
    </row>
    <row r="6032" spans="9:12" x14ac:dyDescent="0.25">
      <c r="I6032" s="3"/>
      <c r="J6032" s="3"/>
      <c r="K6032" s="3"/>
      <c r="L6032" s="3"/>
    </row>
    <row r="6033" spans="9:12" x14ac:dyDescent="0.25">
      <c r="I6033" s="3"/>
      <c r="J6033" s="3"/>
      <c r="K6033" s="3"/>
      <c r="L6033" s="3"/>
    </row>
    <row r="6034" spans="9:12" x14ac:dyDescent="0.25">
      <c r="I6034" s="3"/>
      <c r="J6034" s="3"/>
      <c r="K6034" s="3"/>
      <c r="L6034" s="3"/>
    </row>
    <row r="6035" spans="9:12" x14ac:dyDescent="0.25">
      <c r="I6035" s="3"/>
      <c r="J6035" s="3"/>
      <c r="K6035" s="3"/>
      <c r="L6035" s="3"/>
    </row>
    <row r="6036" spans="9:12" x14ac:dyDescent="0.25">
      <c r="I6036" s="3"/>
      <c r="J6036" s="3"/>
      <c r="K6036" s="3"/>
      <c r="L6036" s="3"/>
    </row>
    <row r="6037" spans="9:12" x14ac:dyDescent="0.25">
      <c r="I6037" s="3"/>
      <c r="J6037" s="3"/>
      <c r="K6037" s="3"/>
      <c r="L6037" s="3"/>
    </row>
    <row r="6038" spans="9:12" x14ac:dyDescent="0.25">
      <c r="I6038" s="3"/>
      <c r="J6038" s="3"/>
      <c r="K6038" s="3"/>
      <c r="L6038" s="3"/>
    </row>
    <row r="6039" spans="9:12" x14ac:dyDescent="0.25">
      <c r="I6039" s="3"/>
      <c r="J6039" s="3"/>
      <c r="K6039" s="3"/>
      <c r="L6039" s="3"/>
    </row>
    <row r="6040" spans="9:12" x14ac:dyDescent="0.25">
      <c r="I6040" s="3"/>
      <c r="J6040" s="3"/>
      <c r="K6040" s="3"/>
      <c r="L6040" s="3"/>
    </row>
    <row r="6041" spans="9:12" x14ac:dyDescent="0.25">
      <c r="I6041" s="3"/>
      <c r="J6041" s="3"/>
      <c r="K6041" s="3"/>
      <c r="L6041" s="3"/>
    </row>
    <row r="6042" spans="9:12" x14ac:dyDescent="0.25">
      <c r="I6042" s="3"/>
      <c r="J6042" s="3"/>
      <c r="K6042" s="3"/>
      <c r="L6042" s="3"/>
    </row>
    <row r="6043" spans="9:12" x14ac:dyDescent="0.25">
      <c r="I6043" s="3"/>
      <c r="J6043" s="3"/>
      <c r="K6043" s="3"/>
      <c r="L6043" s="3"/>
    </row>
    <row r="6044" spans="9:12" x14ac:dyDescent="0.25">
      <c r="I6044" s="3"/>
      <c r="J6044" s="3"/>
      <c r="K6044" s="3"/>
      <c r="L6044" s="3"/>
    </row>
    <row r="6045" spans="9:12" x14ac:dyDescent="0.25">
      <c r="I6045" s="3"/>
      <c r="J6045" s="3"/>
      <c r="K6045" s="3"/>
      <c r="L6045" s="3"/>
    </row>
    <row r="6046" spans="9:12" x14ac:dyDescent="0.25">
      <c r="I6046" s="3"/>
      <c r="J6046" s="3"/>
      <c r="K6046" s="3"/>
      <c r="L6046" s="3"/>
    </row>
    <row r="6047" spans="9:12" x14ac:dyDescent="0.25">
      <c r="I6047" s="3"/>
      <c r="J6047" s="3"/>
      <c r="K6047" s="3"/>
      <c r="L6047" s="3"/>
    </row>
    <row r="6048" spans="9:12" x14ac:dyDescent="0.25">
      <c r="I6048" s="3"/>
      <c r="J6048" s="3"/>
      <c r="K6048" s="3"/>
      <c r="L6048" s="3"/>
    </row>
    <row r="6049" spans="9:12" x14ac:dyDescent="0.25">
      <c r="I6049" s="3"/>
      <c r="J6049" s="3"/>
      <c r="K6049" s="3"/>
      <c r="L6049" s="3"/>
    </row>
    <row r="6050" spans="9:12" x14ac:dyDescent="0.25">
      <c r="I6050" s="3"/>
      <c r="J6050" s="3"/>
      <c r="K6050" s="3"/>
      <c r="L6050" s="3"/>
    </row>
    <row r="6051" spans="9:12" x14ac:dyDescent="0.25">
      <c r="I6051" s="3"/>
      <c r="J6051" s="3"/>
      <c r="K6051" s="3"/>
      <c r="L6051" s="3"/>
    </row>
    <row r="6052" spans="9:12" x14ac:dyDescent="0.25">
      <c r="I6052" s="3"/>
      <c r="J6052" s="3"/>
      <c r="K6052" s="3"/>
      <c r="L6052" s="3"/>
    </row>
    <row r="6053" spans="9:12" x14ac:dyDescent="0.25">
      <c r="I6053" s="3"/>
      <c r="J6053" s="3"/>
      <c r="K6053" s="3"/>
      <c r="L6053" s="3"/>
    </row>
    <row r="6054" spans="9:12" x14ac:dyDescent="0.25">
      <c r="I6054" s="3"/>
      <c r="J6054" s="3"/>
      <c r="K6054" s="3"/>
      <c r="L6054" s="3"/>
    </row>
    <row r="6055" spans="9:12" x14ac:dyDescent="0.25">
      <c r="I6055" s="3"/>
      <c r="J6055" s="3"/>
      <c r="K6055" s="3"/>
      <c r="L6055" s="3"/>
    </row>
    <row r="6056" spans="9:12" x14ac:dyDescent="0.25">
      <c r="I6056" s="3"/>
      <c r="J6056" s="3"/>
      <c r="K6056" s="3"/>
      <c r="L6056" s="3"/>
    </row>
    <row r="6057" spans="9:12" x14ac:dyDescent="0.25">
      <c r="I6057" s="3"/>
      <c r="J6057" s="3"/>
      <c r="K6057" s="3"/>
      <c r="L6057" s="3"/>
    </row>
    <row r="6058" spans="9:12" x14ac:dyDescent="0.25">
      <c r="I6058" s="3"/>
      <c r="J6058" s="3"/>
      <c r="K6058" s="3"/>
      <c r="L6058" s="3"/>
    </row>
    <row r="6059" spans="9:12" x14ac:dyDescent="0.25">
      <c r="I6059" s="3"/>
      <c r="J6059" s="3"/>
      <c r="K6059" s="3"/>
      <c r="L6059" s="3"/>
    </row>
    <row r="6060" spans="9:12" x14ac:dyDescent="0.25">
      <c r="I6060" s="3"/>
      <c r="J6060" s="3"/>
      <c r="K6060" s="3"/>
      <c r="L6060" s="3"/>
    </row>
    <row r="6061" spans="9:12" x14ac:dyDescent="0.25">
      <c r="I6061" s="3"/>
      <c r="J6061" s="3"/>
      <c r="K6061" s="3"/>
      <c r="L6061" s="3"/>
    </row>
    <row r="6062" spans="9:12" x14ac:dyDescent="0.25">
      <c r="I6062" s="3"/>
      <c r="J6062" s="3"/>
      <c r="K6062" s="3"/>
      <c r="L6062" s="3"/>
    </row>
    <row r="6063" spans="9:12" x14ac:dyDescent="0.25">
      <c r="I6063" s="3"/>
      <c r="J6063" s="3"/>
      <c r="K6063" s="3"/>
      <c r="L6063" s="3"/>
    </row>
    <row r="6064" spans="9:12" x14ac:dyDescent="0.25">
      <c r="I6064" s="3"/>
      <c r="J6064" s="3"/>
      <c r="K6064" s="3"/>
      <c r="L6064" s="3"/>
    </row>
    <row r="6065" spans="9:12" x14ac:dyDescent="0.25">
      <c r="I6065" s="3"/>
      <c r="J6065" s="3"/>
      <c r="K6065" s="3"/>
      <c r="L6065" s="3"/>
    </row>
    <row r="6066" spans="9:12" x14ac:dyDescent="0.25">
      <c r="I6066" s="3"/>
      <c r="J6066" s="3"/>
      <c r="K6066" s="3"/>
      <c r="L6066" s="3"/>
    </row>
    <row r="6067" spans="9:12" x14ac:dyDescent="0.25">
      <c r="I6067" s="3"/>
      <c r="J6067" s="3"/>
      <c r="K6067" s="3"/>
      <c r="L6067" s="3"/>
    </row>
    <row r="6068" spans="9:12" x14ac:dyDescent="0.25">
      <c r="I6068" s="3"/>
      <c r="J6068" s="3"/>
      <c r="K6068" s="3"/>
      <c r="L6068" s="3"/>
    </row>
    <row r="6069" spans="9:12" x14ac:dyDescent="0.25">
      <c r="I6069" s="3"/>
      <c r="J6069" s="3"/>
      <c r="K6069" s="3"/>
      <c r="L6069" s="3"/>
    </row>
    <row r="6070" spans="9:12" x14ac:dyDescent="0.25">
      <c r="I6070" s="3"/>
      <c r="J6070" s="3"/>
      <c r="K6070" s="3"/>
      <c r="L6070" s="3"/>
    </row>
    <row r="6071" spans="9:12" x14ac:dyDescent="0.25">
      <c r="I6071" s="3"/>
      <c r="J6071" s="3"/>
      <c r="K6071" s="3"/>
      <c r="L6071" s="3"/>
    </row>
    <row r="6072" spans="9:12" x14ac:dyDescent="0.25">
      <c r="I6072" s="3"/>
      <c r="J6072" s="3"/>
      <c r="K6072" s="3"/>
      <c r="L6072" s="3"/>
    </row>
    <row r="6073" spans="9:12" x14ac:dyDescent="0.25">
      <c r="I6073" s="3"/>
      <c r="J6073" s="3"/>
      <c r="K6073" s="3"/>
      <c r="L6073" s="3"/>
    </row>
    <row r="6074" spans="9:12" x14ac:dyDescent="0.25">
      <c r="I6074" s="3"/>
      <c r="J6074" s="3"/>
      <c r="K6074" s="3"/>
      <c r="L6074" s="3"/>
    </row>
    <row r="6075" spans="9:12" x14ac:dyDescent="0.25">
      <c r="I6075" s="3"/>
      <c r="J6075" s="3"/>
      <c r="K6075" s="3"/>
      <c r="L6075" s="3"/>
    </row>
    <row r="6076" spans="9:12" x14ac:dyDescent="0.25">
      <c r="I6076" s="3"/>
      <c r="J6076" s="3"/>
      <c r="K6076" s="3"/>
      <c r="L6076" s="3"/>
    </row>
    <row r="6077" spans="9:12" x14ac:dyDescent="0.25">
      <c r="I6077" s="3"/>
      <c r="J6077" s="3"/>
      <c r="K6077" s="3"/>
      <c r="L6077" s="3"/>
    </row>
    <row r="6078" spans="9:12" x14ac:dyDescent="0.25">
      <c r="I6078" s="3"/>
      <c r="J6078" s="3"/>
      <c r="K6078" s="3"/>
      <c r="L6078" s="3"/>
    </row>
    <row r="6079" spans="9:12" x14ac:dyDescent="0.25">
      <c r="I6079" s="3"/>
      <c r="J6079" s="3"/>
      <c r="K6079" s="3"/>
      <c r="L6079" s="3"/>
    </row>
    <row r="6080" spans="9:12" x14ac:dyDescent="0.25">
      <c r="I6080" s="3"/>
      <c r="J6080" s="3"/>
      <c r="K6080" s="3"/>
      <c r="L6080" s="3"/>
    </row>
    <row r="6081" spans="9:12" x14ac:dyDescent="0.25">
      <c r="I6081" s="3"/>
      <c r="J6081" s="3"/>
      <c r="K6081" s="3"/>
      <c r="L6081" s="3"/>
    </row>
    <row r="6082" spans="9:12" x14ac:dyDescent="0.25">
      <c r="I6082" s="3"/>
      <c r="J6082" s="3"/>
      <c r="K6082" s="3"/>
      <c r="L6082" s="3"/>
    </row>
    <row r="6083" spans="9:12" x14ac:dyDescent="0.25">
      <c r="I6083" s="3"/>
      <c r="J6083" s="3"/>
      <c r="K6083" s="3"/>
      <c r="L6083" s="3"/>
    </row>
    <row r="6084" spans="9:12" x14ac:dyDescent="0.25">
      <c r="I6084" s="3"/>
      <c r="J6084" s="3"/>
      <c r="K6084" s="3"/>
      <c r="L6084" s="3"/>
    </row>
    <row r="6085" spans="9:12" x14ac:dyDescent="0.25">
      <c r="I6085" s="3"/>
      <c r="J6085" s="3"/>
      <c r="K6085" s="3"/>
      <c r="L6085" s="3"/>
    </row>
    <row r="6086" spans="9:12" x14ac:dyDescent="0.25">
      <c r="I6086" s="3"/>
      <c r="J6086" s="3"/>
      <c r="K6086" s="3"/>
      <c r="L6086" s="3"/>
    </row>
    <row r="6087" spans="9:12" x14ac:dyDescent="0.25">
      <c r="I6087" s="3"/>
      <c r="J6087" s="3"/>
      <c r="K6087" s="3"/>
      <c r="L6087" s="3"/>
    </row>
    <row r="6088" spans="9:12" x14ac:dyDescent="0.25">
      <c r="I6088" s="3"/>
      <c r="J6088" s="3"/>
      <c r="K6088" s="3"/>
      <c r="L6088" s="3"/>
    </row>
    <row r="6089" spans="9:12" x14ac:dyDescent="0.25">
      <c r="I6089" s="3"/>
      <c r="J6089" s="3"/>
      <c r="K6089" s="3"/>
      <c r="L6089" s="3"/>
    </row>
    <row r="6090" spans="9:12" x14ac:dyDescent="0.25">
      <c r="I6090" s="3"/>
      <c r="J6090" s="3"/>
      <c r="K6090" s="3"/>
      <c r="L6090" s="3"/>
    </row>
    <row r="6091" spans="9:12" x14ac:dyDescent="0.25">
      <c r="I6091" s="3"/>
      <c r="J6091" s="3"/>
      <c r="K6091" s="3"/>
      <c r="L6091" s="3"/>
    </row>
    <row r="6092" spans="9:12" x14ac:dyDescent="0.25">
      <c r="I6092" s="3"/>
      <c r="J6092" s="3"/>
      <c r="K6092" s="3"/>
      <c r="L6092" s="3"/>
    </row>
    <row r="6093" spans="9:12" x14ac:dyDescent="0.25">
      <c r="I6093" s="3"/>
      <c r="J6093" s="3"/>
      <c r="K6093" s="3"/>
      <c r="L6093" s="3"/>
    </row>
    <row r="6094" spans="9:12" x14ac:dyDescent="0.25">
      <c r="I6094" s="3"/>
      <c r="J6094" s="3"/>
      <c r="K6094" s="3"/>
      <c r="L6094" s="3"/>
    </row>
    <row r="6095" spans="9:12" x14ac:dyDescent="0.25">
      <c r="I6095" s="3"/>
      <c r="J6095" s="3"/>
      <c r="K6095" s="3"/>
      <c r="L6095" s="3"/>
    </row>
    <row r="6096" spans="9:12" x14ac:dyDescent="0.25">
      <c r="I6096" s="3"/>
      <c r="J6096" s="3"/>
      <c r="K6096" s="3"/>
      <c r="L6096" s="3"/>
    </row>
    <row r="6097" spans="9:12" x14ac:dyDescent="0.25">
      <c r="I6097" s="3"/>
      <c r="J6097" s="3"/>
      <c r="K6097" s="3"/>
      <c r="L6097" s="3"/>
    </row>
    <row r="6098" spans="9:12" x14ac:dyDescent="0.25">
      <c r="I6098" s="3"/>
      <c r="J6098" s="3"/>
      <c r="K6098" s="3"/>
      <c r="L6098" s="3"/>
    </row>
    <row r="6099" spans="9:12" x14ac:dyDescent="0.25">
      <c r="I6099" s="3"/>
      <c r="J6099" s="3"/>
      <c r="K6099" s="3"/>
      <c r="L6099" s="3"/>
    </row>
    <row r="6100" spans="9:12" x14ac:dyDescent="0.25">
      <c r="I6100" s="3"/>
      <c r="J6100" s="3"/>
      <c r="K6100" s="3"/>
      <c r="L6100" s="3"/>
    </row>
    <row r="6101" spans="9:12" x14ac:dyDescent="0.25">
      <c r="I6101" s="3"/>
      <c r="J6101" s="3"/>
      <c r="K6101" s="3"/>
      <c r="L6101" s="3"/>
    </row>
    <row r="6102" spans="9:12" x14ac:dyDescent="0.25">
      <c r="I6102" s="3"/>
      <c r="J6102" s="3"/>
      <c r="K6102" s="3"/>
      <c r="L6102" s="3"/>
    </row>
    <row r="6103" spans="9:12" x14ac:dyDescent="0.25">
      <c r="I6103" s="3"/>
      <c r="J6103" s="3"/>
      <c r="K6103" s="3"/>
      <c r="L6103" s="3"/>
    </row>
    <row r="6104" spans="9:12" x14ac:dyDescent="0.25">
      <c r="I6104" s="3"/>
      <c r="J6104" s="3"/>
      <c r="K6104" s="3"/>
      <c r="L6104" s="3"/>
    </row>
    <row r="6105" spans="9:12" x14ac:dyDescent="0.25">
      <c r="I6105" s="3"/>
      <c r="J6105" s="3"/>
      <c r="K6105" s="3"/>
      <c r="L6105" s="3"/>
    </row>
    <row r="6106" spans="9:12" x14ac:dyDescent="0.25">
      <c r="I6106" s="3"/>
      <c r="J6106" s="3"/>
      <c r="K6106" s="3"/>
      <c r="L6106" s="3"/>
    </row>
    <row r="6107" spans="9:12" x14ac:dyDescent="0.25">
      <c r="I6107" s="3"/>
      <c r="J6107" s="3"/>
      <c r="K6107" s="3"/>
      <c r="L6107" s="3"/>
    </row>
    <row r="6108" spans="9:12" x14ac:dyDescent="0.25">
      <c r="I6108" s="3"/>
      <c r="J6108" s="3"/>
      <c r="K6108" s="3"/>
      <c r="L6108" s="3"/>
    </row>
    <row r="6109" spans="9:12" x14ac:dyDescent="0.25">
      <c r="I6109" s="3"/>
      <c r="J6109" s="3"/>
      <c r="K6109" s="3"/>
      <c r="L6109" s="3"/>
    </row>
    <row r="6110" spans="9:12" x14ac:dyDescent="0.25">
      <c r="I6110" s="3"/>
      <c r="J6110" s="3"/>
      <c r="K6110" s="3"/>
      <c r="L6110" s="3"/>
    </row>
    <row r="6111" spans="9:12" x14ac:dyDescent="0.25">
      <c r="I6111" s="3"/>
      <c r="J6111" s="3"/>
      <c r="K6111" s="3"/>
      <c r="L6111" s="3"/>
    </row>
    <row r="6112" spans="9:12" x14ac:dyDescent="0.25">
      <c r="I6112" s="3"/>
      <c r="J6112" s="3"/>
      <c r="K6112" s="3"/>
      <c r="L6112" s="3"/>
    </row>
    <row r="6113" spans="9:12" x14ac:dyDescent="0.25">
      <c r="I6113" s="3"/>
      <c r="J6113" s="3"/>
      <c r="K6113" s="3"/>
      <c r="L6113" s="3"/>
    </row>
    <row r="6114" spans="9:12" x14ac:dyDescent="0.25">
      <c r="I6114" s="3"/>
      <c r="J6114" s="3"/>
      <c r="K6114" s="3"/>
      <c r="L6114" s="3"/>
    </row>
    <row r="6115" spans="9:12" x14ac:dyDescent="0.25">
      <c r="I6115" s="3"/>
      <c r="J6115" s="3"/>
      <c r="K6115" s="3"/>
      <c r="L6115" s="3"/>
    </row>
    <row r="6116" spans="9:12" x14ac:dyDescent="0.25">
      <c r="I6116" s="3"/>
      <c r="J6116" s="3"/>
      <c r="K6116" s="3"/>
      <c r="L6116" s="3"/>
    </row>
    <row r="6117" spans="9:12" x14ac:dyDescent="0.25">
      <c r="I6117" s="3"/>
      <c r="J6117" s="3"/>
      <c r="K6117" s="3"/>
      <c r="L6117" s="3"/>
    </row>
    <row r="6118" spans="9:12" x14ac:dyDescent="0.25">
      <c r="I6118" s="3"/>
      <c r="J6118" s="3"/>
      <c r="K6118" s="3"/>
      <c r="L6118" s="3"/>
    </row>
    <row r="6119" spans="9:12" x14ac:dyDescent="0.25">
      <c r="I6119" s="3"/>
      <c r="J6119" s="3"/>
      <c r="K6119" s="3"/>
      <c r="L6119" s="3"/>
    </row>
    <row r="6120" spans="9:12" x14ac:dyDescent="0.25">
      <c r="I6120" s="3"/>
      <c r="J6120" s="3"/>
      <c r="K6120" s="3"/>
      <c r="L6120" s="3"/>
    </row>
    <row r="6121" spans="9:12" x14ac:dyDescent="0.25">
      <c r="I6121" s="3"/>
      <c r="J6121" s="3"/>
      <c r="K6121" s="3"/>
      <c r="L6121" s="3"/>
    </row>
    <row r="6122" spans="9:12" x14ac:dyDescent="0.25">
      <c r="I6122" s="3"/>
      <c r="J6122" s="3"/>
      <c r="K6122" s="3"/>
      <c r="L6122" s="3"/>
    </row>
    <row r="6123" spans="9:12" x14ac:dyDescent="0.25">
      <c r="I6123" s="3"/>
      <c r="J6123" s="3"/>
      <c r="K6123" s="3"/>
      <c r="L6123" s="3"/>
    </row>
    <row r="6124" spans="9:12" x14ac:dyDescent="0.25">
      <c r="I6124" s="3"/>
      <c r="J6124" s="3"/>
      <c r="K6124" s="3"/>
      <c r="L6124" s="3"/>
    </row>
    <row r="6125" spans="9:12" x14ac:dyDescent="0.25">
      <c r="I6125" s="3"/>
      <c r="J6125" s="3"/>
      <c r="K6125" s="3"/>
      <c r="L6125" s="3"/>
    </row>
    <row r="6126" spans="9:12" x14ac:dyDescent="0.25">
      <c r="I6126" s="3"/>
      <c r="J6126" s="3"/>
      <c r="K6126" s="3"/>
      <c r="L6126" s="3"/>
    </row>
    <row r="6127" spans="9:12" x14ac:dyDescent="0.25">
      <c r="I6127" s="3"/>
      <c r="J6127" s="3"/>
      <c r="K6127" s="3"/>
      <c r="L6127" s="3"/>
    </row>
    <row r="6128" spans="9:12" x14ac:dyDescent="0.25">
      <c r="I6128" s="3"/>
      <c r="J6128" s="3"/>
      <c r="K6128" s="3"/>
      <c r="L6128" s="3"/>
    </row>
    <row r="6129" spans="9:12" x14ac:dyDescent="0.25">
      <c r="I6129" s="3"/>
      <c r="J6129" s="3"/>
      <c r="K6129" s="3"/>
      <c r="L6129" s="3"/>
    </row>
    <row r="6130" spans="9:12" x14ac:dyDescent="0.25">
      <c r="I6130" s="3"/>
      <c r="J6130" s="3"/>
      <c r="K6130" s="3"/>
      <c r="L6130" s="3"/>
    </row>
    <row r="6131" spans="9:12" x14ac:dyDescent="0.25">
      <c r="I6131" s="3"/>
      <c r="J6131" s="3"/>
      <c r="K6131" s="3"/>
      <c r="L6131" s="3"/>
    </row>
    <row r="6132" spans="9:12" x14ac:dyDescent="0.25">
      <c r="I6132" s="3"/>
      <c r="J6132" s="3"/>
      <c r="K6132" s="3"/>
      <c r="L6132" s="3"/>
    </row>
    <row r="6133" spans="9:12" x14ac:dyDescent="0.25">
      <c r="I6133" s="3"/>
      <c r="J6133" s="3"/>
      <c r="K6133" s="3"/>
      <c r="L6133" s="3"/>
    </row>
    <row r="6134" spans="9:12" x14ac:dyDescent="0.25">
      <c r="I6134" s="3"/>
      <c r="J6134" s="3"/>
      <c r="K6134" s="3"/>
      <c r="L6134" s="3"/>
    </row>
    <row r="6135" spans="9:12" x14ac:dyDescent="0.25">
      <c r="I6135" s="3"/>
      <c r="J6135" s="3"/>
      <c r="K6135" s="3"/>
      <c r="L6135" s="3"/>
    </row>
    <row r="6136" spans="9:12" x14ac:dyDescent="0.25">
      <c r="I6136" s="3"/>
      <c r="J6136" s="3"/>
      <c r="K6136" s="3"/>
      <c r="L6136" s="3"/>
    </row>
    <row r="6137" spans="9:12" x14ac:dyDescent="0.25">
      <c r="I6137" s="3"/>
      <c r="J6137" s="3"/>
      <c r="K6137" s="3"/>
      <c r="L6137" s="3"/>
    </row>
    <row r="6138" spans="9:12" x14ac:dyDescent="0.25">
      <c r="I6138" s="3"/>
      <c r="J6138" s="3"/>
      <c r="K6138" s="3"/>
      <c r="L6138" s="3"/>
    </row>
    <row r="6139" spans="9:12" x14ac:dyDescent="0.25">
      <c r="I6139" s="3"/>
      <c r="J6139" s="3"/>
      <c r="K6139" s="3"/>
      <c r="L6139" s="3"/>
    </row>
    <row r="6140" spans="9:12" x14ac:dyDescent="0.25">
      <c r="I6140" s="3"/>
      <c r="J6140" s="3"/>
      <c r="K6140" s="3"/>
      <c r="L6140" s="3"/>
    </row>
    <row r="6141" spans="9:12" x14ac:dyDescent="0.25">
      <c r="I6141" s="3"/>
      <c r="J6141" s="3"/>
      <c r="K6141" s="3"/>
      <c r="L6141" s="3"/>
    </row>
    <row r="6142" spans="9:12" x14ac:dyDescent="0.25">
      <c r="I6142" s="3"/>
      <c r="J6142" s="3"/>
      <c r="K6142" s="3"/>
      <c r="L6142" s="3"/>
    </row>
    <row r="6143" spans="9:12" x14ac:dyDescent="0.25">
      <c r="I6143" s="3"/>
      <c r="J6143" s="3"/>
      <c r="K6143" s="3"/>
      <c r="L6143" s="3"/>
    </row>
    <row r="6144" spans="9:12" x14ac:dyDescent="0.25">
      <c r="I6144" s="3"/>
      <c r="J6144" s="3"/>
      <c r="K6144" s="3"/>
      <c r="L6144" s="3"/>
    </row>
    <row r="6145" spans="9:12" x14ac:dyDescent="0.25">
      <c r="I6145" s="3"/>
      <c r="J6145" s="3"/>
      <c r="K6145" s="3"/>
      <c r="L6145" s="3"/>
    </row>
    <row r="6146" spans="9:12" x14ac:dyDescent="0.25">
      <c r="I6146" s="3"/>
      <c r="J6146" s="3"/>
      <c r="K6146" s="3"/>
      <c r="L6146" s="3"/>
    </row>
    <row r="6147" spans="9:12" x14ac:dyDescent="0.25">
      <c r="I6147" s="3"/>
      <c r="J6147" s="3"/>
      <c r="K6147" s="3"/>
      <c r="L6147" s="3"/>
    </row>
    <row r="6148" spans="9:12" x14ac:dyDescent="0.25">
      <c r="I6148" s="3"/>
      <c r="J6148" s="3"/>
      <c r="K6148" s="3"/>
      <c r="L6148" s="3"/>
    </row>
    <row r="6149" spans="9:12" x14ac:dyDescent="0.25">
      <c r="I6149" s="3"/>
      <c r="J6149" s="3"/>
      <c r="K6149" s="3"/>
      <c r="L6149" s="3"/>
    </row>
    <row r="6150" spans="9:12" x14ac:dyDescent="0.25">
      <c r="I6150" s="3"/>
      <c r="J6150" s="3"/>
      <c r="K6150" s="3"/>
      <c r="L6150" s="3"/>
    </row>
    <row r="6151" spans="9:12" x14ac:dyDescent="0.25">
      <c r="I6151" s="3"/>
      <c r="J6151" s="3"/>
      <c r="K6151" s="3"/>
      <c r="L6151" s="3"/>
    </row>
    <row r="6152" spans="9:12" x14ac:dyDescent="0.25">
      <c r="I6152" s="3"/>
      <c r="J6152" s="3"/>
      <c r="K6152" s="3"/>
      <c r="L6152" s="3"/>
    </row>
    <row r="6153" spans="9:12" x14ac:dyDescent="0.25">
      <c r="I6153" s="3"/>
      <c r="J6153" s="3"/>
      <c r="K6153" s="3"/>
      <c r="L6153" s="3"/>
    </row>
    <row r="6154" spans="9:12" x14ac:dyDescent="0.25">
      <c r="I6154" s="3"/>
      <c r="J6154" s="3"/>
      <c r="K6154" s="3"/>
      <c r="L6154" s="3"/>
    </row>
    <row r="6155" spans="9:12" x14ac:dyDescent="0.25">
      <c r="I6155" s="3"/>
      <c r="J6155" s="3"/>
      <c r="K6155" s="3"/>
      <c r="L6155" s="3"/>
    </row>
    <row r="6156" spans="9:12" x14ac:dyDescent="0.25">
      <c r="I6156" s="3"/>
      <c r="J6156" s="3"/>
      <c r="K6156" s="3"/>
      <c r="L6156" s="3"/>
    </row>
    <row r="6157" spans="9:12" x14ac:dyDescent="0.25">
      <c r="I6157" s="3"/>
      <c r="J6157" s="3"/>
      <c r="K6157" s="3"/>
      <c r="L6157" s="3"/>
    </row>
    <row r="6158" spans="9:12" x14ac:dyDescent="0.25">
      <c r="I6158" s="3"/>
      <c r="J6158" s="3"/>
      <c r="K6158" s="3"/>
      <c r="L6158" s="3"/>
    </row>
    <row r="6159" spans="9:12" x14ac:dyDescent="0.25">
      <c r="I6159" s="3"/>
      <c r="J6159" s="3"/>
      <c r="K6159" s="3"/>
      <c r="L6159" s="3"/>
    </row>
    <row r="6160" spans="9:12" x14ac:dyDescent="0.25">
      <c r="I6160" s="3"/>
      <c r="J6160" s="3"/>
      <c r="K6160" s="3"/>
      <c r="L6160" s="3"/>
    </row>
    <row r="6161" spans="9:12" x14ac:dyDescent="0.25">
      <c r="I6161" s="3"/>
      <c r="J6161" s="3"/>
      <c r="K6161" s="3"/>
      <c r="L6161" s="3"/>
    </row>
    <row r="6162" spans="9:12" x14ac:dyDescent="0.25">
      <c r="I6162" s="3"/>
      <c r="J6162" s="3"/>
      <c r="K6162" s="3"/>
      <c r="L6162" s="3"/>
    </row>
    <row r="6163" spans="9:12" x14ac:dyDescent="0.25">
      <c r="I6163" s="3"/>
      <c r="J6163" s="3"/>
      <c r="K6163" s="3"/>
      <c r="L6163" s="3"/>
    </row>
    <row r="6164" spans="9:12" x14ac:dyDescent="0.25">
      <c r="I6164" s="3"/>
      <c r="J6164" s="3"/>
      <c r="K6164" s="3"/>
      <c r="L6164" s="3"/>
    </row>
    <row r="6165" spans="9:12" x14ac:dyDescent="0.25">
      <c r="I6165" s="3"/>
      <c r="J6165" s="3"/>
      <c r="K6165" s="3"/>
      <c r="L6165" s="3"/>
    </row>
    <row r="6166" spans="9:12" x14ac:dyDescent="0.25">
      <c r="I6166" s="3"/>
      <c r="J6166" s="3"/>
      <c r="K6166" s="3"/>
      <c r="L6166" s="3"/>
    </row>
    <row r="6167" spans="9:12" x14ac:dyDescent="0.25">
      <c r="I6167" s="3"/>
      <c r="J6167" s="3"/>
      <c r="K6167" s="3"/>
      <c r="L6167" s="3"/>
    </row>
    <row r="6168" spans="9:12" x14ac:dyDescent="0.25">
      <c r="I6168" s="3"/>
      <c r="J6168" s="3"/>
      <c r="K6168" s="3"/>
      <c r="L6168" s="3"/>
    </row>
    <row r="6169" spans="9:12" x14ac:dyDescent="0.25">
      <c r="I6169" s="3"/>
      <c r="J6169" s="3"/>
      <c r="K6169" s="3"/>
      <c r="L6169" s="3"/>
    </row>
    <row r="6170" spans="9:12" x14ac:dyDescent="0.25">
      <c r="I6170" s="3"/>
      <c r="J6170" s="3"/>
      <c r="K6170" s="3"/>
      <c r="L6170" s="3"/>
    </row>
    <row r="6171" spans="9:12" x14ac:dyDescent="0.25">
      <c r="I6171" s="3"/>
      <c r="J6171" s="3"/>
      <c r="K6171" s="3"/>
      <c r="L6171" s="3"/>
    </row>
    <row r="6172" spans="9:12" x14ac:dyDescent="0.25">
      <c r="I6172" s="3"/>
      <c r="J6172" s="3"/>
      <c r="K6172" s="3"/>
      <c r="L6172" s="3"/>
    </row>
    <row r="6173" spans="9:12" x14ac:dyDescent="0.25">
      <c r="I6173" s="3"/>
      <c r="J6173" s="3"/>
      <c r="K6173" s="3"/>
      <c r="L6173" s="3"/>
    </row>
    <row r="6174" spans="9:12" x14ac:dyDescent="0.25">
      <c r="I6174" s="3"/>
      <c r="J6174" s="3"/>
      <c r="K6174" s="3"/>
      <c r="L6174" s="3"/>
    </row>
    <row r="6175" spans="9:12" x14ac:dyDescent="0.25">
      <c r="I6175" s="3"/>
      <c r="J6175" s="3"/>
      <c r="K6175" s="3"/>
      <c r="L6175" s="3"/>
    </row>
    <row r="6176" spans="9:12" x14ac:dyDescent="0.25">
      <c r="I6176" s="3"/>
      <c r="J6176" s="3"/>
      <c r="K6176" s="3"/>
      <c r="L6176" s="3"/>
    </row>
    <row r="6177" spans="9:12" x14ac:dyDescent="0.25">
      <c r="I6177" s="3"/>
      <c r="J6177" s="3"/>
      <c r="K6177" s="3"/>
      <c r="L6177" s="3"/>
    </row>
    <row r="6178" spans="9:12" x14ac:dyDescent="0.25">
      <c r="I6178" s="3"/>
      <c r="J6178" s="3"/>
      <c r="K6178" s="3"/>
      <c r="L6178" s="3"/>
    </row>
    <row r="6179" spans="9:12" x14ac:dyDescent="0.25">
      <c r="I6179" s="3"/>
      <c r="J6179" s="3"/>
      <c r="K6179" s="3"/>
      <c r="L6179" s="3"/>
    </row>
    <row r="6180" spans="9:12" x14ac:dyDescent="0.25">
      <c r="I6180" s="3"/>
      <c r="J6180" s="3"/>
      <c r="K6180" s="3"/>
      <c r="L6180" s="3"/>
    </row>
    <row r="6181" spans="9:12" x14ac:dyDescent="0.25">
      <c r="I6181" s="3"/>
      <c r="J6181" s="3"/>
      <c r="K6181" s="3"/>
      <c r="L6181" s="3"/>
    </row>
    <row r="6182" spans="9:12" x14ac:dyDescent="0.25">
      <c r="I6182" s="3"/>
      <c r="J6182" s="3"/>
      <c r="K6182" s="3"/>
      <c r="L6182" s="3"/>
    </row>
    <row r="6183" spans="9:12" x14ac:dyDescent="0.25">
      <c r="I6183" s="3"/>
      <c r="J6183" s="3"/>
      <c r="K6183" s="3"/>
      <c r="L6183" s="3"/>
    </row>
    <row r="6184" spans="9:12" x14ac:dyDescent="0.25">
      <c r="I6184" s="3"/>
      <c r="J6184" s="3"/>
      <c r="K6184" s="3"/>
      <c r="L6184" s="3"/>
    </row>
    <row r="6185" spans="9:12" x14ac:dyDescent="0.25">
      <c r="I6185" s="3"/>
      <c r="J6185" s="3"/>
      <c r="K6185" s="3"/>
      <c r="L6185" s="3"/>
    </row>
    <row r="6186" spans="9:12" x14ac:dyDescent="0.25">
      <c r="I6186" s="3"/>
      <c r="J6186" s="3"/>
      <c r="K6186" s="3"/>
      <c r="L6186" s="3"/>
    </row>
    <row r="6187" spans="9:12" x14ac:dyDescent="0.25">
      <c r="I6187" s="3"/>
      <c r="J6187" s="3"/>
      <c r="K6187" s="3"/>
      <c r="L6187" s="3"/>
    </row>
    <row r="6188" spans="9:12" x14ac:dyDescent="0.25">
      <c r="I6188" s="3"/>
      <c r="J6188" s="3"/>
      <c r="K6188" s="3"/>
      <c r="L6188" s="3"/>
    </row>
    <row r="6189" spans="9:12" x14ac:dyDescent="0.25">
      <c r="I6189" s="3"/>
      <c r="J6189" s="3"/>
      <c r="K6189" s="3"/>
      <c r="L6189" s="3"/>
    </row>
    <row r="6190" spans="9:12" x14ac:dyDescent="0.25">
      <c r="I6190" s="3"/>
      <c r="J6190" s="3"/>
      <c r="K6190" s="3"/>
      <c r="L6190" s="3"/>
    </row>
    <row r="6191" spans="9:12" x14ac:dyDescent="0.25">
      <c r="I6191" s="3"/>
      <c r="J6191" s="3"/>
      <c r="K6191" s="3"/>
      <c r="L6191" s="3"/>
    </row>
    <row r="6192" spans="9:12" x14ac:dyDescent="0.25">
      <c r="I6192" s="3"/>
      <c r="J6192" s="3"/>
      <c r="K6192" s="3"/>
      <c r="L6192" s="3"/>
    </row>
    <row r="6193" spans="9:12" x14ac:dyDescent="0.25">
      <c r="I6193" s="3"/>
      <c r="J6193" s="3"/>
      <c r="K6193" s="3"/>
      <c r="L6193" s="3"/>
    </row>
    <row r="6194" spans="9:12" x14ac:dyDescent="0.25">
      <c r="I6194" s="3"/>
      <c r="J6194" s="3"/>
      <c r="K6194" s="3"/>
      <c r="L6194" s="3"/>
    </row>
    <row r="6195" spans="9:12" x14ac:dyDescent="0.25">
      <c r="I6195" s="3"/>
      <c r="J6195" s="3"/>
      <c r="K6195" s="3"/>
      <c r="L6195" s="3"/>
    </row>
    <row r="6196" spans="9:12" x14ac:dyDescent="0.25">
      <c r="I6196" s="3"/>
      <c r="J6196" s="3"/>
      <c r="K6196" s="3"/>
      <c r="L6196" s="3"/>
    </row>
    <row r="6197" spans="9:12" x14ac:dyDescent="0.25">
      <c r="I6197" s="3"/>
      <c r="J6197" s="3"/>
      <c r="K6197" s="3"/>
      <c r="L6197" s="3"/>
    </row>
    <row r="6198" spans="9:12" x14ac:dyDescent="0.25">
      <c r="I6198" s="3"/>
      <c r="J6198" s="3"/>
      <c r="K6198" s="3"/>
      <c r="L6198" s="3"/>
    </row>
    <row r="6199" spans="9:12" x14ac:dyDescent="0.25">
      <c r="I6199" s="3"/>
      <c r="J6199" s="3"/>
      <c r="K6199" s="3"/>
      <c r="L6199" s="3"/>
    </row>
    <row r="6200" spans="9:12" x14ac:dyDescent="0.25">
      <c r="I6200" s="3"/>
      <c r="J6200" s="3"/>
      <c r="K6200" s="3"/>
      <c r="L6200" s="3"/>
    </row>
    <row r="6201" spans="9:12" x14ac:dyDescent="0.25">
      <c r="I6201" s="3"/>
      <c r="J6201" s="3"/>
      <c r="K6201" s="3"/>
      <c r="L6201" s="3"/>
    </row>
    <row r="6202" spans="9:12" x14ac:dyDescent="0.25">
      <c r="I6202" s="3"/>
      <c r="J6202" s="3"/>
      <c r="K6202" s="3"/>
      <c r="L6202" s="3"/>
    </row>
    <row r="6203" spans="9:12" x14ac:dyDescent="0.25">
      <c r="I6203" s="3"/>
      <c r="J6203" s="3"/>
      <c r="K6203" s="3"/>
      <c r="L6203" s="3"/>
    </row>
    <row r="6204" spans="9:12" x14ac:dyDescent="0.25">
      <c r="I6204" s="3"/>
      <c r="J6204" s="3"/>
      <c r="K6204" s="3"/>
      <c r="L6204" s="3"/>
    </row>
    <row r="6205" spans="9:12" x14ac:dyDescent="0.25">
      <c r="I6205" s="3"/>
      <c r="J6205" s="3"/>
      <c r="K6205" s="3"/>
      <c r="L6205" s="3"/>
    </row>
    <row r="6206" spans="9:12" x14ac:dyDescent="0.25">
      <c r="I6206" s="3"/>
      <c r="J6206" s="3"/>
      <c r="K6206" s="3"/>
      <c r="L6206" s="3"/>
    </row>
    <row r="6207" spans="9:12" x14ac:dyDescent="0.25">
      <c r="I6207" s="3"/>
      <c r="J6207" s="3"/>
      <c r="K6207" s="3"/>
      <c r="L6207" s="3"/>
    </row>
    <row r="6208" spans="9:12" x14ac:dyDescent="0.25">
      <c r="I6208" s="3"/>
      <c r="J6208" s="3"/>
      <c r="K6208" s="3"/>
      <c r="L6208" s="3"/>
    </row>
    <row r="6209" spans="9:12" x14ac:dyDescent="0.25">
      <c r="I6209" s="3"/>
      <c r="J6209" s="3"/>
      <c r="K6209" s="3"/>
      <c r="L6209" s="3"/>
    </row>
    <row r="6210" spans="9:12" x14ac:dyDescent="0.25">
      <c r="I6210" s="3"/>
      <c r="J6210" s="3"/>
      <c r="K6210" s="3"/>
      <c r="L6210" s="3"/>
    </row>
    <row r="6211" spans="9:12" x14ac:dyDescent="0.25">
      <c r="I6211" s="3"/>
      <c r="J6211" s="3"/>
      <c r="K6211" s="3"/>
      <c r="L6211" s="3"/>
    </row>
    <row r="6212" spans="9:12" x14ac:dyDescent="0.25">
      <c r="I6212" s="3"/>
      <c r="J6212" s="3"/>
      <c r="K6212" s="3"/>
      <c r="L6212" s="3"/>
    </row>
    <row r="6213" spans="9:12" x14ac:dyDescent="0.25">
      <c r="I6213" s="3"/>
      <c r="J6213" s="3"/>
      <c r="K6213" s="3"/>
      <c r="L6213" s="3"/>
    </row>
    <row r="6214" spans="9:12" x14ac:dyDescent="0.25">
      <c r="I6214" s="3"/>
      <c r="J6214" s="3"/>
      <c r="K6214" s="3"/>
      <c r="L6214" s="3"/>
    </row>
    <row r="6215" spans="9:12" x14ac:dyDescent="0.25">
      <c r="I6215" s="3"/>
      <c r="J6215" s="3"/>
      <c r="K6215" s="3"/>
      <c r="L6215" s="3"/>
    </row>
    <row r="6216" spans="9:12" x14ac:dyDescent="0.25">
      <c r="I6216" s="3"/>
      <c r="J6216" s="3"/>
      <c r="K6216" s="3"/>
      <c r="L6216" s="3"/>
    </row>
    <row r="6217" spans="9:12" x14ac:dyDescent="0.25">
      <c r="I6217" s="3"/>
      <c r="J6217" s="3"/>
      <c r="K6217" s="3"/>
      <c r="L6217" s="3"/>
    </row>
    <row r="6218" spans="9:12" x14ac:dyDescent="0.25">
      <c r="I6218" s="3"/>
      <c r="J6218" s="3"/>
      <c r="K6218" s="3"/>
      <c r="L6218" s="3"/>
    </row>
    <row r="6219" spans="9:12" x14ac:dyDescent="0.25">
      <c r="I6219" s="3"/>
      <c r="J6219" s="3"/>
      <c r="K6219" s="3"/>
      <c r="L6219" s="3"/>
    </row>
    <row r="6220" spans="9:12" x14ac:dyDescent="0.25">
      <c r="I6220" s="3"/>
      <c r="J6220" s="3"/>
      <c r="K6220" s="3"/>
      <c r="L6220" s="3"/>
    </row>
    <row r="6221" spans="9:12" x14ac:dyDescent="0.25">
      <c r="I6221" s="3"/>
      <c r="J6221" s="3"/>
      <c r="K6221" s="3"/>
      <c r="L6221" s="3"/>
    </row>
    <row r="6222" spans="9:12" x14ac:dyDescent="0.25">
      <c r="I6222" s="3"/>
      <c r="J6222" s="3"/>
      <c r="K6222" s="3"/>
      <c r="L6222" s="3"/>
    </row>
    <row r="6223" spans="9:12" x14ac:dyDescent="0.25">
      <c r="I6223" s="3"/>
      <c r="J6223" s="3"/>
      <c r="K6223" s="3"/>
      <c r="L6223" s="3"/>
    </row>
    <row r="6224" spans="9:12" x14ac:dyDescent="0.25">
      <c r="I6224" s="3"/>
      <c r="J6224" s="3"/>
      <c r="K6224" s="3"/>
      <c r="L6224" s="3"/>
    </row>
    <row r="6225" spans="9:12" x14ac:dyDescent="0.25">
      <c r="I6225" s="3"/>
      <c r="J6225" s="3"/>
      <c r="K6225" s="3"/>
      <c r="L6225" s="3"/>
    </row>
    <row r="6226" spans="9:12" x14ac:dyDescent="0.25">
      <c r="I6226" s="3"/>
      <c r="J6226" s="3"/>
      <c r="K6226" s="3"/>
      <c r="L6226" s="3"/>
    </row>
    <row r="6227" spans="9:12" x14ac:dyDescent="0.25">
      <c r="I6227" s="3"/>
      <c r="J6227" s="3"/>
      <c r="K6227" s="3"/>
      <c r="L6227" s="3"/>
    </row>
    <row r="6228" spans="9:12" x14ac:dyDescent="0.25">
      <c r="I6228" s="3"/>
      <c r="J6228" s="3"/>
      <c r="K6228" s="3"/>
      <c r="L6228" s="3"/>
    </row>
    <row r="6229" spans="9:12" x14ac:dyDescent="0.25">
      <c r="I6229" s="3"/>
      <c r="J6229" s="3"/>
      <c r="K6229" s="3"/>
      <c r="L6229" s="3"/>
    </row>
    <row r="6230" spans="9:12" x14ac:dyDescent="0.25">
      <c r="I6230" s="3"/>
      <c r="J6230" s="3"/>
      <c r="K6230" s="3"/>
      <c r="L6230" s="3"/>
    </row>
    <row r="6231" spans="9:12" x14ac:dyDescent="0.25">
      <c r="I6231" s="3"/>
      <c r="J6231" s="3"/>
      <c r="K6231" s="3"/>
      <c r="L6231" s="3"/>
    </row>
    <row r="6232" spans="9:12" x14ac:dyDescent="0.25">
      <c r="I6232" s="3"/>
      <c r="J6232" s="3"/>
      <c r="K6232" s="3"/>
      <c r="L6232" s="3"/>
    </row>
    <row r="6233" spans="9:12" x14ac:dyDescent="0.25">
      <c r="I6233" s="3"/>
      <c r="J6233" s="3"/>
      <c r="K6233" s="3"/>
      <c r="L6233" s="3"/>
    </row>
    <row r="6234" spans="9:12" x14ac:dyDescent="0.25">
      <c r="I6234" s="3"/>
      <c r="J6234" s="3"/>
      <c r="K6234" s="3"/>
      <c r="L6234" s="3"/>
    </row>
    <row r="6235" spans="9:12" x14ac:dyDescent="0.25">
      <c r="I6235" s="3"/>
      <c r="J6235" s="3"/>
      <c r="K6235" s="3"/>
      <c r="L6235" s="3"/>
    </row>
    <row r="6236" spans="9:12" x14ac:dyDescent="0.25">
      <c r="I6236" s="3"/>
      <c r="J6236" s="3"/>
      <c r="K6236" s="3"/>
      <c r="L6236" s="3"/>
    </row>
    <row r="6237" spans="9:12" x14ac:dyDescent="0.25">
      <c r="I6237" s="3"/>
      <c r="J6237" s="3"/>
      <c r="K6237" s="3"/>
      <c r="L6237" s="3"/>
    </row>
    <row r="6238" spans="9:12" x14ac:dyDescent="0.25">
      <c r="I6238" s="3"/>
      <c r="J6238" s="3"/>
      <c r="K6238" s="3"/>
      <c r="L6238" s="3"/>
    </row>
    <row r="6239" spans="9:12" x14ac:dyDescent="0.25">
      <c r="I6239" s="3"/>
      <c r="J6239" s="3"/>
      <c r="K6239" s="3"/>
      <c r="L6239" s="3"/>
    </row>
    <row r="6240" spans="9:12" x14ac:dyDescent="0.25">
      <c r="I6240" s="3"/>
      <c r="J6240" s="3"/>
      <c r="K6240" s="3"/>
      <c r="L6240" s="3"/>
    </row>
    <row r="6241" spans="9:12" x14ac:dyDescent="0.25">
      <c r="I6241" s="3"/>
      <c r="J6241" s="3"/>
      <c r="K6241" s="3"/>
      <c r="L6241" s="3"/>
    </row>
    <row r="6242" spans="9:12" x14ac:dyDescent="0.25">
      <c r="I6242" s="3"/>
      <c r="J6242" s="3"/>
      <c r="K6242" s="3"/>
      <c r="L6242" s="3"/>
    </row>
    <row r="6243" spans="9:12" x14ac:dyDescent="0.25">
      <c r="I6243" s="3"/>
      <c r="J6243" s="3"/>
      <c r="K6243" s="3"/>
      <c r="L6243" s="3"/>
    </row>
    <row r="6244" spans="9:12" x14ac:dyDescent="0.25">
      <c r="I6244" s="3"/>
      <c r="J6244" s="3"/>
      <c r="K6244" s="3"/>
      <c r="L6244" s="3"/>
    </row>
    <row r="6245" spans="9:12" x14ac:dyDescent="0.25">
      <c r="I6245" s="3"/>
      <c r="J6245" s="3"/>
      <c r="K6245" s="3"/>
      <c r="L6245" s="3"/>
    </row>
    <row r="6246" spans="9:12" x14ac:dyDescent="0.25">
      <c r="I6246" s="3"/>
      <c r="J6246" s="3"/>
      <c r="K6246" s="3"/>
      <c r="L6246" s="3"/>
    </row>
    <row r="6247" spans="9:12" x14ac:dyDescent="0.25">
      <c r="I6247" s="3"/>
      <c r="J6247" s="3"/>
      <c r="K6247" s="3"/>
      <c r="L6247" s="3"/>
    </row>
    <row r="6248" spans="9:12" x14ac:dyDescent="0.25">
      <c r="I6248" s="3"/>
      <c r="J6248" s="3"/>
      <c r="K6248" s="3"/>
      <c r="L6248" s="3"/>
    </row>
    <row r="6249" spans="9:12" x14ac:dyDescent="0.25">
      <c r="I6249" s="3"/>
      <c r="J6249" s="3"/>
      <c r="K6249" s="3"/>
      <c r="L6249" s="3"/>
    </row>
    <row r="6250" spans="9:12" x14ac:dyDescent="0.25">
      <c r="I6250" s="3"/>
      <c r="J6250" s="3"/>
      <c r="K6250" s="3"/>
      <c r="L6250" s="3"/>
    </row>
    <row r="6251" spans="9:12" x14ac:dyDescent="0.25">
      <c r="I6251" s="3"/>
      <c r="J6251" s="3"/>
      <c r="K6251" s="3"/>
      <c r="L6251" s="3"/>
    </row>
    <row r="6252" spans="9:12" x14ac:dyDescent="0.25">
      <c r="I6252" s="3"/>
      <c r="J6252" s="3"/>
      <c r="K6252" s="3"/>
      <c r="L6252" s="3"/>
    </row>
    <row r="6253" spans="9:12" x14ac:dyDescent="0.25">
      <c r="I6253" s="3"/>
      <c r="J6253" s="3"/>
      <c r="K6253" s="3"/>
      <c r="L6253" s="3"/>
    </row>
    <row r="6254" spans="9:12" x14ac:dyDescent="0.25">
      <c r="I6254" s="3"/>
      <c r="J6254" s="3"/>
      <c r="K6254" s="3"/>
      <c r="L6254" s="3"/>
    </row>
    <row r="6255" spans="9:12" x14ac:dyDescent="0.25">
      <c r="I6255" s="3"/>
      <c r="J6255" s="3"/>
      <c r="K6255" s="3"/>
      <c r="L6255" s="3"/>
    </row>
    <row r="6256" spans="9:12" x14ac:dyDescent="0.25">
      <c r="I6256" s="3"/>
      <c r="J6256" s="3"/>
      <c r="K6256" s="3"/>
      <c r="L6256" s="3"/>
    </row>
    <row r="6257" spans="9:12" x14ac:dyDescent="0.25">
      <c r="I6257" s="3"/>
      <c r="J6257" s="3"/>
      <c r="K6257" s="3"/>
      <c r="L6257" s="3"/>
    </row>
    <row r="6258" spans="9:12" x14ac:dyDescent="0.25">
      <c r="I6258" s="3"/>
      <c r="J6258" s="3"/>
      <c r="K6258" s="3"/>
      <c r="L6258" s="3"/>
    </row>
    <row r="6259" spans="9:12" x14ac:dyDescent="0.25">
      <c r="I6259" s="3"/>
      <c r="J6259" s="3"/>
      <c r="K6259" s="3"/>
      <c r="L6259" s="3"/>
    </row>
    <row r="6260" spans="9:12" x14ac:dyDescent="0.25">
      <c r="I6260" s="3"/>
      <c r="J6260" s="3"/>
      <c r="K6260" s="3"/>
      <c r="L6260" s="3"/>
    </row>
    <row r="6261" spans="9:12" x14ac:dyDescent="0.25">
      <c r="I6261" s="3"/>
      <c r="J6261" s="3"/>
      <c r="K6261" s="3"/>
      <c r="L6261" s="3"/>
    </row>
    <row r="6262" spans="9:12" x14ac:dyDescent="0.25">
      <c r="I6262" s="3"/>
      <c r="J6262" s="3"/>
      <c r="K6262" s="3"/>
      <c r="L6262" s="3"/>
    </row>
    <row r="6263" spans="9:12" x14ac:dyDescent="0.25">
      <c r="I6263" s="3"/>
      <c r="J6263" s="3"/>
      <c r="K6263" s="3"/>
      <c r="L6263" s="3"/>
    </row>
    <row r="6264" spans="9:12" x14ac:dyDescent="0.25">
      <c r="I6264" s="3"/>
      <c r="J6264" s="3"/>
      <c r="K6264" s="3"/>
      <c r="L6264" s="3"/>
    </row>
    <row r="6265" spans="9:12" x14ac:dyDescent="0.25">
      <c r="I6265" s="3"/>
      <c r="J6265" s="3"/>
      <c r="K6265" s="3"/>
      <c r="L6265" s="3"/>
    </row>
    <row r="6266" spans="9:12" x14ac:dyDescent="0.25">
      <c r="I6266" s="3"/>
      <c r="J6266" s="3"/>
      <c r="K6266" s="3"/>
      <c r="L6266" s="3"/>
    </row>
    <row r="6267" spans="9:12" x14ac:dyDescent="0.25">
      <c r="I6267" s="3"/>
      <c r="J6267" s="3"/>
      <c r="K6267" s="3"/>
      <c r="L6267" s="3"/>
    </row>
    <row r="6268" spans="9:12" x14ac:dyDescent="0.25">
      <c r="I6268" s="3"/>
      <c r="J6268" s="3"/>
      <c r="K6268" s="3"/>
      <c r="L6268" s="3"/>
    </row>
    <row r="6269" spans="9:12" x14ac:dyDescent="0.25">
      <c r="I6269" s="3"/>
      <c r="J6269" s="3"/>
      <c r="K6269" s="3"/>
      <c r="L6269" s="3"/>
    </row>
    <row r="6270" spans="9:12" x14ac:dyDescent="0.25">
      <c r="I6270" s="3"/>
      <c r="J6270" s="3"/>
      <c r="K6270" s="3"/>
      <c r="L6270" s="3"/>
    </row>
    <row r="6271" spans="9:12" x14ac:dyDescent="0.25">
      <c r="I6271" s="3"/>
      <c r="J6271" s="3"/>
      <c r="K6271" s="3"/>
      <c r="L6271" s="3"/>
    </row>
    <row r="6272" spans="9:12" x14ac:dyDescent="0.25">
      <c r="I6272" s="3"/>
      <c r="J6272" s="3"/>
      <c r="K6272" s="3"/>
      <c r="L6272" s="3"/>
    </row>
    <row r="6273" spans="9:12" x14ac:dyDescent="0.25">
      <c r="I6273" s="3"/>
      <c r="J6273" s="3"/>
      <c r="K6273" s="3"/>
      <c r="L6273" s="3"/>
    </row>
    <row r="6274" spans="9:12" x14ac:dyDescent="0.25">
      <c r="I6274" s="3"/>
      <c r="J6274" s="3"/>
      <c r="K6274" s="3"/>
      <c r="L6274" s="3"/>
    </row>
    <row r="6275" spans="9:12" x14ac:dyDescent="0.25">
      <c r="I6275" s="3"/>
      <c r="J6275" s="3"/>
      <c r="K6275" s="3"/>
      <c r="L6275" s="3"/>
    </row>
    <row r="6276" spans="9:12" x14ac:dyDescent="0.25">
      <c r="I6276" s="3"/>
      <c r="J6276" s="3"/>
      <c r="K6276" s="3"/>
      <c r="L6276" s="3"/>
    </row>
    <row r="6277" spans="9:12" x14ac:dyDescent="0.25">
      <c r="I6277" s="3"/>
      <c r="J6277" s="3"/>
      <c r="K6277" s="3"/>
      <c r="L6277" s="3"/>
    </row>
    <row r="6278" spans="9:12" x14ac:dyDescent="0.25">
      <c r="I6278" s="3"/>
      <c r="J6278" s="3"/>
      <c r="K6278" s="3"/>
      <c r="L6278" s="3"/>
    </row>
    <row r="6279" spans="9:12" x14ac:dyDescent="0.25">
      <c r="I6279" s="3"/>
      <c r="J6279" s="3"/>
      <c r="K6279" s="3"/>
      <c r="L6279" s="3"/>
    </row>
    <row r="6280" spans="9:12" x14ac:dyDescent="0.25">
      <c r="I6280" s="3"/>
      <c r="J6280" s="3"/>
      <c r="K6280" s="3"/>
      <c r="L6280" s="3"/>
    </row>
    <row r="6281" spans="9:12" x14ac:dyDescent="0.25">
      <c r="I6281" s="3"/>
      <c r="J6281" s="3"/>
      <c r="K6281" s="3"/>
      <c r="L6281" s="3"/>
    </row>
    <row r="6282" spans="9:12" x14ac:dyDescent="0.25">
      <c r="I6282" s="3"/>
      <c r="J6282" s="3"/>
      <c r="K6282" s="3"/>
      <c r="L6282" s="3"/>
    </row>
    <row r="6283" spans="9:12" x14ac:dyDescent="0.25">
      <c r="I6283" s="3"/>
      <c r="J6283" s="3"/>
      <c r="K6283" s="3"/>
      <c r="L6283" s="3"/>
    </row>
    <row r="6284" spans="9:12" x14ac:dyDescent="0.25">
      <c r="I6284" s="3"/>
      <c r="J6284" s="3"/>
      <c r="K6284" s="3"/>
      <c r="L6284" s="3"/>
    </row>
    <row r="6285" spans="9:12" x14ac:dyDescent="0.25">
      <c r="I6285" s="3"/>
      <c r="J6285" s="3"/>
      <c r="K6285" s="3"/>
      <c r="L6285" s="3"/>
    </row>
    <row r="6286" spans="9:12" x14ac:dyDescent="0.25">
      <c r="I6286" s="3"/>
      <c r="J6286" s="3"/>
      <c r="K6286" s="3"/>
      <c r="L6286" s="3"/>
    </row>
    <row r="6287" spans="9:12" x14ac:dyDescent="0.25">
      <c r="I6287" s="3"/>
      <c r="J6287" s="3"/>
      <c r="K6287" s="3"/>
      <c r="L6287" s="3"/>
    </row>
    <row r="6288" spans="9:12" x14ac:dyDescent="0.25">
      <c r="I6288" s="3"/>
      <c r="J6288" s="3"/>
      <c r="K6288" s="3"/>
      <c r="L6288" s="3"/>
    </row>
    <row r="6289" spans="9:12" x14ac:dyDescent="0.25">
      <c r="I6289" s="3"/>
      <c r="J6289" s="3"/>
      <c r="K6289" s="3"/>
      <c r="L6289" s="3"/>
    </row>
    <row r="6290" spans="9:12" x14ac:dyDescent="0.25">
      <c r="I6290" s="3"/>
      <c r="J6290" s="3"/>
      <c r="K6290" s="3"/>
      <c r="L6290" s="3"/>
    </row>
    <row r="6291" spans="9:12" x14ac:dyDescent="0.25">
      <c r="I6291" s="3"/>
      <c r="J6291" s="3"/>
      <c r="K6291" s="3"/>
      <c r="L6291" s="3"/>
    </row>
    <row r="6292" spans="9:12" x14ac:dyDescent="0.25">
      <c r="I6292" s="3"/>
      <c r="J6292" s="3"/>
      <c r="K6292" s="3"/>
      <c r="L6292" s="3"/>
    </row>
    <row r="6293" spans="9:12" x14ac:dyDescent="0.25">
      <c r="I6293" s="3"/>
      <c r="J6293" s="3"/>
      <c r="K6293" s="3"/>
      <c r="L6293" s="3"/>
    </row>
    <row r="6294" spans="9:12" x14ac:dyDescent="0.25">
      <c r="I6294" s="3"/>
      <c r="J6294" s="3"/>
      <c r="K6294" s="3"/>
      <c r="L6294" s="3"/>
    </row>
    <row r="6295" spans="9:12" x14ac:dyDescent="0.25">
      <c r="I6295" s="3"/>
      <c r="J6295" s="3"/>
      <c r="K6295" s="3"/>
      <c r="L6295" s="3"/>
    </row>
    <row r="6296" spans="9:12" x14ac:dyDescent="0.25">
      <c r="I6296" s="3"/>
      <c r="J6296" s="3"/>
      <c r="K6296" s="3"/>
      <c r="L6296" s="3"/>
    </row>
    <row r="6297" spans="9:12" x14ac:dyDescent="0.25">
      <c r="I6297" s="3"/>
      <c r="J6297" s="3"/>
      <c r="K6297" s="3"/>
      <c r="L6297" s="3"/>
    </row>
    <row r="6298" spans="9:12" x14ac:dyDescent="0.25">
      <c r="I6298" s="3"/>
      <c r="J6298" s="3"/>
      <c r="K6298" s="3"/>
      <c r="L6298" s="3"/>
    </row>
    <row r="6299" spans="9:12" x14ac:dyDescent="0.25">
      <c r="I6299" s="3"/>
      <c r="J6299" s="3"/>
      <c r="K6299" s="3"/>
      <c r="L6299" s="3"/>
    </row>
    <row r="6300" spans="9:12" x14ac:dyDescent="0.25">
      <c r="I6300" s="3"/>
      <c r="J6300" s="3"/>
      <c r="K6300" s="3"/>
      <c r="L6300" s="3"/>
    </row>
    <row r="6301" spans="9:12" x14ac:dyDescent="0.25">
      <c r="I6301" s="3"/>
      <c r="J6301" s="3"/>
      <c r="K6301" s="3"/>
      <c r="L6301" s="3"/>
    </row>
    <row r="6302" spans="9:12" x14ac:dyDescent="0.25">
      <c r="I6302" s="3"/>
      <c r="J6302" s="3"/>
      <c r="K6302" s="3"/>
      <c r="L6302" s="3"/>
    </row>
    <row r="6303" spans="9:12" x14ac:dyDescent="0.25">
      <c r="I6303" s="3"/>
      <c r="J6303" s="3"/>
      <c r="K6303" s="3"/>
      <c r="L6303" s="3"/>
    </row>
    <row r="6304" spans="9:12" x14ac:dyDescent="0.25">
      <c r="I6304" s="3"/>
      <c r="J6304" s="3"/>
      <c r="K6304" s="3"/>
      <c r="L6304" s="3"/>
    </row>
    <row r="6305" spans="9:12" x14ac:dyDescent="0.25">
      <c r="I6305" s="3"/>
      <c r="J6305" s="3"/>
      <c r="K6305" s="3"/>
      <c r="L6305" s="3"/>
    </row>
    <row r="6306" spans="9:12" x14ac:dyDescent="0.25">
      <c r="I6306" s="3"/>
      <c r="J6306" s="3"/>
      <c r="K6306" s="3"/>
      <c r="L6306" s="3"/>
    </row>
    <row r="6307" spans="9:12" x14ac:dyDescent="0.25">
      <c r="I6307" s="3"/>
      <c r="J6307" s="3"/>
      <c r="K6307" s="3"/>
      <c r="L6307" s="3"/>
    </row>
    <row r="6308" spans="9:12" x14ac:dyDescent="0.25">
      <c r="I6308" s="3"/>
      <c r="J6308" s="3"/>
      <c r="K6308" s="3"/>
      <c r="L6308" s="3"/>
    </row>
    <row r="6309" spans="9:12" x14ac:dyDescent="0.25">
      <c r="I6309" s="3"/>
      <c r="J6309" s="3"/>
      <c r="K6309" s="3"/>
      <c r="L6309" s="3"/>
    </row>
    <row r="6310" spans="9:12" x14ac:dyDescent="0.25">
      <c r="I6310" s="3"/>
      <c r="J6310" s="3"/>
      <c r="K6310" s="3"/>
      <c r="L6310" s="3"/>
    </row>
    <row r="6311" spans="9:12" x14ac:dyDescent="0.25">
      <c r="I6311" s="3"/>
      <c r="J6311" s="3"/>
      <c r="K6311" s="3"/>
      <c r="L6311" s="3"/>
    </row>
    <row r="6312" spans="9:12" x14ac:dyDescent="0.25">
      <c r="I6312" s="3"/>
      <c r="J6312" s="3"/>
      <c r="K6312" s="3"/>
      <c r="L6312" s="3"/>
    </row>
    <row r="6313" spans="9:12" x14ac:dyDescent="0.25">
      <c r="I6313" s="3"/>
      <c r="J6313" s="3"/>
      <c r="K6313" s="3"/>
      <c r="L6313" s="3"/>
    </row>
    <row r="6314" spans="9:12" x14ac:dyDescent="0.25">
      <c r="I6314" s="3"/>
      <c r="J6314" s="3"/>
      <c r="K6314" s="3"/>
      <c r="L6314" s="3"/>
    </row>
    <row r="6315" spans="9:12" x14ac:dyDescent="0.25">
      <c r="I6315" s="3"/>
      <c r="J6315" s="3"/>
      <c r="K6315" s="3"/>
      <c r="L6315" s="3"/>
    </row>
    <row r="6316" spans="9:12" x14ac:dyDescent="0.25">
      <c r="I6316" s="3"/>
      <c r="J6316" s="3"/>
      <c r="K6316" s="3"/>
      <c r="L6316" s="3"/>
    </row>
    <row r="6317" spans="9:12" x14ac:dyDescent="0.25">
      <c r="I6317" s="3"/>
      <c r="J6317" s="3"/>
      <c r="K6317" s="3"/>
      <c r="L6317" s="3"/>
    </row>
    <row r="6318" spans="9:12" x14ac:dyDescent="0.25">
      <c r="I6318" s="3"/>
      <c r="J6318" s="3"/>
      <c r="K6318" s="3"/>
      <c r="L6318" s="3"/>
    </row>
    <row r="6319" spans="9:12" x14ac:dyDescent="0.25">
      <c r="I6319" s="3"/>
      <c r="J6319" s="3"/>
      <c r="K6319" s="3"/>
      <c r="L6319" s="3"/>
    </row>
    <row r="6320" spans="9:12" x14ac:dyDescent="0.25">
      <c r="I6320" s="3"/>
      <c r="J6320" s="3"/>
      <c r="K6320" s="3"/>
      <c r="L6320" s="3"/>
    </row>
    <row r="6321" spans="9:12" x14ac:dyDescent="0.25">
      <c r="I6321" s="3"/>
      <c r="J6321" s="3"/>
      <c r="K6321" s="3"/>
      <c r="L6321" s="3"/>
    </row>
    <row r="6322" spans="9:12" x14ac:dyDescent="0.25">
      <c r="I6322" s="3"/>
      <c r="J6322" s="3"/>
      <c r="K6322" s="3"/>
      <c r="L6322" s="3"/>
    </row>
    <row r="6323" spans="9:12" x14ac:dyDescent="0.25">
      <c r="I6323" s="3"/>
      <c r="J6323" s="3"/>
      <c r="K6323" s="3"/>
      <c r="L6323" s="3"/>
    </row>
    <row r="6324" spans="9:12" x14ac:dyDescent="0.25">
      <c r="I6324" s="3"/>
      <c r="J6324" s="3"/>
      <c r="K6324" s="3"/>
      <c r="L6324" s="3"/>
    </row>
    <row r="6325" spans="9:12" x14ac:dyDescent="0.25">
      <c r="I6325" s="3"/>
      <c r="J6325" s="3"/>
      <c r="K6325" s="3"/>
      <c r="L6325" s="3"/>
    </row>
    <row r="6326" spans="9:12" x14ac:dyDescent="0.25">
      <c r="I6326" s="3"/>
      <c r="J6326" s="3"/>
      <c r="K6326" s="3"/>
      <c r="L6326" s="3"/>
    </row>
    <row r="6327" spans="9:12" x14ac:dyDescent="0.25">
      <c r="I6327" s="3"/>
      <c r="J6327" s="3"/>
      <c r="K6327" s="3"/>
      <c r="L6327" s="3"/>
    </row>
    <row r="6328" spans="9:12" x14ac:dyDescent="0.25">
      <c r="I6328" s="3"/>
      <c r="J6328" s="3"/>
      <c r="K6328" s="3"/>
      <c r="L6328" s="3"/>
    </row>
    <row r="6329" spans="9:12" x14ac:dyDescent="0.25">
      <c r="I6329" s="3"/>
      <c r="J6329" s="3"/>
      <c r="K6329" s="3"/>
      <c r="L6329" s="3"/>
    </row>
    <row r="6330" spans="9:12" x14ac:dyDescent="0.25">
      <c r="I6330" s="3"/>
      <c r="J6330" s="3"/>
      <c r="K6330" s="3"/>
      <c r="L6330" s="3"/>
    </row>
    <row r="6331" spans="9:12" x14ac:dyDescent="0.25">
      <c r="I6331" s="3"/>
      <c r="J6331" s="3"/>
      <c r="K6331" s="3"/>
      <c r="L6331" s="3"/>
    </row>
    <row r="6332" spans="9:12" x14ac:dyDescent="0.25">
      <c r="I6332" s="3"/>
      <c r="J6332" s="3"/>
      <c r="K6332" s="3"/>
      <c r="L6332" s="3"/>
    </row>
    <row r="6333" spans="9:12" x14ac:dyDescent="0.25">
      <c r="I6333" s="3"/>
      <c r="J6333" s="3"/>
      <c r="K6333" s="3"/>
      <c r="L6333" s="3"/>
    </row>
    <row r="6334" spans="9:12" x14ac:dyDescent="0.25">
      <c r="I6334" s="3"/>
      <c r="J6334" s="3"/>
      <c r="K6334" s="3"/>
      <c r="L6334" s="3"/>
    </row>
    <row r="6335" spans="9:12" x14ac:dyDescent="0.25">
      <c r="I6335" s="3"/>
      <c r="J6335" s="3"/>
      <c r="K6335" s="3"/>
      <c r="L6335" s="3"/>
    </row>
    <row r="6336" spans="9:12" x14ac:dyDescent="0.25">
      <c r="I6336" s="3"/>
      <c r="J6336" s="3"/>
      <c r="K6336" s="3"/>
      <c r="L6336" s="3"/>
    </row>
    <row r="6337" spans="9:12" x14ac:dyDescent="0.25">
      <c r="I6337" s="3"/>
      <c r="J6337" s="3"/>
      <c r="K6337" s="3"/>
      <c r="L6337" s="3"/>
    </row>
    <row r="6338" spans="9:12" x14ac:dyDescent="0.25">
      <c r="I6338" s="3"/>
      <c r="J6338" s="3"/>
      <c r="K6338" s="3"/>
      <c r="L6338" s="3"/>
    </row>
    <row r="6339" spans="9:12" x14ac:dyDescent="0.25">
      <c r="I6339" s="3"/>
      <c r="J6339" s="3"/>
      <c r="K6339" s="3"/>
      <c r="L6339" s="3"/>
    </row>
    <row r="6340" spans="9:12" x14ac:dyDescent="0.25">
      <c r="I6340" s="3"/>
      <c r="J6340" s="3"/>
      <c r="K6340" s="3"/>
      <c r="L6340" s="3"/>
    </row>
    <row r="6341" spans="9:12" x14ac:dyDescent="0.25">
      <c r="I6341" s="3"/>
      <c r="J6341" s="3"/>
      <c r="K6341" s="3"/>
      <c r="L6341" s="3"/>
    </row>
    <row r="6342" spans="9:12" x14ac:dyDescent="0.25">
      <c r="I6342" s="3"/>
      <c r="J6342" s="3"/>
      <c r="K6342" s="3"/>
      <c r="L6342" s="3"/>
    </row>
    <row r="6343" spans="9:12" x14ac:dyDescent="0.25">
      <c r="I6343" s="3"/>
      <c r="J6343" s="3"/>
      <c r="K6343" s="3"/>
      <c r="L6343" s="3"/>
    </row>
    <row r="6344" spans="9:12" x14ac:dyDescent="0.25">
      <c r="I6344" s="3"/>
      <c r="J6344" s="3"/>
      <c r="K6344" s="3"/>
      <c r="L6344" s="3"/>
    </row>
    <row r="6345" spans="9:12" x14ac:dyDescent="0.25">
      <c r="I6345" s="3"/>
      <c r="J6345" s="3"/>
      <c r="K6345" s="3"/>
      <c r="L6345" s="3"/>
    </row>
    <row r="6346" spans="9:12" x14ac:dyDescent="0.25">
      <c r="I6346" s="3"/>
      <c r="J6346" s="3"/>
      <c r="K6346" s="3"/>
      <c r="L6346" s="3"/>
    </row>
    <row r="6347" spans="9:12" x14ac:dyDescent="0.25">
      <c r="I6347" s="3"/>
      <c r="J6347" s="3"/>
      <c r="K6347" s="3"/>
      <c r="L6347" s="3"/>
    </row>
    <row r="6348" spans="9:12" x14ac:dyDescent="0.25">
      <c r="I6348" s="3"/>
      <c r="J6348" s="3"/>
      <c r="K6348" s="3"/>
      <c r="L6348" s="3"/>
    </row>
    <row r="6349" spans="9:12" x14ac:dyDescent="0.25">
      <c r="I6349" s="3"/>
      <c r="J6349" s="3"/>
      <c r="K6349" s="3"/>
      <c r="L6349" s="3"/>
    </row>
    <row r="6350" spans="9:12" x14ac:dyDescent="0.25">
      <c r="I6350" s="3"/>
      <c r="J6350" s="3"/>
      <c r="K6350" s="3"/>
      <c r="L6350" s="3"/>
    </row>
    <row r="6351" spans="9:12" x14ac:dyDescent="0.25">
      <c r="I6351" s="3"/>
      <c r="J6351" s="3"/>
      <c r="K6351" s="3"/>
      <c r="L6351" s="3"/>
    </row>
    <row r="6352" spans="9:12" x14ac:dyDescent="0.25">
      <c r="I6352" s="3"/>
      <c r="J6352" s="3"/>
      <c r="K6352" s="3"/>
      <c r="L6352" s="3"/>
    </row>
    <row r="6353" spans="9:12" x14ac:dyDescent="0.25">
      <c r="I6353" s="3"/>
      <c r="J6353" s="3"/>
      <c r="K6353" s="3"/>
      <c r="L6353" s="3"/>
    </row>
    <row r="6354" spans="9:12" x14ac:dyDescent="0.25">
      <c r="I6354" s="3"/>
      <c r="J6354" s="3"/>
      <c r="K6354" s="3"/>
      <c r="L6354" s="3"/>
    </row>
    <row r="6355" spans="9:12" x14ac:dyDescent="0.25">
      <c r="I6355" s="3"/>
      <c r="J6355" s="3"/>
      <c r="K6355" s="3"/>
      <c r="L6355" s="3"/>
    </row>
    <row r="6356" spans="9:12" x14ac:dyDescent="0.25">
      <c r="I6356" s="3"/>
      <c r="J6356" s="3"/>
      <c r="K6356" s="3"/>
      <c r="L6356" s="3"/>
    </row>
    <row r="6357" spans="9:12" x14ac:dyDescent="0.25">
      <c r="I6357" s="3"/>
      <c r="J6357" s="3"/>
      <c r="K6357" s="3"/>
      <c r="L6357" s="3"/>
    </row>
    <row r="6358" spans="9:12" x14ac:dyDescent="0.25">
      <c r="I6358" s="3"/>
      <c r="J6358" s="3"/>
      <c r="K6358" s="3"/>
      <c r="L6358" s="3"/>
    </row>
    <row r="6359" spans="9:12" x14ac:dyDescent="0.25">
      <c r="I6359" s="3"/>
      <c r="J6359" s="3"/>
      <c r="K6359" s="3"/>
      <c r="L6359" s="3"/>
    </row>
    <row r="6360" spans="9:12" x14ac:dyDescent="0.25">
      <c r="I6360" s="3"/>
      <c r="J6360" s="3"/>
      <c r="K6360" s="3"/>
      <c r="L6360" s="3"/>
    </row>
    <row r="6361" spans="9:12" x14ac:dyDescent="0.25">
      <c r="I6361" s="3"/>
      <c r="J6361" s="3"/>
      <c r="K6361" s="3"/>
      <c r="L6361" s="3"/>
    </row>
    <row r="6362" spans="9:12" x14ac:dyDescent="0.25">
      <c r="I6362" s="3"/>
      <c r="J6362" s="3"/>
      <c r="K6362" s="3"/>
      <c r="L6362" s="3"/>
    </row>
    <row r="6363" spans="9:12" x14ac:dyDescent="0.25">
      <c r="I6363" s="3"/>
      <c r="J6363" s="3"/>
      <c r="K6363" s="3"/>
      <c r="L6363" s="3"/>
    </row>
    <row r="6364" spans="9:12" x14ac:dyDescent="0.25">
      <c r="I6364" s="3"/>
      <c r="J6364" s="3"/>
      <c r="K6364" s="3"/>
      <c r="L6364" s="3"/>
    </row>
    <row r="6365" spans="9:12" x14ac:dyDescent="0.25">
      <c r="I6365" s="3"/>
      <c r="J6365" s="3"/>
      <c r="K6365" s="3"/>
      <c r="L6365" s="3"/>
    </row>
    <row r="6366" spans="9:12" x14ac:dyDescent="0.25">
      <c r="I6366" s="3"/>
      <c r="J6366" s="3"/>
      <c r="K6366" s="3"/>
      <c r="L6366" s="3"/>
    </row>
    <row r="6367" spans="9:12" x14ac:dyDescent="0.25">
      <c r="I6367" s="3"/>
      <c r="J6367" s="3"/>
      <c r="K6367" s="3"/>
      <c r="L6367" s="3"/>
    </row>
    <row r="6368" spans="9:12" x14ac:dyDescent="0.25">
      <c r="I6368" s="3"/>
      <c r="J6368" s="3"/>
      <c r="K6368" s="3"/>
      <c r="L6368" s="3"/>
    </row>
    <row r="6369" spans="9:12" x14ac:dyDescent="0.25">
      <c r="I6369" s="3"/>
      <c r="J6369" s="3"/>
      <c r="K6369" s="3"/>
      <c r="L6369" s="3"/>
    </row>
    <row r="6370" spans="9:12" x14ac:dyDescent="0.25">
      <c r="I6370" s="3"/>
      <c r="J6370" s="3"/>
      <c r="K6370" s="3"/>
      <c r="L6370" s="3"/>
    </row>
    <row r="6371" spans="9:12" x14ac:dyDescent="0.25">
      <c r="I6371" s="3"/>
      <c r="J6371" s="3"/>
      <c r="K6371" s="3"/>
      <c r="L6371" s="3"/>
    </row>
    <row r="6372" spans="9:12" x14ac:dyDescent="0.25">
      <c r="I6372" s="3"/>
      <c r="J6372" s="3"/>
      <c r="K6372" s="3"/>
      <c r="L6372" s="3"/>
    </row>
    <row r="6373" spans="9:12" x14ac:dyDescent="0.25">
      <c r="I6373" s="3"/>
      <c r="J6373" s="3"/>
      <c r="K6373" s="3"/>
      <c r="L6373" s="3"/>
    </row>
    <row r="6374" spans="9:12" x14ac:dyDescent="0.25">
      <c r="I6374" s="3"/>
      <c r="J6374" s="3"/>
      <c r="K6374" s="3"/>
      <c r="L6374" s="3"/>
    </row>
    <row r="6375" spans="9:12" x14ac:dyDescent="0.25">
      <c r="I6375" s="3"/>
      <c r="J6375" s="3"/>
      <c r="K6375" s="3"/>
      <c r="L6375" s="3"/>
    </row>
    <row r="6376" spans="9:12" x14ac:dyDescent="0.25">
      <c r="I6376" s="3"/>
      <c r="J6376" s="3"/>
      <c r="K6376" s="3"/>
      <c r="L6376" s="3"/>
    </row>
    <row r="6377" spans="9:12" x14ac:dyDescent="0.25">
      <c r="I6377" s="3"/>
      <c r="J6377" s="3"/>
      <c r="K6377" s="3"/>
      <c r="L6377" s="3"/>
    </row>
    <row r="6378" spans="9:12" x14ac:dyDescent="0.25">
      <c r="I6378" s="3"/>
      <c r="J6378" s="3"/>
      <c r="K6378" s="3"/>
      <c r="L6378" s="3"/>
    </row>
    <row r="6379" spans="9:12" x14ac:dyDescent="0.25">
      <c r="I6379" s="3"/>
      <c r="J6379" s="3"/>
      <c r="K6379" s="3"/>
      <c r="L6379" s="3"/>
    </row>
    <row r="6380" spans="9:12" x14ac:dyDescent="0.25">
      <c r="I6380" s="3"/>
      <c r="J6380" s="3"/>
      <c r="K6380" s="3"/>
      <c r="L6380" s="3"/>
    </row>
    <row r="6381" spans="9:12" x14ac:dyDescent="0.25">
      <c r="I6381" s="3"/>
      <c r="J6381" s="3"/>
      <c r="K6381" s="3"/>
      <c r="L6381" s="3"/>
    </row>
    <row r="6382" spans="9:12" x14ac:dyDescent="0.25">
      <c r="I6382" s="3"/>
      <c r="J6382" s="3"/>
      <c r="K6382" s="3"/>
      <c r="L6382" s="3"/>
    </row>
    <row r="6383" spans="9:12" x14ac:dyDescent="0.25">
      <c r="I6383" s="3"/>
      <c r="J6383" s="3"/>
      <c r="K6383" s="3"/>
      <c r="L6383" s="3"/>
    </row>
    <row r="6384" spans="9:12" x14ac:dyDescent="0.25">
      <c r="I6384" s="3"/>
      <c r="J6384" s="3"/>
      <c r="K6384" s="3"/>
      <c r="L6384" s="3"/>
    </row>
    <row r="6385" spans="9:12" x14ac:dyDescent="0.25">
      <c r="I6385" s="3"/>
      <c r="J6385" s="3"/>
      <c r="K6385" s="3"/>
      <c r="L6385" s="3"/>
    </row>
    <row r="6386" spans="9:12" x14ac:dyDescent="0.25">
      <c r="I6386" s="3"/>
      <c r="J6386" s="3"/>
      <c r="K6386" s="3"/>
      <c r="L6386" s="3"/>
    </row>
    <row r="6387" spans="9:12" x14ac:dyDescent="0.25">
      <c r="I6387" s="3"/>
      <c r="J6387" s="3"/>
      <c r="K6387" s="3"/>
      <c r="L6387" s="3"/>
    </row>
    <row r="6388" spans="9:12" x14ac:dyDescent="0.25">
      <c r="I6388" s="3"/>
      <c r="J6388" s="3"/>
      <c r="K6388" s="3"/>
      <c r="L6388" s="3"/>
    </row>
    <row r="6389" spans="9:12" x14ac:dyDescent="0.25">
      <c r="I6389" s="3"/>
      <c r="J6389" s="3"/>
      <c r="K6389" s="3"/>
      <c r="L6389" s="3"/>
    </row>
    <row r="6390" spans="9:12" x14ac:dyDescent="0.25">
      <c r="I6390" s="3"/>
      <c r="J6390" s="3"/>
      <c r="K6390" s="3"/>
      <c r="L6390" s="3"/>
    </row>
    <row r="6391" spans="9:12" x14ac:dyDescent="0.25">
      <c r="I6391" s="3"/>
      <c r="J6391" s="3"/>
      <c r="K6391" s="3"/>
      <c r="L6391" s="3"/>
    </row>
    <row r="6392" spans="9:12" x14ac:dyDescent="0.25">
      <c r="I6392" s="3"/>
      <c r="J6392" s="3"/>
      <c r="K6392" s="3"/>
      <c r="L6392" s="3"/>
    </row>
    <row r="6393" spans="9:12" x14ac:dyDescent="0.25">
      <c r="I6393" s="3"/>
      <c r="J6393" s="3"/>
      <c r="K6393" s="3"/>
      <c r="L6393" s="3"/>
    </row>
    <row r="6394" spans="9:12" x14ac:dyDescent="0.25">
      <c r="I6394" s="3"/>
      <c r="J6394" s="3"/>
      <c r="K6394" s="3"/>
      <c r="L6394" s="3"/>
    </row>
    <row r="6395" spans="9:12" x14ac:dyDescent="0.25">
      <c r="I6395" s="3"/>
      <c r="J6395" s="3"/>
      <c r="K6395" s="3"/>
      <c r="L6395" s="3"/>
    </row>
    <row r="6396" spans="9:12" x14ac:dyDescent="0.25">
      <c r="I6396" s="3"/>
      <c r="J6396" s="3"/>
      <c r="K6396" s="3"/>
      <c r="L6396" s="3"/>
    </row>
    <row r="6397" spans="9:12" x14ac:dyDescent="0.25">
      <c r="I6397" s="3"/>
      <c r="J6397" s="3"/>
      <c r="K6397" s="3"/>
      <c r="L6397" s="3"/>
    </row>
    <row r="6398" spans="9:12" x14ac:dyDescent="0.25">
      <c r="I6398" s="3"/>
      <c r="J6398" s="3"/>
      <c r="K6398" s="3"/>
      <c r="L6398" s="3"/>
    </row>
    <row r="6399" spans="9:12" x14ac:dyDescent="0.25">
      <c r="I6399" s="3"/>
      <c r="J6399" s="3"/>
      <c r="K6399" s="3"/>
      <c r="L6399" s="3"/>
    </row>
    <row r="6400" spans="9:12" x14ac:dyDescent="0.25">
      <c r="I6400" s="3"/>
      <c r="J6400" s="3"/>
      <c r="K6400" s="3"/>
      <c r="L6400" s="3"/>
    </row>
    <row r="6401" spans="9:12" x14ac:dyDescent="0.25">
      <c r="I6401" s="3"/>
      <c r="J6401" s="3"/>
      <c r="K6401" s="3"/>
      <c r="L6401" s="3"/>
    </row>
    <row r="6402" spans="9:12" x14ac:dyDescent="0.25">
      <c r="I6402" s="3"/>
      <c r="J6402" s="3"/>
      <c r="K6402" s="3"/>
      <c r="L6402" s="3"/>
    </row>
    <row r="6403" spans="9:12" x14ac:dyDescent="0.25">
      <c r="I6403" s="3"/>
      <c r="J6403" s="3"/>
      <c r="K6403" s="3"/>
      <c r="L6403" s="3"/>
    </row>
    <row r="6404" spans="9:12" x14ac:dyDescent="0.25">
      <c r="I6404" s="3"/>
      <c r="J6404" s="3"/>
      <c r="K6404" s="3"/>
      <c r="L6404" s="3"/>
    </row>
    <row r="6405" spans="9:12" x14ac:dyDescent="0.25">
      <c r="I6405" s="3"/>
      <c r="J6405" s="3"/>
      <c r="K6405" s="3"/>
      <c r="L6405" s="3"/>
    </row>
    <row r="6406" spans="9:12" x14ac:dyDescent="0.25">
      <c r="I6406" s="3"/>
      <c r="J6406" s="3"/>
      <c r="K6406" s="3"/>
      <c r="L6406" s="3"/>
    </row>
    <row r="6407" spans="9:12" x14ac:dyDescent="0.25">
      <c r="I6407" s="3"/>
      <c r="J6407" s="3"/>
      <c r="K6407" s="3"/>
      <c r="L6407" s="3"/>
    </row>
    <row r="6408" spans="9:12" x14ac:dyDescent="0.25">
      <c r="I6408" s="3"/>
      <c r="J6408" s="3"/>
      <c r="K6408" s="3"/>
      <c r="L6408" s="3"/>
    </row>
    <row r="6409" spans="9:12" x14ac:dyDescent="0.25">
      <c r="I6409" s="3"/>
      <c r="J6409" s="3"/>
      <c r="K6409" s="3"/>
      <c r="L6409" s="3"/>
    </row>
    <row r="6410" spans="9:12" x14ac:dyDescent="0.25">
      <c r="I6410" s="3"/>
      <c r="J6410" s="3"/>
      <c r="K6410" s="3"/>
      <c r="L6410" s="3"/>
    </row>
    <row r="6411" spans="9:12" x14ac:dyDescent="0.25">
      <c r="I6411" s="3"/>
      <c r="J6411" s="3"/>
      <c r="K6411" s="3"/>
      <c r="L6411" s="3"/>
    </row>
    <row r="6412" spans="9:12" x14ac:dyDescent="0.25">
      <c r="I6412" s="3"/>
      <c r="J6412" s="3"/>
      <c r="K6412" s="3"/>
      <c r="L6412" s="3"/>
    </row>
    <row r="6413" spans="9:12" x14ac:dyDescent="0.25">
      <c r="I6413" s="3"/>
      <c r="J6413" s="3"/>
      <c r="K6413" s="3"/>
      <c r="L6413" s="3"/>
    </row>
    <row r="6414" spans="9:12" x14ac:dyDescent="0.25">
      <c r="I6414" s="3"/>
      <c r="J6414" s="3"/>
      <c r="K6414" s="3"/>
      <c r="L6414" s="3"/>
    </row>
    <row r="6415" spans="9:12" x14ac:dyDescent="0.25">
      <c r="I6415" s="3"/>
      <c r="J6415" s="3"/>
      <c r="K6415" s="3"/>
      <c r="L6415" s="3"/>
    </row>
    <row r="6416" spans="9:12" x14ac:dyDescent="0.25">
      <c r="I6416" s="3"/>
      <c r="J6416" s="3"/>
      <c r="K6416" s="3"/>
      <c r="L6416" s="3"/>
    </row>
    <row r="6417" spans="9:12" x14ac:dyDescent="0.25">
      <c r="I6417" s="3"/>
      <c r="J6417" s="3"/>
      <c r="K6417" s="3"/>
      <c r="L6417" s="3"/>
    </row>
    <row r="6418" spans="9:12" x14ac:dyDescent="0.25">
      <c r="I6418" s="3"/>
      <c r="J6418" s="3"/>
      <c r="K6418" s="3"/>
      <c r="L6418" s="3"/>
    </row>
    <row r="6419" spans="9:12" x14ac:dyDescent="0.25">
      <c r="I6419" s="3"/>
      <c r="J6419" s="3"/>
      <c r="K6419" s="3"/>
      <c r="L6419" s="3"/>
    </row>
    <row r="6420" spans="9:12" x14ac:dyDescent="0.25">
      <c r="I6420" s="3"/>
      <c r="J6420" s="3"/>
      <c r="K6420" s="3"/>
      <c r="L6420" s="3"/>
    </row>
    <row r="6421" spans="9:12" x14ac:dyDescent="0.25">
      <c r="I6421" s="3"/>
      <c r="J6421" s="3"/>
      <c r="K6421" s="3"/>
      <c r="L6421" s="3"/>
    </row>
    <row r="6422" spans="9:12" x14ac:dyDescent="0.25">
      <c r="I6422" s="3"/>
      <c r="J6422" s="3"/>
      <c r="K6422" s="3"/>
      <c r="L6422" s="3"/>
    </row>
    <row r="6423" spans="9:12" x14ac:dyDescent="0.25">
      <c r="I6423" s="3"/>
      <c r="J6423" s="3"/>
      <c r="K6423" s="3"/>
      <c r="L6423" s="3"/>
    </row>
    <row r="6424" spans="9:12" x14ac:dyDescent="0.25">
      <c r="I6424" s="3"/>
      <c r="J6424" s="3"/>
      <c r="K6424" s="3"/>
      <c r="L6424" s="3"/>
    </row>
    <row r="6425" spans="9:12" x14ac:dyDescent="0.25">
      <c r="I6425" s="3"/>
      <c r="J6425" s="3"/>
      <c r="K6425" s="3"/>
      <c r="L6425" s="3"/>
    </row>
    <row r="6426" spans="9:12" x14ac:dyDescent="0.25">
      <c r="I6426" s="3"/>
      <c r="J6426" s="3"/>
      <c r="K6426" s="3"/>
      <c r="L6426" s="3"/>
    </row>
    <row r="6427" spans="9:12" x14ac:dyDescent="0.25">
      <c r="I6427" s="3"/>
      <c r="J6427" s="3"/>
      <c r="K6427" s="3"/>
      <c r="L6427" s="3"/>
    </row>
    <row r="6428" spans="9:12" x14ac:dyDescent="0.25">
      <c r="I6428" s="3"/>
      <c r="J6428" s="3"/>
      <c r="K6428" s="3"/>
      <c r="L6428" s="3"/>
    </row>
    <row r="6429" spans="9:12" x14ac:dyDescent="0.25">
      <c r="I6429" s="3"/>
      <c r="J6429" s="3"/>
      <c r="K6429" s="3"/>
      <c r="L6429" s="3"/>
    </row>
    <row r="6430" spans="9:12" x14ac:dyDescent="0.25">
      <c r="I6430" s="3"/>
      <c r="J6430" s="3"/>
      <c r="K6430" s="3"/>
      <c r="L6430" s="3"/>
    </row>
    <row r="6431" spans="9:12" x14ac:dyDescent="0.25">
      <c r="I6431" s="3"/>
      <c r="J6431" s="3"/>
      <c r="K6431" s="3"/>
      <c r="L6431" s="3"/>
    </row>
    <row r="6432" spans="9:12" x14ac:dyDescent="0.25">
      <c r="I6432" s="3"/>
      <c r="J6432" s="3"/>
      <c r="K6432" s="3"/>
      <c r="L6432" s="3"/>
    </row>
    <row r="6433" spans="9:12" x14ac:dyDescent="0.25">
      <c r="I6433" s="3"/>
      <c r="J6433" s="3"/>
      <c r="K6433" s="3"/>
      <c r="L6433" s="3"/>
    </row>
    <row r="6434" spans="9:12" x14ac:dyDescent="0.25">
      <c r="I6434" s="3"/>
      <c r="J6434" s="3"/>
      <c r="K6434" s="3"/>
      <c r="L6434" s="3"/>
    </row>
    <row r="6435" spans="9:12" x14ac:dyDescent="0.25">
      <c r="I6435" s="3"/>
      <c r="J6435" s="3"/>
      <c r="K6435" s="3"/>
      <c r="L6435" s="3"/>
    </row>
    <row r="6436" spans="9:12" x14ac:dyDescent="0.25">
      <c r="I6436" s="3"/>
      <c r="J6436" s="3"/>
      <c r="K6436" s="3"/>
      <c r="L6436" s="3"/>
    </row>
    <row r="6437" spans="9:12" x14ac:dyDescent="0.25">
      <c r="I6437" s="3"/>
      <c r="J6437" s="3"/>
      <c r="K6437" s="3"/>
      <c r="L6437" s="3"/>
    </row>
    <row r="6438" spans="9:12" x14ac:dyDescent="0.25">
      <c r="I6438" s="3"/>
      <c r="J6438" s="3"/>
      <c r="K6438" s="3"/>
      <c r="L6438" s="3"/>
    </row>
    <row r="6439" spans="9:12" x14ac:dyDescent="0.25">
      <c r="I6439" s="3"/>
      <c r="J6439" s="3"/>
      <c r="K6439" s="3"/>
      <c r="L6439" s="3"/>
    </row>
    <row r="6440" spans="9:12" x14ac:dyDescent="0.25">
      <c r="I6440" s="3"/>
      <c r="J6440" s="3"/>
      <c r="K6440" s="3"/>
      <c r="L6440" s="3"/>
    </row>
    <row r="6441" spans="9:12" x14ac:dyDescent="0.25">
      <c r="I6441" s="3"/>
      <c r="J6441" s="3"/>
      <c r="K6441" s="3"/>
      <c r="L6441" s="3"/>
    </row>
    <row r="6442" spans="9:12" x14ac:dyDescent="0.25">
      <c r="I6442" s="3"/>
      <c r="J6442" s="3"/>
      <c r="K6442" s="3"/>
      <c r="L6442" s="3"/>
    </row>
    <row r="6443" spans="9:12" x14ac:dyDescent="0.25">
      <c r="I6443" s="3"/>
      <c r="J6443" s="3"/>
      <c r="K6443" s="3"/>
      <c r="L6443" s="3"/>
    </row>
    <row r="6444" spans="9:12" x14ac:dyDescent="0.25">
      <c r="I6444" s="3"/>
      <c r="J6444" s="3"/>
      <c r="K6444" s="3"/>
      <c r="L6444" s="3"/>
    </row>
    <row r="6445" spans="9:12" x14ac:dyDescent="0.25">
      <c r="I6445" s="3"/>
      <c r="J6445" s="3"/>
      <c r="K6445" s="3"/>
      <c r="L6445" s="3"/>
    </row>
    <row r="6446" spans="9:12" x14ac:dyDescent="0.25">
      <c r="I6446" s="3"/>
      <c r="J6446" s="3"/>
      <c r="K6446" s="3"/>
      <c r="L6446" s="3"/>
    </row>
    <row r="6447" spans="9:12" x14ac:dyDescent="0.25">
      <c r="I6447" s="3"/>
      <c r="J6447" s="3"/>
      <c r="K6447" s="3"/>
      <c r="L6447" s="3"/>
    </row>
    <row r="6448" spans="9:12" x14ac:dyDescent="0.25">
      <c r="I6448" s="3"/>
      <c r="J6448" s="3"/>
      <c r="K6448" s="3"/>
      <c r="L6448" s="3"/>
    </row>
    <row r="6449" spans="9:12" x14ac:dyDescent="0.25">
      <c r="I6449" s="3"/>
      <c r="J6449" s="3"/>
      <c r="K6449" s="3"/>
      <c r="L6449" s="3"/>
    </row>
    <row r="6450" spans="9:12" x14ac:dyDescent="0.25">
      <c r="I6450" s="3"/>
      <c r="J6450" s="3"/>
      <c r="K6450" s="3"/>
      <c r="L6450" s="3"/>
    </row>
    <row r="6451" spans="9:12" x14ac:dyDescent="0.25">
      <c r="I6451" s="3"/>
      <c r="J6451" s="3"/>
      <c r="K6451" s="3"/>
      <c r="L6451" s="3"/>
    </row>
    <row r="6452" spans="9:12" x14ac:dyDescent="0.25">
      <c r="I6452" s="3"/>
      <c r="J6452" s="3"/>
      <c r="K6452" s="3"/>
      <c r="L6452" s="3"/>
    </row>
    <row r="6453" spans="9:12" x14ac:dyDescent="0.25">
      <c r="I6453" s="3"/>
      <c r="J6453" s="3"/>
      <c r="K6453" s="3"/>
      <c r="L6453" s="3"/>
    </row>
    <row r="6454" spans="9:12" x14ac:dyDescent="0.25">
      <c r="I6454" s="3"/>
      <c r="J6454" s="3"/>
      <c r="K6454" s="3"/>
      <c r="L6454" s="3"/>
    </row>
    <row r="6455" spans="9:12" x14ac:dyDescent="0.25">
      <c r="I6455" s="3"/>
      <c r="J6455" s="3"/>
      <c r="K6455" s="3"/>
      <c r="L6455" s="3"/>
    </row>
    <row r="6456" spans="9:12" x14ac:dyDescent="0.25">
      <c r="I6456" s="3"/>
      <c r="J6456" s="3"/>
      <c r="K6456" s="3"/>
      <c r="L6456" s="3"/>
    </row>
    <row r="6457" spans="9:12" x14ac:dyDescent="0.25">
      <c r="I6457" s="3"/>
      <c r="J6457" s="3"/>
      <c r="K6457" s="3"/>
      <c r="L6457" s="3"/>
    </row>
    <row r="6458" spans="9:12" x14ac:dyDescent="0.25">
      <c r="I6458" s="3"/>
      <c r="J6458" s="3"/>
      <c r="K6458" s="3"/>
      <c r="L6458" s="3"/>
    </row>
    <row r="6459" spans="9:12" x14ac:dyDescent="0.25">
      <c r="I6459" s="3"/>
      <c r="J6459" s="3"/>
      <c r="K6459" s="3"/>
      <c r="L6459" s="3"/>
    </row>
    <row r="6460" spans="9:12" x14ac:dyDescent="0.25">
      <c r="I6460" s="3"/>
      <c r="J6460" s="3"/>
      <c r="K6460" s="3"/>
      <c r="L6460" s="3"/>
    </row>
    <row r="6461" spans="9:12" x14ac:dyDescent="0.25">
      <c r="I6461" s="3"/>
      <c r="J6461" s="3"/>
      <c r="K6461" s="3"/>
      <c r="L6461" s="3"/>
    </row>
    <row r="6462" spans="9:12" x14ac:dyDescent="0.25">
      <c r="I6462" s="3"/>
      <c r="J6462" s="3"/>
      <c r="K6462" s="3"/>
      <c r="L6462" s="3"/>
    </row>
    <row r="6463" spans="9:12" x14ac:dyDescent="0.25">
      <c r="I6463" s="3"/>
      <c r="J6463" s="3"/>
      <c r="K6463" s="3"/>
      <c r="L6463" s="3"/>
    </row>
    <row r="6464" spans="9:12" x14ac:dyDescent="0.25">
      <c r="I6464" s="3"/>
      <c r="J6464" s="3"/>
      <c r="K6464" s="3"/>
      <c r="L6464" s="3"/>
    </row>
    <row r="6465" spans="9:12" x14ac:dyDescent="0.25">
      <c r="I6465" s="3"/>
      <c r="J6465" s="3"/>
      <c r="K6465" s="3"/>
      <c r="L6465" s="3"/>
    </row>
    <row r="6466" spans="9:12" x14ac:dyDescent="0.25">
      <c r="I6466" s="3"/>
      <c r="J6466" s="3"/>
      <c r="K6466" s="3"/>
      <c r="L6466" s="3"/>
    </row>
    <row r="6467" spans="9:12" x14ac:dyDescent="0.25">
      <c r="I6467" s="3"/>
      <c r="J6467" s="3"/>
      <c r="K6467" s="3"/>
      <c r="L6467" s="3"/>
    </row>
    <row r="6468" spans="9:12" x14ac:dyDescent="0.25">
      <c r="I6468" s="3"/>
      <c r="J6468" s="3"/>
      <c r="K6468" s="3"/>
      <c r="L6468" s="3"/>
    </row>
    <row r="6469" spans="9:12" x14ac:dyDescent="0.25">
      <c r="I6469" s="3"/>
      <c r="J6469" s="3"/>
      <c r="K6469" s="3"/>
      <c r="L6469" s="3"/>
    </row>
    <row r="6470" spans="9:12" x14ac:dyDescent="0.25">
      <c r="I6470" s="3"/>
      <c r="J6470" s="3"/>
      <c r="K6470" s="3"/>
      <c r="L6470" s="3"/>
    </row>
    <row r="6471" spans="9:12" x14ac:dyDescent="0.25">
      <c r="I6471" s="3"/>
      <c r="J6471" s="3"/>
      <c r="K6471" s="3"/>
      <c r="L6471" s="3"/>
    </row>
    <row r="6472" spans="9:12" x14ac:dyDescent="0.25">
      <c r="I6472" s="3"/>
      <c r="J6472" s="3"/>
      <c r="K6472" s="3"/>
      <c r="L6472" s="3"/>
    </row>
    <row r="6473" spans="9:12" x14ac:dyDescent="0.25">
      <c r="I6473" s="3"/>
      <c r="J6473" s="3"/>
      <c r="K6473" s="3"/>
      <c r="L6473" s="3"/>
    </row>
    <row r="6474" spans="9:12" x14ac:dyDescent="0.25">
      <c r="I6474" s="3"/>
      <c r="J6474" s="3"/>
      <c r="K6474" s="3"/>
      <c r="L6474" s="3"/>
    </row>
    <row r="6475" spans="9:12" x14ac:dyDescent="0.25">
      <c r="I6475" s="3"/>
      <c r="J6475" s="3"/>
      <c r="K6475" s="3"/>
      <c r="L6475" s="3"/>
    </row>
    <row r="6476" spans="9:12" x14ac:dyDescent="0.25">
      <c r="I6476" s="3"/>
      <c r="J6476" s="3"/>
      <c r="K6476" s="3"/>
      <c r="L6476" s="3"/>
    </row>
    <row r="6477" spans="9:12" x14ac:dyDescent="0.25">
      <c r="I6477" s="3"/>
      <c r="J6477" s="3"/>
      <c r="K6477" s="3"/>
      <c r="L6477" s="3"/>
    </row>
    <row r="6478" spans="9:12" x14ac:dyDescent="0.25">
      <c r="I6478" s="3"/>
      <c r="J6478" s="3"/>
      <c r="K6478" s="3"/>
      <c r="L6478" s="3"/>
    </row>
    <row r="6479" spans="9:12" x14ac:dyDescent="0.25">
      <c r="I6479" s="3"/>
      <c r="J6479" s="3"/>
      <c r="K6479" s="3"/>
      <c r="L6479" s="3"/>
    </row>
    <row r="6480" spans="9:12" x14ac:dyDescent="0.25">
      <c r="I6480" s="3"/>
      <c r="J6480" s="3"/>
      <c r="K6480" s="3"/>
      <c r="L6480" s="3"/>
    </row>
    <row r="6481" spans="9:12" x14ac:dyDescent="0.25">
      <c r="I6481" s="3"/>
      <c r="J6481" s="3"/>
      <c r="K6481" s="3"/>
      <c r="L6481" s="3"/>
    </row>
    <row r="6482" spans="9:12" x14ac:dyDescent="0.25">
      <c r="I6482" s="3"/>
      <c r="J6482" s="3"/>
      <c r="K6482" s="3"/>
      <c r="L6482" s="3"/>
    </row>
    <row r="6483" spans="9:12" x14ac:dyDescent="0.25">
      <c r="I6483" s="3"/>
      <c r="J6483" s="3"/>
      <c r="K6483" s="3"/>
      <c r="L6483" s="3"/>
    </row>
    <row r="6484" spans="9:12" x14ac:dyDescent="0.25">
      <c r="I6484" s="3"/>
      <c r="J6484" s="3"/>
      <c r="K6484" s="3"/>
      <c r="L6484" s="3"/>
    </row>
    <row r="6485" spans="9:12" x14ac:dyDescent="0.25">
      <c r="I6485" s="3"/>
      <c r="J6485" s="3"/>
      <c r="K6485" s="3"/>
      <c r="L6485" s="3"/>
    </row>
    <row r="6486" spans="9:12" x14ac:dyDescent="0.25">
      <c r="I6486" s="3"/>
      <c r="J6486" s="3"/>
      <c r="K6486" s="3"/>
      <c r="L6486" s="3"/>
    </row>
    <row r="6487" spans="9:12" x14ac:dyDescent="0.25">
      <c r="I6487" s="3"/>
      <c r="J6487" s="3"/>
      <c r="K6487" s="3"/>
      <c r="L6487" s="3"/>
    </row>
    <row r="6488" spans="9:12" x14ac:dyDescent="0.25">
      <c r="I6488" s="3"/>
      <c r="J6488" s="3"/>
      <c r="K6488" s="3"/>
      <c r="L6488" s="3"/>
    </row>
    <row r="6489" spans="9:12" x14ac:dyDescent="0.25">
      <c r="I6489" s="3"/>
      <c r="J6489" s="3"/>
      <c r="K6489" s="3"/>
      <c r="L6489" s="3"/>
    </row>
    <row r="6490" spans="9:12" x14ac:dyDescent="0.25">
      <c r="I6490" s="3"/>
      <c r="J6490" s="3"/>
      <c r="K6490" s="3"/>
      <c r="L6490" s="3"/>
    </row>
    <row r="6491" spans="9:12" x14ac:dyDescent="0.25">
      <c r="I6491" s="5"/>
      <c r="J6491" s="5"/>
      <c r="K6491" s="5"/>
      <c r="L6491" s="5"/>
    </row>
    <row r="6492" spans="9:12" x14ac:dyDescent="0.25">
      <c r="I6492" s="5"/>
      <c r="J6492" s="5"/>
      <c r="K6492" s="5"/>
      <c r="L6492" s="5"/>
    </row>
    <row r="6493" spans="9:12" x14ac:dyDescent="0.25">
      <c r="I6493" s="5"/>
      <c r="J6493" s="5"/>
      <c r="K6493" s="5"/>
      <c r="L6493" s="5"/>
    </row>
    <row r="6494" spans="9:12" x14ac:dyDescent="0.25">
      <c r="I6494" s="3"/>
      <c r="J6494" s="3"/>
      <c r="K6494" s="3"/>
      <c r="L6494" s="3"/>
    </row>
    <row r="6495" spans="9:12" x14ac:dyDescent="0.25">
      <c r="I6495" s="3"/>
      <c r="J6495" s="3"/>
      <c r="K6495" s="3"/>
      <c r="L6495" s="3"/>
    </row>
    <row r="6496" spans="9:12" x14ac:dyDescent="0.25">
      <c r="I6496" s="3"/>
      <c r="J6496" s="3"/>
      <c r="K6496" s="3"/>
      <c r="L6496" s="3"/>
    </row>
    <row r="6497" spans="9:12" x14ac:dyDescent="0.25">
      <c r="I6497" s="3"/>
      <c r="J6497" s="3"/>
      <c r="K6497" s="3"/>
      <c r="L6497" s="3"/>
    </row>
    <row r="6498" spans="9:12" x14ac:dyDescent="0.25">
      <c r="I6498" s="3"/>
      <c r="J6498" s="3"/>
      <c r="K6498" s="3"/>
      <c r="L6498" s="3"/>
    </row>
    <row r="6499" spans="9:12" x14ac:dyDescent="0.25">
      <c r="I6499" s="3"/>
      <c r="J6499" s="3"/>
      <c r="K6499" s="3"/>
      <c r="L6499" s="3"/>
    </row>
    <row r="6500" spans="9:12" x14ac:dyDescent="0.25">
      <c r="I6500" s="3"/>
      <c r="J6500" s="3"/>
      <c r="K6500" s="3"/>
      <c r="L6500" s="3"/>
    </row>
    <row r="6501" spans="9:12" x14ac:dyDescent="0.25">
      <c r="I6501" s="3"/>
      <c r="J6501" s="3"/>
      <c r="K6501" s="3"/>
      <c r="L6501" s="3"/>
    </row>
    <row r="6502" spans="9:12" x14ac:dyDescent="0.25">
      <c r="I6502" s="3"/>
      <c r="J6502" s="3"/>
      <c r="K6502" s="3"/>
      <c r="L6502" s="3"/>
    </row>
    <row r="6503" spans="9:12" x14ac:dyDescent="0.25">
      <c r="I6503" s="3"/>
      <c r="J6503" s="3"/>
      <c r="K6503" s="3"/>
      <c r="L6503" s="3"/>
    </row>
    <row r="6504" spans="9:12" x14ac:dyDescent="0.25">
      <c r="I6504" s="3"/>
      <c r="J6504" s="3"/>
      <c r="K6504" s="3"/>
      <c r="L6504" s="3"/>
    </row>
    <row r="6505" spans="9:12" x14ac:dyDescent="0.25">
      <c r="I6505" s="3"/>
      <c r="J6505" s="3"/>
      <c r="K6505" s="3"/>
      <c r="L6505" s="3"/>
    </row>
    <row r="6506" spans="9:12" x14ac:dyDescent="0.25">
      <c r="I6506" s="3"/>
      <c r="J6506" s="3"/>
      <c r="K6506" s="3"/>
      <c r="L6506" s="3"/>
    </row>
    <row r="6507" spans="9:12" x14ac:dyDescent="0.25">
      <c r="I6507" s="3"/>
      <c r="J6507" s="3"/>
      <c r="K6507" s="3"/>
      <c r="L6507" s="3"/>
    </row>
    <row r="6508" spans="9:12" x14ac:dyDescent="0.25">
      <c r="I6508" s="3"/>
      <c r="J6508" s="3"/>
      <c r="K6508" s="3"/>
      <c r="L6508" s="3"/>
    </row>
    <row r="6509" spans="9:12" x14ac:dyDescent="0.25">
      <c r="I6509" s="3"/>
      <c r="J6509" s="3"/>
      <c r="K6509" s="3"/>
      <c r="L6509" s="3"/>
    </row>
    <row r="6510" spans="9:12" x14ac:dyDescent="0.25">
      <c r="I6510" s="3"/>
      <c r="J6510" s="3"/>
      <c r="K6510" s="3"/>
      <c r="L6510" s="3"/>
    </row>
    <row r="6511" spans="9:12" x14ac:dyDescent="0.25">
      <c r="I6511" s="3"/>
      <c r="J6511" s="3"/>
      <c r="K6511" s="3"/>
      <c r="L6511" s="3"/>
    </row>
    <row r="6512" spans="9:12" x14ac:dyDescent="0.25">
      <c r="I6512" s="3"/>
      <c r="J6512" s="3"/>
      <c r="K6512" s="3"/>
      <c r="L6512" s="3"/>
    </row>
    <row r="6513" spans="9:12" x14ac:dyDescent="0.25">
      <c r="I6513" s="3"/>
      <c r="J6513" s="3"/>
      <c r="K6513" s="3"/>
      <c r="L6513" s="3"/>
    </row>
    <row r="6514" spans="9:12" x14ac:dyDescent="0.25">
      <c r="I6514" s="3"/>
      <c r="J6514" s="3"/>
      <c r="K6514" s="3"/>
      <c r="L6514" s="3"/>
    </row>
    <row r="6515" spans="9:12" x14ac:dyDescent="0.25">
      <c r="I6515" s="3"/>
      <c r="J6515" s="3"/>
      <c r="K6515" s="3"/>
      <c r="L6515" s="3"/>
    </row>
    <row r="6516" spans="9:12" x14ac:dyDescent="0.25">
      <c r="I6516" s="3"/>
      <c r="J6516" s="3"/>
      <c r="K6516" s="3"/>
      <c r="L6516" s="3"/>
    </row>
    <row r="6517" spans="9:12" x14ac:dyDescent="0.25">
      <c r="I6517" s="3"/>
      <c r="J6517" s="3"/>
      <c r="K6517" s="3"/>
      <c r="L6517" s="3"/>
    </row>
    <row r="6518" spans="9:12" x14ac:dyDescent="0.25">
      <c r="I6518" s="3"/>
      <c r="J6518" s="3"/>
      <c r="K6518" s="3"/>
      <c r="L6518" s="3"/>
    </row>
    <row r="6519" spans="9:12" x14ac:dyDescent="0.25">
      <c r="I6519" s="4"/>
      <c r="J6519" s="4"/>
      <c r="K6519" s="4"/>
      <c r="L6519" s="4"/>
    </row>
    <row r="6520" spans="9:12" x14ac:dyDescent="0.25">
      <c r="I6520" s="4"/>
      <c r="J6520" s="4"/>
      <c r="K6520" s="4"/>
      <c r="L6520" s="4"/>
    </row>
    <row r="6521" spans="9:12" x14ac:dyDescent="0.25">
      <c r="I6521" s="3"/>
      <c r="J6521" s="3"/>
      <c r="K6521" s="3"/>
      <c r="L6521" s="3"/>
    </row>
    <row r="6522" spans="9:12" x14ac:dyDescent="0.25">
      <c r="I6522" s="3"/>
      <c r="J6522" s="3"/>
      <c r="K6522" s="3"/>
      <c r="L6522" s="3"/>
    </row>
    <row r="6523" spans="9:12" x14ac:dyDescent="0.25">
      <c r="I6523" s="3"/>
      <c r="J6523" s="3"/>
      <c r="K6523" s="3"/>
      <c r="L6523" s="3"/>
    </row>
    <row r="6524" spans="9:12" x14ac:dyDescent="0.25">
      <c r="I6524" s="3"/>
      <c r="J6524" s="3"/>
      <c r="K6524" s="3"/>
      <c r="L6524" s="3"/>
    </row>
    <row r="6525" spans="9:12" x14ac:dyDescent="0.25">
      <c r="I6525" s="3"/>
      <c r="J6525" s="3"/>
      <c r="K6525" s="3"/>
      <c r="L6525" s="3"/>
    </row>
    <row r="6526" spans="9:12" x14ac:dyDescent="0.25">
      <c r="I6526" s="3"/>
      <c r="J6526" s="3"/>
      <c r="K6526" s="3"/>
      <c r="L6526" s="3"/>
    </row>
    <row r="6527" spans="9:12" x14ac:dyDescent="0.25">
      <c r="I6527" s="3"/>
      <c r="J6527" s="3"/>
      <c r="K6527" s="3"/>
      <c r="L6527" s="3"/>
    </row>
    <row r="6528" spans="9:12" x14ac:dyDescent="0.25">
      <c r="I6528" s="3"/>
      <c r="J6528" s="3"/>
      <c r="K6528" s="3"/>
      <c r="L6528" s="3"/>
    </row>
    <row r="6529" spans="9:12" x14ac:dyDescent="0.25">
      <c r="I6529" s="3"/>
      <c r="J6529" s="3"/>
      <c r="K6529" s="3"/>
      <c r="L6529" s="3"/>
    </row>
    <row r="6530" spans="9:12" x14ac:dyDescent="0.25">
      <c r="I6530" s="3"/>
      <c r="J6530" s="3"/>
      <c r="K6530" s="3"/>
      <c r="L6530" s="3"/>
    </row>
    <row r="6531" spans="9:12" x14ac:dyDescent="0.25">
      <c r="I6531" s="3"/>
      <c r="J6531" s="3"/>
      <c r="K6531" s="3"/>
      <c r="L6531" s="3"/>
    </row>
    <row r="6532" spans="9:12" x14ac:dyDescent="0.25">
      <c r="I6532" s="3"/>
      <c r="J6532" s="3"/>
      <c r="K6532" s="3"/>
      <c r="L6532" s="3"/>
    </row>
    <row r="6533" spans="9:12" x14ac:dyDescent="0.25">
      <c r="I6533" s="3"/>
      <c r="J6533" s="3"/>
      <c r="K6533" s="3"/>
      <c r="L6533" s="3"/>
    </row>
    <row r="6534" spans="9:12" x14ac:dyDescent="0.25">
      <c r="I6534" s="3"/>
      <c r="J6534" s="3"/>
      <c r="K6534" s="3"/>
      <c r="L6534" s="3"/>
    </row>
    <row r="6535" spans="9:12" x14ac:dyDescent="0.25">
      <c r="I6535" s="3"/>
      <c r="J6535" s="3"/>
      <c r="K6535" s="3"/>
      <c r="L6535" s="3"/>
    </row>
    <row r="6536" spans="9:12" x14ac:dyDescent="0.25">
      <c r="I6536" s="3"/>
      <c r="J6536" s="3"/>
      <c r="K6536" s="3"/>
      <c r="L6536" s="3"/>
    </row>
    <row r="6537" spans="9:12" x14ac:dyDescent="0.25">
      <c r="I6537" s="3"/>
      <c r="J6537" s="3"/>
      <c r="K6537" s="3"/>
      <c r="L6537" s="3"/>
    </row>
    <row r="6538" spans="9:12" x14ac:dyDescent="0.25">
      <c r="I6538" s="3"/>
      <c r="J6538" s="3"/>
      <c r="K6538" s="3"/>
      <c r="L6538" s="3"/>
    </row>
    <row r="6539" spans="9:12" x14ac:dyDescent="0.25">
      <c r="I6539" s="3"/>
      <c r="J6539" s="3"/>
      <c r="K6539" s="3"/>
      <c r="L6539" s="3"/>
    </row>
    <row r="6540" spans="9:12" x14ac:dyDescent="0.25">
      <c r="I6540" s="3"/>
      <c r="J6540" s="3"/>
      <c r="K6540" s="3"/>
      <c r="L6540" s="3"/>
    </row>
    <row r="6541" spans="9:12" x14ac:dyDescent="0.25">
      <c r="I6541" s="3"/>
      <c r="J6541" s="3"/>
      <c r="K6541" s="3"/>
      <c r="L6541" s="3"/>
    </row>
    <row r="6542" spans="9:12" x14ac:dyDescent="0.25">
      <c r="I6542" s="3"/>
      <c r="J6542" s="3"/>
      <c r="K6542" s="3"/>
      <c r="L6542" s="3"/>
    </row>
    <row r="6543" spans="9:12" x14ac:dyDescent="0.25">
      <c r="I6543" s="3"/>
      <c r="J6543" s="3"/>
      <c r="K6543" s="3"/>
      <c r="L6543" s="3"/>
    </row>
    <row r="6544" spans="9:12" x14ac:dyDescent="0.25">
      <c r="I6544" s="3"/>
      <c r="J6544" s="3"/>
      <c r="K6544" s="3"/>
      <c r="L6544" s="3"/>
    </row>
    <row r="6545" spans="9:12" x14ac:dyDescent="0.25">
      <c r="I6545" s="3"/>
      <c r="J6545" s="3"/>
      <c r="K6545" s="3"/>
      <c r="L6545" s="3"/>
    </row>
    <row r="6546" spans="9:12" x14ac:dyDescent="0.25">
      <c r="I6546" s="3"/>
      <c r="J6546" s="3"/>
      <c r="K6546" s="3"/>
      <c r="L6546" s="3"/>
    </row>
    <row r="6547" spans="9:12" x14ac:dyDescent="0.25">
      <c r="I6547" s="3"/>
      <c r="J6547" s="3"/>
      <c r="K6547" s="3"/>
      <c r="L6547" s="3"/>
    </row>
    <row r="6548" spans="9:12" x14ac:dyDescent="0.25">
      <c r="I6548" s="3"/>
      <c r="J6548" s="3"/>
      <c r="K6548" s="3"/>
      <c r="L6548" s="3"/>
    </row>
    <row r="6549" spans="9:12" x14ac:dyDescent="0.25">
      <c r="I6549" s="3"/>
      <c r="J6549" s="3"/>
      <c r="K6549" s="3"/>
      <c r="L6549" s="3"/>
    </row>
    <row r="6550" spans="9:12" x14ac:dyDescent="0.25">
      <c r="I6550" s="3"/>
      <c r="J6550" s="3"/>
      <c r="K6550" s="3"/>
      <c r="L6550" s="3"/>
    </row>
    <row r="6551" spans="9:12" x14ac:dyDescent="0.25">
      <c r="I6551" s="3"/>
      <c r="J6551" s="3"/>
      <c r="K6551" s="3"/>
      <c r="L6551" s="3"/>
    </row>
    <row r="6552" spans="9:12" x14ac:dyDescent="0.25">
      <c r="I6552" s="3"/>
      <c r="J6552" s="3"/>
      <c r="K6552" s="3"/>
      <c r="L6552" s="3"/>
    </row>
    <row r="6553" spans="9:12" x14ac:dyDescent="0.25">
      <c r="I6553" s="3"/>
      <c r="J6553" s="3"/>
      <c r="K6553" s="3"/>
      <c r="L6553" s="3"/>
    </row>
    <row r="6554" spans="9:12" x14ac:dyDescent="0.25">
      <c r="I6554" s="3"/>
      <c r="J6554" s="3"/>
      <c r="K6554" s="3"/>
      <c r="L6554" s="3"/>
    </row>
    <row r="6555" spans="9:12" x14ac:dyDescent="0.25">
      <c r="I6555" s="3"/>
      <c r="J6555" s="3"/>
      <c r="K6555" s="3"/>
      <c r="L6555" s="3"/>
    </row>
    <row r="6556" spans="9:12" x14ac:dyDescent="0.25">
      <c r="I6556" s="3"/>
      <c r="J6556" s="3"/>
      <c r="K6556" s="3"/>
      <c r="L6556" s="3"/>
    </row>
    <row r="6557" spans="9:12" x14ac:dyDescent="0.25">
      <c r="I6557" s="3"/>
      <c r="J6557" s="3"/>
      <c r="K6557" s="3"/>
      <c r="L6557" s="3"/>
    </row>
    <row r="6558" spans="9:12" x14ac:dyDescent="0.25">
      <c r="I6558" s="3"/>
      <c r="J6558" s="3"/>
      <c r="K6558" s="3"/>
      <c r="L6558" s="3"/>
    </row>
    <row r="6559" spans="9:12" x14ac:dyDescent="0.25">
      <c r="I6559" s="3"/>
      <c r="J6559" s="3"/>
      <c r="K6559" s="3"/>
      <c r="L6559" s="3"/>
    </row>
    <row r="6560" spans="9:12" x14ac:dyDescent="0.25">
      <c r="I6560" s="3"/>
      <c r="J6560" s="3"/>
      <c r="K6560" s="3"/>
      <c r="L6560" s="3"/>
    </row>
    <row r="6561" spans="9:12" x14ac:dyDescent="0.25">
      <c r="I6561" s="3"/>
      <c r="J6561" s="3"/>
      <c r="K6561" s="3"/>
      <c r="L6561" s="3"/>
    </row>
    <row r="6562" spans="9:12" x14ac:dyDescent="0.25">
      <c r="I6562" s="3"/>
      <c r="J6562" s="3"/>
      <c r="K6562" s="3"/>
      <c r="L6562" s="3"/>
    </row>
    <row r="6563" spans="9:12" x14ac:dyDescent="0.25">
      <c r="I6563" s="3"/>
      <c r="J6563" s="3"/>
      <c r="K6563" s="3"/>
      <c r="L6563" s="3"/>
    </row>
    <row r="6564" spans="9:12" x14ac:dyDescent="0.25">
      <c r="I6564" s="3"/>
      <c r="J6564" s="3"/>
      <c r="K6564" s="3"/>
      <c r="L6564" s="3"/>
    </row>
    <row r="6565" spans="9:12" x14ac:dyDescent="0.25">
      <c r="I6565" s="3"/>
      <c r="J6565" s="3"/>
      <c r="K6565" s="3"/>
      <c r="L6565" s="3"/>
    </row>
    <row r="6566" spans="9:12" x14ac:dyDescent="0.25">
      <c r="I6566" s="3"/>
      <c r="J6566" s="3"/>
      <c r="K6566" s="3"/>
      <c r="L6566" s="3"/>
    </row>
    <row r="6567" spans="9:12" x14ac:dyDescent="0.25">
      <c r="I6567" s="3"/>
      <c r="J6567" s="3"/>
      <c r="K6567" s="3"/>
      <c r="L6567" s="3"/>
    </row>
    <row r="6568" spans="9:12" x14ac:dyDescent="0.25">
      <c r="I6568" s="3"/>
      <c r="J6568" s="3"/>
      <c r="K6568" s="3"/>
      <c r="L6568" s="3"/>
    </row>
    <row r="6569" spans="9:12" x14ac:dyDescent="0.25">
      <c r="I6569" s="3"/>
      <c r="J6569" s="3"/>
      <c r="K6569" s="3"/>
      <c r="L6569" s="3"/>
    </row>
    <row r="6570" spans="9:12" x14ac:dyDescent="0.25">
      <c r="I6570" s="3"/>
      <c r="J6570" s="3"/>
      <c r="K6570" s="3"/>
      <c r="L6570" s="3"/>
    </row>
    <row r="6571" spans="9:12" x14ac:dyDescent="0.25">
      <c r="I6571" s="3"/>
      <c r="J6571" s="3"/>
      <c r="K6571" s="3"/>
      <c r="L6571" s="3"/>
    </row>
    <row r="6572" spans="9:12" x14ac:dyDescent="0.25">
      <c r="I6572" s="3"/>
      <c r="J6572" s="3"/>
      <c r="K6572" s="3"/>
      <c r="L6572" s="3"/>
    </row>
    <row r="6573" spans="9:12" x14ac:dyDescent="0.25">
      <c r="I6573" s="3"/>
      <c r="J6573" s="3"/>
      <c r="K6573" s="3"/>
      <c r="L6573" s="3"/>
    </row>
    <row r="6574" spans="9:12" x14ac:dyDescent="0.25">
      <c r="I6574" s="3"/>
      <c r="J6574" s="3"/>
      <c r="K6574" s="3"/>
      <c r="L6574" s="3"/>
    </row>
    <row r="6575" spans="9:12" x14ac:dyDescent="0.25">
      <c r="I6575" s="3"/>
      <c r="J6575" s="3"/>
      <c r="K6575" s="3"/>
      <c r="L6575" s="3"/>
    </row>
    <row r="6576" spans="9:12" x14ac:dyDescent="0.25">
      <c r="I6576" s="3"/>
      <c r="J6576" s="3"/>
      <c r="K6576" s="3"/>
      <c r="L6576" s="3"/>
    </row>
    <row r="6577" spans="9:12" x14ac:dyDescent="0.25">
      <c r="I6577" s="3"/>
      <c r="J6577" s="3"/>
      <c r="K6577" s="3"/>
      <c r="L6577" s="3"/>
    </row>
    <row r="6578" spans="9:12" x14ac:dyDescent="0.25">
      <c r="I6578" s="3"/>
      <c r="J6578" s="3"/>
      <c r="K6578" s="3"/>
      <c r="L6578" s="3"/>
    </row>
    <row r="6579" spans="9:12" x14ac:dyDescent="0.25">
      <c r="I6579" s="3"/>
      <c r="J6579" s="3"/>
      <c r="K6579" s="3"/>
      <c r="L6579" s="3"/>
    </row>
    <row r="6580" spans="9:12" x14ac:dyDescent="0.25">
      <c r="I6580" s="3"/>
      <c r="J6580" s="3"/>
      <c r="K6580" s="3"/>
      <c r="L6580" s="3"/>
    </row>
    <row r="6581" spans="9:12" x14ac:dyDescent="0.25">
      <c r="I6581" s="3"/>
      <c r="J6581" s="3"/>
      <c r="K6581" s="3"/>
      <c r="L6581" s="3"/>
    </row>
    <row r="6582" spans="9:12" x14ac:dyDescent="0.25">
      <c r="I6582" s="3"/>
      <c r="J6582" s="3"/>
      <c r="K6582" s="3"/>
      <c r="L6582" s="3"/>
    </row>
    <row r="6583" spans="9:12" x14ac:dyDescent="0.25">
      <c r="I6583" s="3"/>
      <c r="J6583" s="3"/>
      <c r="K6583" s="3"/>
      <c r="L6583" s="3"/>
    </row>
    <row r="6584" spans="9:12" x14ac:dyDescent="0.25">
      <c r="I6584" s="3"/>
      <c r="J6584" s="3"/>
      <c r="K6584" s="3"/>
      <c r="L6584" s="3"/>
    </row>
    <row r="6585" spans="9:12" x14ac:dyDescent="0.25">
      <c r="I6585" s="3"/>
      <c r="J6585" s="3"/>
      <c r="K6585" s="3"/>
      <c r="L6585" s="3"/>
    </row>
    <row r="6586" spans="9:12" x14ac:dyDescent="0.25">
      <c r="I6586" s="3"/>
      <c r="J6586" s="3"/>
      <c r="K6586" s="3"/>
      <c r="L6586" s="3"/>
    </row>
    <row r="6587" spans="9:12" x14ac:dyDescent="0.25">
      <c r="I6587" s="4"/>
      <c r="J6587" s="4"/>
      <c r="K6587" s="4"/>
      <c r="L6587" s="4"/>
    </row>
    <row r="6588" spans="9:12" x14ac:dyDescent="0.25">
      <c r="I6588" s="4"/>
      <c r="J6588" s="4"/>
      <c r="K6588" s="4"/>
      <c r="L6588" s="4"/>
    </row>
    <row r="6589" spans="9:12" x14ac:dyDescent="0.25">
      <c r="I6589" s="3"/>
      <c r="J6589" s="3"/>
      <c r="K6589" s="3"/>
      <c r="L6589" s="3"/>
    </row>
    <row r="6590" spans="9:12" x14ac:dyDescent="0.25">
      <c r="I6590" s="3"/>
      <c r="J6590" s="3"/>
      <c r="K6590" s="3"/>
      <c r="L6590" s="3"/>
    </row>
    <row r="6591" spans="9:12" x14ac:dyDescent="0.25">
      <c r="I6591" s="3"/>
      <c r="J6591" s="3"/>
      <c r="K6591" s="3"/>
      <c r="L6591" s="3"/>
    </row>
    <row r="6592" spans="9:12" x14ac:dyDescent="0.25">
      <c r="I6592" s="3"/>
      <c r="J6592" s="3"/>
      <c r="K6592" s="3"/>
      <c r="L6592" s="3"/>
    </row>
    <row r="6593" spans="9:12" x14ac:dyDescent="0.25">
      <c r="I6593" s="3"/>
      <c r="J6593" s="3"/>
      <c r="K6593" s="3"/>
      <c r="L6593" s="3"/>
    </row>
    <row r="6594" spans="9:12" x14ac:dyDescent="0.25">
      <c r="I6594" s="3"/>
      <c r="J6594" s="3"/>
      <c r="K6594" s="3"/>
      <c r="L6594" s="3"/>
    </row>
    <row r="6595" spans="9:12" x14ac:dyDescent="0.25">
      <c r="I6595" s="3"/>
      <c r="J6595" s="3"/>
      <c r="K6595" s="3"/>
      <c r="L6595" s="3"/>
    </row>
    <row r="6596" spans="9:12" x14ac:dyDescent="0.25">
      <c r="I6596" s="3"/>
      <c r="J6596" s="3"/>
      <c r="K6596" s="3"/>
      <c r="L6596" s="3"/>
    </row>
    <row r="6597" spans="9:12" x14ac:dyDescent="0.25">
      <c r="I6597" s="3"/>
      <c r="J6597" s="3"/>
      <c r="K6597" s="3"/>
      <c r="L6597" s="3"/>
    </row>
    <row r="6598" spans="9:12" x14ac:dyDescent="0.25">
      <c r="I6598" s="3"/>
      <c r="J6598" s="3"/>
      <c r="K6598" s="3"/>
      <c r="L6598" s="3"/>
    </row>
    <row r="6599" spans="9:12" x14ac:dyDescent="0.25">
      <c r="I6599" s="3"/>
      <c r="J6599" s="3"/>
      <c r="K6599" s="3"/>
      <c r="L6599" s="3"/>
    </row>
    <row r="6600" spans="9:12" x14ac:dyDescent="0.25">
      <c r="I6600" s="3"/>
      <c r="J6600" s="3"/>
      <c r="K6600" s="3"/>
      <c r="L6600" s="3"/>
    </row>
    <row r="6601" spans="9:12" x14ac:dyDescent="0.25">
      <c r="I6601" s="3"/>
      <c r="J6601" s="3"/>
      <c r="K6601" s="3"/>
      <c r="L6601" s="3"/>
    </row>
    <row r="6602" spans="9:12" x14ac:dyDescent="0.25">
      <c r="I6602" s="3"/>
      <c r="J6602" s="3"/>
      <c r="K6602" s="3"/>
      <c r="L6602" s="3"/>
    </row>
    <row r="6603" spans="9:12" x14ac:dyDescent="0.25">
      <c r="I6603" s="5"/>
      <c r="J6603" s="5"/>
      <c r="K6603" s="5"/>
      <c r="L6603" s="5"/>
    </row>
    <row r="6604" spans="9:12" x14ac:dyDescent="0.25">
      <c r="I6604" s="3"/>
      <c r="J6604" s="3"/>
      <c r="K6604" s="3"/>
      <c r="L6604" s="3"/>
    </row>
    <row r="6605" spans="9:12" x14ac:dyDescent="0.25">
      <c r="I6605" s="3"/>
      <c r="J6605" s="3"/>
      <c r="K6605" s="3"/>
      <c r="L6605" s="3"/>
    </row>
    <row r="6606" spans="9:12" x14ac:dyDescent="0.25">
      <c r="I6606" s="3"/>
      <c r="J6606" s="3"/>
      <c r="K6606" s="3"/>
      <c r="L6606" s="3"/>
    </row>
    <row r="6607" spans="9:12" x14ac:dyDescent="0.25">
      <c r="I6607" s="3"/>
      <c r="J6607" s="3"/>
      <c r="K6607" s="3"/>
      <c r="L6607" s="3"/>
    </row>
    <row r="6608" spans="9:12" x14ac:dyDescent="0.25">
      <c r="I6608" s="3"/>
      <c r="J6608" s="3"/>
      <c r="K6608" s="3"/>
      <c r="L6608" s="3"/>
    </row>
    <row r="6609" spans="9:12" x14ac:dyDescent="0.25">
      <c r="I6609" s="3"/>
      <c r="J6609" s="3"/>
      <c r="K6609" s="3"/>
      <c r="L6609" s="3"/>
    </row>
    <row r="6610" spans="9:12" x14ac:dyDescent="0.25">
      <c r="I6610" s="3"/>
      <c r="J6610" s="3"/>
      <c r="K6610" s="3"/>
      <c r="L6610" s="3"/>
    </row>
    <row r="6611" spans="9:12" x14ac:dyDescent="0.25">
      <c r="I6611" s="3"/>
      <c r="J6611" s="3"/>
      <c r="K6611" s="3"/>
      <c r="L6611" s="3"/>
    </row>
    <row r="6612" spans="9:12" x14ac:dyDescent="0.25">
      <c r="I6612" s="3"/>
      <c r="J6612" s="3"/>
      <c r="K6612" s="3"/>
      <c r="L6612" s="3"/>
    </row>
    <row r="6613" spans="9:12" x14ac:dyDescent="0.25">
      <c r="I6613" s="3"/>
      <c r="J6613" s="3"/>
      <c r="K6613" s="3"/>
      <c r="L6613" s="3"/>
    </row>
    <row r="6614" spans="9:12" x14ac:dyDescent="0.25">
      <c r="I6614" s="3"/>
      <c r="J6614" s="3"/>
      <c r="K6614" s="3"/>
      <c r="L6614" s="3"/>
    </row>
    <row r="6615" spans="9:12" x14ac:dyDescent="0.25">
      <c r="I6615" s="3"/>
      <c r="J6615" s="3"/>
      <c r="K6615" s="3"/>
      <c r="L6615" s="3"/>
    </row>
    <row r="6616" spans="9:12" x14ac:dyDescent="0.25">
      <c r="I6616" s="3"/>
      <c r="J6616" s="3"/>
      <c r="K6616" s="3"/>
      <c r="L6616" s="3"/>
    </row>
    <row r="6617" spans="9:12" x14ac:dyDescent="0.25">
      <c r="I6617" s="3"/>
      <c r="J6617" s="3"/>
      <c r="K6617" s="3"/>
      <c r="L6617" s="3"/>
    </row>
    <row r="6618" spans="9:12" x14ac:dyDescent="0.25">
      <c r="I6618" s="3"/>
      <c r="J6618" s="3"/>
      <c r="K6618" s="3"/>
      <c r="L6618" s="3"/>
    </row>
    <row r="6619" spans="9:12" x14ac:dyDescent="0.25">
      <c r="I6619" s="3"/>
      <c r="J6619" s="3"/>
      <c r="K6619" s="3"/>
      <c r="L6619" s="3"/>
    </row>
    <row r="6620" spans="9:12" x14ac:dyDescent="0.25">
      <c r="I6620" s="3"/>
      <c r="J6620" s="3"/>
      <c r="K6620" s="3"/>
      <c r="L6620" s="3"/>
    </row>
    <row r="6621" spans="9:12" x14ac:dyDescent="0.25">
      <c r="I6621" s="3"/>
      <c r="J6621" s="3"/>
      <c r="K6621" s="3"/>
      <c r="L6621" s="3"/>
    </row>
    <row r="6622" spans="9:12" x14ac:dyDescent="0.25">
      <c r="I6622" s="3"/>
      <c r="J6622" s="3"/>
      <c r="K6622" s="3"/>
      <c r="L6622" s="3"/>
    </row>
    <row r="6623" spans="9:12" x14ac:dyDescent="0.25">
      <c r="I6623" s="3"/>
      <c r="J6623" s="3"/>
      <c r="K6623" s="3"/>
      <c r="L6623" s="3"/>
    </row>
    <row r="6624" spans="9:12" x14ac:dyDescent="0.25">
      <c r="I6624" s="3"/>
      <c r="J6624" s="3"/>
      <c r="K6624" s="3"/>
      <c r="L6624" s="3"/>
    </row>
    <row r="6625" spans="9:12" x14ac:dyDescent="0.25">
      <c r="I6625" s="3"/>
      <c r="J6625" s="3"/>
      <c r="K6625" s="3"/>
      <c r="L6625" s="3"/>
    </row>
    <row r="6626" spans="9:12" x14ac:dyDescent="0.25">
      <c r="I6626" s="3"/>
      <c r="J6626" s="3"/>
      <c r="K6626" s="3"/>
      <c r="L6626" s="3"/>
    </row>
    <row r="6627" spans="9:12" x14ac:dyDescent="0.25">
      <c r="I6627" s="3"/>
      <c r="J6627" s="3"/>
      <c r="K6627" s="3"/>
      <c r="L6627" s="3"/>
    </row>
    <row r="6628" spans="9:12" x14ac:dyDescent="0.25">
      <c r="I6628" s="3"/>
      <c r="J6628" s="3"/>
      <c r="K6628" s="3"/>
      <c r="L6628" s="3"/>
    </row>
    <row r="6629" spans="9:12" x14ac:dyDescent="0.25">
      <c r="I6629" s="3"/>
      <c r="J6629" s="3"/>
      <c r="K6629" s="3"/>
      <c r="L6629" s="3"/>
    </row>
    <row r="6630" spans="9:12" x14ac:dyDescent="0.25">
      <c r="I6630" s="3"/>
      <c r="J6630" s="3"/>
      <c r="K6630" s="3"/>
      <c r="L6630" s="3"/>
    </row>
    <row r="6631" spans="9:12" x14ac:dyDescent="0.25">
      <c r="I6631" s="3"/>
      <c r="J6631" s="3"/>
      <c r="K6631" s="3"/>
      <c r="L6631" s="3"/>
    </row>
    <row r="6632" spans="9:12" x14ac:dyDescent="0.25">
      <c r="I6632" s="3"/>
      <c r="J6632" s="3"/>
      <c r="K6632" s="3"/>
      <c r="L6632" s="3"/>
    </row>
    <row r="6633" spans="9:12" x14ac:dyDescent="0.25">
      <c r="I6633" s="3"/>
      <c r="J6633" s="3"/>
      <c r="K6633" s="3"/>
      <c r="L6633" s="3"/>
    </row>
    <row r="6634" spans="9:12" x14ac:dyDescent="0.25">
      <c r="I6634" s="3"/>
      <c r="J6634" s="3"/>
      <c r="K6634" s="3"/>
      <c r="L6634" s="3"/>
    </row>
    <row r="6635" spans="9:12" x14ac:dyDescent="0.25">
      <c r="I6635" s="3"/>
      <c r="J6635" s="3"/>
      <c r="K6635" s="3"/>
      <c r="L6635" s="3"/>
    </row>
    <row r="6636" spans="9:12" x14ac:dyDescent="0.25">
      <c r="I6636" s="3"/>
      <c r="J6636" s="3"/>
      <c r="K6636" s="3"/>
      <c r="L6636" s="3"/>
    </row>
    <row r="6637" spans="9:12" x14ac:dyDescent="0.25">
      <c r="I6637" s="3"/>
      <c r="J6637" s="3"/>
      <c r="K6637" s="3"/>
      <c r="L6637" s="3"/>
    </row>
    <row r="6638" spans="9:12" x14ac:dyDescent="0.25">
      <c r="I6638" s="3"/>
      <c r="J6638" s="3"/>
      <c r="K6638" s="3"/>
      <c r="L6638" s="3"/>
    </row>
    <row r="6639" spans="9:12" x14ac:dyDescent="0.25">
      <c r="I6639" s="3"/>
      <c r="J6639" s="3"/>
      <c r="K6639" s="3"/>
      <c r="L6639" s="3"/>
    </row>
    <row r="6640" spans="9:12" x14ac:dyDescent="0.25">
      <c r="I6640" s="3"/>
      <c r="J6640" s="3"/>
      <c r="K6640" s="3"/>
      <c r="L6640" s="3"/>
    </row>
    <row r="6641" spans="9:12" x14ac:dyDescent="0.25">
      <c r="I6641" s="3"/>
      <c r="J6641" s="3"/>
      <c r="K6641" s="3"/>
      <c r="L6641" s="3"/>
    </row>
    <row r="6642" spans="9:12" x14ac:dyDescent="0.25">
      <c r="I6642" s="3"/>
      <c r="J6642" s="3"/>
      <c r="K6642" s="3"/>
      <c r="L6642" s="3"/>
    </row>
    <row r="6643" spans="9:12" x14ac:dyDescent="0.25">
      <c r="I6643" s="3"/>
      <c r="J6643" s="3"/>
      <c r="K6643" s="3"/>
      <c r="L6643" s="3"/>
    </row>
    <row r="6644" spans="9:12" x14ac:dyDescent="0.25">
      <c r="I6644" s="3"/>
      <c r="J6644" s="3"/>
      <c r="K6644" s="3"/>
      <c r="L6644" s="3"/>
    </row>
    <row r="6645" spans="9:12" x14ac:dyDescent="0.25">
      <c r="I6645" s="4"/>
      <c r="J6645" s="4"/>
      <c r="K6645" s="4"/>
      <c r="L6645" s="4"/>
    </row>
    <row r="6646" spans="9:12" x14ac:dyDescent="0.25">
      <c r="I6646" s="4"/>
      <c r="J6646" s="4"/>
      <c r="K6646" s="4"/>
      <c r="L6646" s="4"/>
    </row>
    <row r="6647" spans="9:12" x14ac:dyDescent="0.25">
      <c r="I6647" s="4"/>
      <c r="J6647" s="4"/>
      <c r="K6647" s="4"/>
      <c r="L6647" s="4"/>
    </row>
    <row r="6648" spans="9:12" x14ac:dyDescent="0.25">
      <c r="I6648" s="3"/>
      <c r="J6648" s="3"/>
      <c r="K6648" s="3"/>
      <c r="L6648" s="3"/>
    </row>
    <row r="6649" spans="9:12" x14ac:dyDescent="0.25">
      <c r="I6649" s="3"/>
      <c r="J6649" s="3"/>
      <c r="K6649" s="3"/>
      <c r="L6649" s="3"/>
    </row>
    <row r="6650" spans="9:12" x14ac:dyDescent="0.25">
      <c r="I6650" s="3"/>
      <c r="J6650" s="3"/>
      <c r="K6650" s="3"/>
      <c r="L6650" s="3"/>
    </row>
    <row r="6651" spans="9:12" x14ac:dyDescent="0.25">
      <c r="I6651" s="3"/>
      <c r="J6651" s="3"/>
      <c r="K6651" s="3"/>
      <c r="L6651" s="3"/>
    </row>
    <row r="6652" spans="9:12" x14ac:dyDescent="0.25">
      <c r="I6652" s="3"/>
      <c r="J6652" s="3"/>
      <c r="K6652" s="3"/>
      <c r="L6652" s="3"/>
    </row>
    <row r="6653" spans="9:12" x14ac:dyDescent="0.25">
      <c r="I6653" s="3"/>
      <c r="J6653" s="3"/>
      <c r="K6653" s="3"/>
      <c r="L6653" s="3"/>
    </row>
    <row r="6654" spans="9:12" x14ac:dyDescent="0.25">
      <c r="I6654" s="3"/>
      <c r="J6654" s="3"/>
      <c r="K6654" s="3"/>
      <c r="L6654" s="3"/>
    </row>
    <row r="6655" spans="9:12" x14ac:dyDescent="0.25">
      <c r="I6655" s="3"/>
      <c r="J6655" s="3"/>
      <c r="K6655" s="3"/>
      <c r="L6655" s="3"/>
    </row>
    <row r="6656" spans="9:12" x14ac:dyDescent="0.25">
      <c r="I6656" s="3"/>
      <c r="J6656" s="3"/>
      <c r="K6656" s="3"/>
      <c r="L6656" s="3"/>
    </row>
    <row r="6657" spans="9:12" x14ac:dyDescent="0.25">
      <c r="I6657" s="3"/>
      <c r="J6657" s="3"/>
      <c r="K6657" s="3"/>
      <c r="L6657" s="3"/>
    </row>
    <row r="6658" spans="9:12" x14ac:dyDescent="0.25">
      <c r="I6658" s="3"/>
      <c r="J6658" s="3"/>
      <c r="K6658" s="3"/>
      <c r="L6658" s="3"/>
    </row>
    <row r="6659" spans="9:12" x14ac:dyDescent="0.25">
      <c r="I6659" s="3"/>
      <c r="J6659" s="3"/>
      <c r="K6659" s="3"/>
      <c r="L6659" s="3"/>
    </row>
    <row r="6660" spans="9:12" x14ac:dyDescent="0.25">
      <c r="I6660" s="3"/>
      <c r="J6660" s="3"/>
      <c r="K6660" s="3"/>
      <c r="L6660" s="3"/>
    </row>
    <row r="6661" spans="9:12" x14ac:dyDescent="0.25">
      <c r="I6661" s="3"/>
      <c r="J6661" s="3"/>
      <c r="K6661" s="3"/>
      <c r="L6661" s="3"/>
    </row>
    <row r="6662" spans="9:12" x14ac:dyDescent="0.25">
      <c r="I6662" s="3"/>
      <c r="J6662" s="3"/>
      <c r="K6662" s="3"/>
      <c r="L6662" s="3"/>
    </row>
    <row r="6663" spans="9:12" x14ac:dyDescent="0.25">
      <c r="I6663" s="3"/>
      <c r="J6663" s="3"/>
      <c r="K6663" s="3"/>
      <c r="L6663" s="3"/>
    </row>
    <row r="6664" spans="9:12" x14ac:dyDescent="0.25">
      <c r="I6664" s="3"/>
      <c r="J6664" s="3"/>
      <c r="K6664" s="3"/>
      <c r="L6664" s="3"/>
    </row>
    <row r="6665" spans="9:12" x14ac:dyDescent="0.25">
      <c r="I6665" s="3"/>
      <c r="J6665" s="3"/>
      <c r="K6665" s="3"/>
      <c r="L6665" s="3"/>
    </row>
    <row r="6666" spans="9:12" x14ac:dyDescent="0.25">
      <c r="I6666" s="3"/>
      <c r="J6666" s="3"/>
      <c r="K6666" s="3"/>
      <c r="L6666" s="3"/>
    </row>
    <row r="6667" spans="9:12" x14ac:dyDescent="0.25">
      <c r="I6667" s="3"/>
      <c r="J6667" s="3"/>
      <c r="K6667" s="3"/>
      <c r="L6667" s="3"/>
    </row>
    <row r="6668" spans="9:12" x14ac:dyDescent="0.25">
      <c r="I6668" s="5"/>
      <c r="J6668" s="5"/>
      <c r="K6668" s="5"/>
      <c r="L6668" s="5"/>
    </row>
    <row r="6669" spans="9:12" x14ac:dyDescent="0.25">
      <c r="I6669" s="5"/>
      <c r="J6669" s="5"/>
      <c r="K6669" s="5"/>
      <c r="L6669" s="5"/>
    </row>
    <row r="6670" spans="9:12" x14ac:dyDescent="0.25">
      <c r="I6670" s="3"/>
      <c r="J6670" s="3"/>
      <c r="K6670" s="3"/>
      <c r="L6670" s="3"/>
    </row>
    <row r="6671" spans="9:12" x14ac:dyDescent="0.25">
      <c r="I6671" s="3"/>
      <c r="J6671" s="3"/>
      <c r="K6671" s="3"/>
      <c r="L6671" s="3"/>
    </row>
    <row r="6672" spans="9:12" x14ac:dyDescent="0.25">
      <c r="I6672" s="3"/>
      <c r="J6672" s="3"/>
      <c r="K6672" s="3"/>
      <c r="L6672" s="3"/>
    </row>
    <row r="6673" spans="9:12" x14ac:dyDescent="0.25">
      <c r="I6673" s="3"/>
      <c r="J6673" s="3"/>
      <c r="K6673" s="3"/>
      <c r="L6673" s="3"/>
    </row>
    <row r="6674" spans="9:12" x14ac:dyDescent="0.25">
      <c r="I6674" s="3"/>
      <c r="J6674" s="3"/>
      <c r="K6674" s="3"/>
      <c r="L6674" s="3"/>
    </row>
    <row r="6675" spans="9:12" x14ac:dyDescent="0.25">
      <c r="I6675" s="3"/>
      <c r="J6675" s="3"/>
      <c r="K6675" s="3"/>
      <c r="L6675" s="3"/>
    </row>
    <row r="6676" spans="9:12" x14ac:dyDescent="0.25">
      <c r="I6676" s="3"/>
      <c r="J6676" s="3"/>
      <c r="K6676" s="3"/>
      <c r="L6676" s="3"/>
    </row>
    <row r="6677" spans="9:12" x14ac:dyDescent="0.25">
      <c r="I6677" s="3"/>
      <c r="J6677" s="3"/>
      <c r="K6677" s="3"/>
      <c r="L6677" s="3"/>
    </row>
    <row r="6678" spans="9:12" x14ac:dyDescent="0.25">
      <c r="I6678" s="3"/>
      <c r="J6678" s="3"/>
      <c r="K6678" s="3"/>
      <c r="L6678" s="3"/>
    </row>
    <row r="6679" spans="9:12" x14ac:dyDescent="0.25">
      <c r="I6679" s="3"/>
      <c r="J6679" s="3"/>
      <c r="K6679" s="3"/>
      <c r="L6679" s="3"/>
    </row>
    <row r="6680" spans="9:12" x14ac:dyDescent="0.25">
      <c r="I6680" s="3"/>
      <c r="J6680" s="3"/>
      <c r="K6680" s="3"/>
      <c r="L6680" s="3"/>
    </row>
    <row r="6681" spans="9:12" x14ac:dyDescent="0.25">
      <c r="I6681" s="3"/>
      <c r="J6681" s="3"/>
      <c r="K6681" s="3"/>
      <c r="L6681" s="3"/>
    </row>
    <row r="6682" spans="9:12" x14ac:dyDescent="0.25">
      <c r="I6682" s="3"/>
      <c r="J6682" s="3"/>
      <c r="K6682" s="3"/>
      <c r="L6682" s="3"/>
    </row>
    <row r="6683" spans="9:12" x14ac:dyDescent="0.25">
      <c r="I6683" s="3"/>
      <c r="J6683" s="3"/>
      <c r="K6683" s="3"/>
      <c r="L6683" s="3"/>
    </row>
    <row r="6684" spans="9:12" x14ac:dyDescent="0.25">
      <c r="I6684" s="3"/>
      <c r="J6684" s="3"/>
      <c r="K6684" s="3"/>
      <c r="L6684" s="3"/>
    </row>
    <row r="6685" spans="9:12" x14ac:dyDescent="0.25">
      <c r="I6685" s="3"/>
      <c r="J6685" s="3"/>
      <c r="K6685" s="3"/>
      <c r="L6685" s="3"/>
    </row>
    <row r="6686" spans="9:12" x14ac:dyDescent="0.25">
      <c r="I6686" s="3"/>
      <c r="J6686" s="3"/>
      <c r="K6686" s="3"/>
      <c r="L6686" s="3"/>
    </row>
    <row r="6687" spans="9:12" x14ac:dyDescent="0.25">
      <c r="I6687" s="3"/>
      <c r="J6687" s="3"/>
      <c r="K6687" s="3"/>
      <c r="L6687" s="3"/>
    </row>
    <row r="6688" spans="9:12" x14ac:dyDescent="0.25">
      <c r="I6688" s="3"/>
      <c r="J6688" s="3"/>
      <c r="K6688" s="3"/>
      <c r="L6688" s="3"/>
    </row>
    <row r="6689" spans="9:12" x14ac:dyDescent="0.25">
      <c r="I6689" s="3"/>
      <c r="J6689" s="3"/>
      <c r="K6689" s="3"/>
      <c r="L6689" s="3"/>
    </row>
    <row r="6690" spans="9:12" x14ac:dyDescent="0.25">
      <c r="I6690" s="3"/>
      <c r="J6690" s="3"/>
      <c r="K6690" s="3"/>
      <c r="L6690" s="3"/>
    </row>
    <row r="6691" spans="9:12" x14ac:dyDescent="0.25">
      <c r="I6691" s="3"/>
      <c r="J6691" s="3"/>
      <c r="K6691" s="3"/>
      <c r="L6691" s="3"/>
    </row>
    <row r="6692" spans="9:12" x14ac:dyDescent="0.25">
      <c r="I6692" s="3"/>
      <c r="J6692" s="3"/>
      <c r="K6692" s="3"/>
      <c r="L6692" s="3"/>
    </row>
    <row r="6693" spans="9:12" x14ac:dyDescent="0.25">
      <c r="I6693" s="3"/>
      <c r="J6693" s="3"/>
      <c r="K6693" s="3"/>
      <c r="L6693" s="3"/>
    </row>
    <row r="6694" spans="9:12" x14ac:dyDescent="0.25">
      <c r="I6694" s="3"/>
      <c r="J6694" s="3"/>
      <c r="K6694" s="3"/>
      <c r="L6694" s="3"/>
    </row>
    <row r="6695" spans="9:12" x14ac:dyDescent="0.25">
      <c r="I6695" s="3"/>
      <c r="J6695" s="3"/>
      <c r="K6695" s="3"/>
      <c r="L6695" s="3"/>
    </row>
    <row r="6696" spans="9:12" x14ac:dyDescent="0.25">
      <c r="I6696" s="3"/>
      <c r="J6696" s="3"/>
      <c r="K6696" s="3"/>
      <c r="L6696" s="3"/>
    </row>
    <row r="6697" spans="9:12" x14ac:dyDescent="0.25">
      <c r="I6697" s="3"/>
      <c r="J6697" s="3"/>
      <c r="K6697" s="3"/>
      <c r="L6697" s="3"/>
    </row>
    <row r="6698" spans="9:12" x14ac:dyDescent="0.25">
      <c r="I6698" s="3"/>
      <c r="J6698" s="3"/>
      <c r="K6698" s="3"/>
      <c r="L6698" s="3"/>
    </row>
    <row r="6699" spans="9:12" x14ac:dyDescent="0.25">
      <c r="I6699" s="3"/>
      <c r="J6699" s="3"/>
      <c r="K6699" s="3"/>
      <c r="L6699" s="3"/>
    </row>
    <row r="6700" spans="9:12" x14ac:dyDescent="0.25">
      <c r="I6700" s="3"/>
      <c r="J6700" s="3"/>
      <c r="K6700" s="3"/>
      <c r="L6700" s="3"/>
    </row>
    <row r="6701" spans="9:12" x14ac:dyDescent="0.25">
      <c r="I6701" s="3"/>
      <c r="J6701" s="3"/>
      <c r="K6701" s="3"/>
      <c r="L6701" s="3"/>
    </row>
    <row r="6702" spans="9:12" x14ac:dyDescent="0.25">
      <c r="I6702" s="3"/>
      <c r="J6702" s="3"/>
      <c r="K6702" s="3"/>
      <c r="L6702" s="3"/>
    </row>
    <row r="6703" spans="9:12" x14ac:dyDescent="0.25">
      <c r="I6703" s="3"/>
      <c r="J6703" s="3"/>
      <c r="K6703" s="3"/>
      <c r="L6703" s="3"/>
    </row>
    <row r="6704" spans="9:12" x14ac:dyDescent="0.25">
      <c r="I6704" s="3"/>
      <c r="J6704" s="3"/>
      <c r="K6704" s="3"/>
      <c r="L6704" s="3"/>
    </row>
    <row r="6705" spans="9:12" x14ac:dyDescent="0.25">
      <c r="I6705" s="3"/>
      <c r="J6705" s="3"/>
      <c r="K6705" s="3"/>
      <c r="L6705" s="3"/>
    </row>
    <row r="6706" spans="9:12" x14ac:dyDescent="0.25">
      <c r="I6706" s="3"/>
      <c r="J6706" s="3"/>
      <c r="K6706" s="3"/>
      <c r="L6706" s="3"/>
    </row>
    <row r="6707" spans="9:12" x14ac:dyDescent="0.25">
      <c r="I6707" s="3"/>
      <c r="J6707" s="3"/>
      <c r="K6707" s="3"/>
      <c r="L6707" s="3"/>
    </row>
    <row r="6708" spans="9:12" x14ac:dyDescent="0.25">
      <c r="I6708" s="3"/>
      <c r="J6708" s="3"/>
      <c r="K6708" s="3"/>
      <c r="L6708" s="3"/>
    </row>
    <row r="6709" spans="9:12" x14ac:dyDescent="0.25">
      <c r="I6709" s="3"/>
      <c r="J6709" s="3"/>
      <c r="K6709" s="3"/>
      <c r="L6709" s="3"/>
    </row>
    <row r="6710" spans="9:12" x14ac:dyDescent="0.25">
      <c r="I6710" s="3"/>
      <c r="J6710" s="3"/>
      <c r="K6710" s="3"/>
      <c r="L6710" s="3"/>
    </row>
    <row r="6711" spans="9:12" x14ac:dyDescent="0.25">
      <c r="I6711" s="3"/>
      <c r="J6711" s="3"/>
      <c r="K6711" s="3"/>
      <c r="L6711" s="3"/>
    </row>
    <row r="6712" spans="9:12" x14ac:dyDescent="0.25">
      <c r="I6712" s="3"/>
      <c r="J6712" s="3"/>
      <c r="K6712" s="3"/>
      <c r="L6712" s="3"/>
    </row>
    <row r="6713" spans="9:12" x14ac:dyDescent="0.25">
      <c r="I6713" s="3"/>
      <c r="J6713" s="3"/>
      <c r="K6713" s="3"/>
      <c r="L6713" s="3"/>
    </row>
    <row r="6714" spans="9:12" x14ac:dyDescent="0.25">
      <c r="I6714" s="3"/>
      <c r="J6714" s="3"/>
      <c r="K6714" s="3"/>
      <c r="L6714" s="3"/>
    </row>
    <row r="6715" spans="9:12" x14ac:dyDescent="0.25">
      <c r="I6715" s="3"/>
      <c r="J6715" s="3"/>
      <c r="K6715" s="3"/>
      <c r="L6715" s="3"/>
    </row>
    <row r="6716" spans="9:12" x14ac:dyDescent="0.25">
      <c r="I6716" s="3"/>
      <c r="J6716" s="3"/>
      <c r="K6716" s="3"/>
      <c r="L6716" s="3"/>
    </row>
    <row r="6717" spans="9:12" x14ac:dyDescent="0.25">
      <c r="I6717" s="3"/>
      <c r="J6717" s="3"/>
      <c r="K6717" s="3"/>
      <c r="L6717" s="3"/>
    </row>
    <row r="6718" spans="9:12" x14ac:dyDescent="0.25">
      <c r="I6718" s="3"/>
      <c r="J6718" s="3"/>
      <c r="K6718" s="3"/>
      <c r="L6718" s="3"/>
    </row>
    <row r="6719" spans="9:12" x14ac:dyDescent="0.25">
      <c r="I6719" s="3"/>
      <c r="J6719" s="3"/>
      <c r="K6719" s="3"/>
      <c r="L6719" s="3"/>
    </row>
    <row r="6720" spans="9:12" x14ac:dyDescent="0.25">
      <c r="I6720" s="3"/>
      <c r="J6720" s="3"/>
      <c r="K6720" s="3"/>
      <c r="L6720" s="3"/>
    </row>
    <row r="6721" spans="9:12" x14ac:dyDescent="0.25">
      <c r="I6721" s="3"/>
      <c r="J6721" s="3"/>
      <c r="K6721" s="3"/>
      <c r="L6721" s="3"/>
    </row>
    <row r="6722" spans="9:12" x14ac:dyDescent="0.25">
      <c r="I6722" s="3"/>
      <c r="J6722" s="3"/>
      <c r="K6722" s="3"/>
      <c r="L6722" s="3"/>
    </row>
    <row r="6723" spans="9:12" x14ac:dyDescent="0.25">
      <c r="I6723" s="3"/>
      <c r="J6723" s="3"/>
      <c r="K6723" s="3"/>
      <c r="L6723" s="3"/>
    </row>
    <row r="6724" spans="9:12" x14ac:dyDescent="0.25">
      <c r="I6724" s="3"/>
      <c r="J6724" s="3"/>
      <c r="K6724" s="3"/>
      <c r="L6724" s="3"/>
    </row>
    <row r="6725" spans="9:12" x14ac:dyDescent="0.25">
      <c r="I6725" s="3"/>
      <c r="J6725" s="3"/>
      <c r="K6725" s="3"/>
      <c r="L6725" s="3"/>
    </row>
    <row r="6726" spans="9:12" x14ac:dyDescent="0.25">
      <c r="I6726" s="3"/>
      <c r="J6726" s="3"/>
      <c r="K6726" s="3"/>
      <c r="L6726" s="3"/>
    </row>
    <row r="6727" spans="9:12" x14ac:dyDescent="0.25">
      <c r="I6727" s="3"/>
      <c r="J6727" s="3"/>
      <c r="K6727" s="3"/>
      <c r="L6727" s="3"/>
    </row>
    <row r="6728" spans="9:12" x14ac:dyDescent="0.25">
      <c r="I6728" s="3"/>
      <c r="J6728" s="3"/>
      <c r="K6728" s="3"/>
      <c r="L6728" s="3"/>
    </row>
    <row r="6729" spans="9:12" x14ac:dyDescent="0.25">
      <c r="I6729" s="3"/>
      <c r="J6729" s="3"/>
      <c r="K6729" s="3"/>
      <c r="L6729" s="3"/>
    </row>
    <row r="6730" spans="9:12" x14ac:dyDescent="0.25">
      <c r="I6730" s="3"/>
      <c r="J6730" s="3"/>
      <c r="K6730" s="3"/>
      <c r="L6730" s="3"/>
    </row>
    <row r="6731" spans="9:12" x14ac:dyDescent="0.25">
      <c r="I6731" s="3"/>
      <c r="J6731" s="3"/>
      <c r="K6731" s="3"/>
      <c r="L6731" s="3"/>
    </row>
    <row r="6732" spans="9:12" x14ac:dyDescent="0.25">
      <c r="I6732" s="3"/>
      <c r="J6732" s="3"/>
      <c r="K6732" s="3"/>
      <c r="L6732" s="3"/>
    </row>
    <row r="6733" spans="9:12" x14ac:dyDescent="0.25">
      <c r="I6733" s="3"/>
      <c r="J6733" s="3"/>
      <c r="K6733" s="3"/>
      <c r="L6733" s="3"/>
    </row>
    <row r="6734" spans="9:12" x14ac:dyDescent="0.25">
      <c r="I6734" s="3"/>
      <c r="J6734" s="3"/>
      <c r="K6734" s="3"/>
      <c r="L6734" s="3"/>
    </row>
    <row r="6735" spans="9:12" x14ac:dyDescent="0.25">
      <c r="I6735" s="3"/>
      <c r="J6735" s="3"/>
      <c r="K6735" s="3"/>
      <c r="L6735" s="3"/>
    </row>
    <row r="6736" spans="9:12" x14ac:dyDescent="0.25">
      <c r="I6736" s="3"/>
      <c r="J6736" s="3"/>
      <c r="K6736" s="3"/>
      <c r="L6736" s="3"/>
    </row>
    <row r="6737" spans="9:12" x14ac:dyDescent="0.25">
      <c r="I6737" s="3"/>
      <c r="J6737" s="3"/>
      <c r="K6737" s="3"/>
      <c r="L6737" s="3"/>
    </row>
    <row r="6738" spans="9:12" x14ac:dyDescent="0.25">
      <c r="I6738" s="3"/>
      <c r="J6738" s="3"/>
      <c r="K6738" s="3"/>
      <c r="L6738" s="3"/>
    </row>
    <row r="6739" spans="9:12" x14ac:dyDescent="0.25">
      <c r="I6739" s="3"/>
      <c r="J6739" s="3"/>
      <c r="K6739" s="3"/>
      <c r="L6739" s="3"/>
    </row>
    <row r="6740" spans="9:12" x14ac:dyDescent="0.25">
      <c r="I6740" s="3"/>
      <c r="J6740" s="3"/>
      <c r="K6740" s="3"/>
      <c r="L6740" s="3"/>
    </row>
    <row r="6741" spans="9:12" x14ac:dyDescent="0.25">
      <c r="I6741" s="3"/>
      <c r="J6741" s="3"/>
      <c r="K6741" s="3"/>
      <c r="L6741" s="3"/>
    </row>
    <row r="6742" spans="9:12" x14ac:dyDescent="0.25">
      <c r="I6742" s="3"/>
      <c r="J6742" s="3"/>
      <c r="K6742" s="3"/>
      <c r="L6742" s="3"/>
    </row>
    <row r="6743" spans="9:12" x14ac:dyDescent="0.25">
      <c r="I6743" s="3"/>
      <c r="J6743" s="3"/>
      <c r="K6743" s="3"/>
      <c r="L6743" s="3"/>
    </row>
    <row r="6744" spans="9:12" x14ac:dyDescent="0.25">
      <c r="I6744" s="3"/>
      <c r="J6744" s="3"/>
      <c r="K6744" s="3"/>
      <c r="L6744" s="3"/>
    </row>
    <row r="6745" spans="9:12" x14ac:dyDescent="0.25">
      <c r="I6745" s="3"/>
      <c r="J6745" s="3"/>
      <c r="K6745" s="3"/>
      <c r="L6745" s="3"/>
    </row>
    <row r="6746" spans="9:12" x14ac:dyDescent="0.25">
      <c r="I6746" s="3"/>
      <c r="J6746" s="3"/>
      <c r="K6746" s="3"/>
      <c r="L6746" s="3"/>
    </row>
    <row r="6747" spans="9:12" x14ac:dyDescent="0.25">
      <c r="I6747" s="3"/>
      <c r="J6747" s="3"/>
      <c r="K6747" s="3"/>
      <c r="L6747" s="3"/>
    </row>
    <row r="6748" spans="9:12" x14ac:dyDescent="0.25">
      <c r="I6748" s="3"/>
      <c r="J6748" s="3"/>
      <c r="K6748" s="3"/>
      <c r="L6748" s="3"/>
    </row>
    <row r="6749" spans="9:12" x14ac:dyDescent="0.25">
      <c r="I6749" s="3"/>
      <c r="J6749" s="3"/>
      <c r="K6749" s="3"/>
      <c r="L6749" s="3"/>
    </row>
    <row r="6750" spans="9:12" x14ac:dyDescent="0.25">
      <c r="I6750" s="3"/>
      <c r="J6750" s="3"/>
      <c r="K6750" s="3"/>
      <c r="L6750" s="3"/>
    </row>
    <row r="6751" spans="9:12" x14ac:dyDescent="0.25">
      <c r="I6751" s="3"/>
      <c r="J6751" s="3"/>
      <c r="K6751" s="3"/>
      <c r="L6751" s="3"/>
    </row>
    <row r="6752" spans="9:12" x14ac:dyDescent="0.25">
      <c r="I6752" s="3"/>
      <c r="J6752" s="3"/>
      <c r="K6752" s="3"/>
      <c r="L6752" s="3"/>
    </row>
    <row r="6753" spans="9:12" x14ac:dyDescent="0.25">
      <c r="I6753" s="3"/>
      <c r="J6753" s="3"/>
      <c r="K6753" s="3"/>
      <c r="L6753" s="3"/>
    </row>
    <row r="6754" spans="9:12" x14ac:dyDescent="0.25">
      <c r="I6754" s="3"/>
      <c r="J6754" s="3"/>
      <c r="K6754" s="3"/>
      <c r="L6754" s="3"/>
    </row>
    <row r="6755" spans="9:12" x14ac:dyDescent="0.25">
      <c r="I6755" s="3"/>
      <c r="J6755" s="3"/>
      <c r="K6755" s="3"/>
      <c r="L6755" s="3"/>
    </row>
    <row r="6756" spans="9:12" x14ac:dyDescent="0.25">
      <c r="I6756" s="3"/>
      <c r="J6756" s="3"/>
      <c r="K6756" s="3"/>
      <c r="L6756" s="3"/>
    </row>
    <row r="6757" spans="9:12" x14ac:dyDescent="0.25">
      <c r="I6757" s="3"/>
      <c r="J6757" s="3"/>
      <c r="K6757" s="3"/>
      <c r="L6757" s="3"/>
    </row>
    <row r="6758" spans="9:12" x14ac:dyDescent="0.25">
      <c r="I6758" s="3"/>
      <c r="J6758" s="3"/>
      <c r="K6758" s="3"/>
      <c r="L6758" s="3"/>
    </row>
    <row r="6759" spans="9:12" x14ac:dyDescent="0.25">
      <c r="I6759" s="3"/>
      <c r="J6759" s="3"/>
      <c r="K6759" s="3"/>
      <c r="L6759" s="3"/>
    </row>
    <row r="6760" spans="9:12" x14ac:dyDescent="0.25">
      <c r="I6760" s="3"/>
      <c r="J6760" s="3"/>
      <c r="K6760" s="3"/>
      <c r="L6760" s="3"/>
    </row>
    <row r="6761" spans="9:12" x14ac:dyDescent="0.25">
      <c r="I6761" s="3"/>
      <c r="J6761" s="3"/>
      <c r="K6761" s="3"/>
      <c r="L6761" s="3"/>
    </row>
    <row r="6762" spans="9:12" x14ac:dyDescent="0.25">
      <c r="I6762" s="3"/>
      <c r="J6762" s="3"/>
      <c r="K6762" s="3"/>
      <c r="L6762" s="3"/>
    </row>
    <row r="6763" spans="9:12" x14ac:dyDescent="0.25">
      <c r="I6763" s="3"/>
      <c r="J6763" s="3"/>
      <c r="K6763" s="3"/>
      <c r="L6763" s="3"/>
    </row>
    <row r="6764" spans="9:12" x14ac:dyDescent="0.25">
      <c r="I6764" s="3"/>
      <c r="J6764" s="3"/>
      <c r="K6764" s="3"/>
      <c r="L6764" s="3"/>
    </row>
    <row r="6765" spans="9:12" x14ac:dyDescent="0.25">
      <c r="I6765" s="3"/>
      <c r="J6765" s="3"/>
      <c r="K6765" s="3"/>
      <c r="L6765" s="3"/>
    </row>
    <row r="6766" spans="9:12" x14ac:dyDescent="0.25">
      <c r="I6766" s="3"/>
      <c r="J6766" s="3"/>
      <c r="K6766" s="3"/>
      <c r="L6766" s="3"/>
    </row>
    <row r="6767" spans="9:12" x14ac:dyDescent="0.25">
      <c r="I6767" s="3"/>
      <c r="J6767" s="3"/>
      <c r="K6767" s="3"/>
      <c r="L6767" s="3"/>
    </row>
    <row r="6768" spans="9:12" x14ac:dyDescent="0.25">
      <c r="I6768" s="3"/>
      <c r="J6768" s="3"/>
      <c r="K6768" s="3"/>
      <c r="L6768" s="3"/>
    </row>
    <row r="6769" spans="9:12" x14ac:dyDescent="0.25">
      <c r="I6769" s="3"/>
      <c r="J6769" s="3"/>
      <c r="K6769" s="3"/>
      <c r="L6769" s="3"/>
    </row>
    <row r="6770" spans="9:12" x14ac:dyDescent="0.25">
      <c r="I6770" s="3"/>
      <c r="J6770" s="3"/>
      <c r="K6770" s="3"/>
      <c r="L6770" s="3"/>
    </row>
    <row r="6771" spans="9:12" x14ac:dyDescent="0.25">
      <c r="I6771" s="3"/>
      <c r="J6771" s="3"/>
      <c r="K6771" s="3"/>
      <c r="L6771" s="3"/>
    </row>
    <row r="6772" spans="9:12" x14ac:dyDescent="0.25">
      <c r="I6772" s="3"/>
      <c r="J6772" s="3"/>
      <c r="K6772" s="3"/>
      <c r="L6772" s="3"/>
    </row>
    <row r="6773" spans="9:12" x14ac:dyDescent="0.25">
      <c r="I6773" s="3"/>
      <c r="J6773" s="3"/>
      <c r="K6773" s="3"/>
      <c r="L6773" s="3"/>
    </row>
    <row r="6774" spans="9:12" x14ac:dyDescent="0.25">
      <c r="I6774" s="3"/>
      <c r="J6774" s="3"/>
      <c r="K6774" s="3"/>
      <c r="L6774" s="3"/>
    </row>
    <row r="6775" spans="9:12" x14ac:dyDescent="0.25">
      <c r="I6775" s="3"/>
      <c r="J6775" s="3"/>
      <c r="K6775" s="3"/>
      <c r="L6775" s="3"/>
    </row>
    <row r="6776" spans="9:12" x14ac:dyDescent="0.25">
      <c r="I6776" s="3"/>
      <c r="J6776" s="3"/>
      <c r="K6776" s="3"/>
      <c r="L6776" s="3"/>
    </row>
    <row r="6777" spans="9:12" x14ac:dyDescent="0.25">
      <c r="I6777" s="3"/>
      <c r="J6777" s="3"/>
      <c r="K6777" s="3"/>
      <c r="L6777" s="3"/>
    </row>
    <row r="6778" spans="9:12" x14ac:dyDescent="0.25">
      <c r="I6778" s="3"/>
      <c r="J6778" s="3"/>
      <c r="K6778" s="3"/>
      <c r="L6778" s="3"/>
    </row>
    <row r="6779" spans="9:12" x14ac:dyDescent="0.25">
      <c r="I6779" s="3"/>
      <c r="J6779" s="3"/>
      <c r="K6779" s="3"/>
      <c r="L6779" s="3"/>
    </row>
    <row r="6780" spans="9:12" x14ac:dyDescent="0.25">
      <c r="I6780" s="3"/>
      <c r="J6780" s="3"/>
      <c r="K6780" s="3"/>
      <c r="L6780" s="3"/>
    </row>
    <row r="6781" spans="9:12" x14ac:dyDescent="0.25">
      <c r="I6781" s="3"/>
      <c r="J6781" s="3"/>
      <c r="K6781" s="3"/>
      <c r="L6781" s="3"/>
    </row>
    <row r="6782" spans="9:12" x14ac:dyDescent="0.25">
      <c r="I6782" s="4"/>
      <c r="J6782" s="4"/>
      <c r="K6782" s="4"/>
      <c r="L6782" s="4"/>
    </row>
    <row r="6783" spans="9:12" x14ac:dyDescent="0.25">
      <c r="I6783" s="3"/>
      <c r="J6783" s="3"/>
      <c r="K6783" s="3"/>
      <c r="L6783" s="3"/>
    </row>
    <row r="6784" spans="9:12" x14ac:dyDescent="0.25">
      <c r="I6784" s="3"/>
      <c r="J6784" s="3"/>
      <c r="K6784" s="3"/>
      <c r="L6784" s="3"/>
    </row>
    <row r="6785" spans="9:12" x14ac:dyDescent="0.25">
      <c r="I6785" s="3"/>
      <c r="J6785" s="3"/>
      <c r="K6785" s="3"/>
      <c r="L6785" s="3"/>
    </row>
    <row r="6786" spans="9:12" x14ac:dyDescent="0.25">
      <c r="I6786" s="3"/>
      <c r="J6786" s="3"/>
      <c r="K6786" s="3"/>
      <c r="L6786" s="3"/>
    </row>
    <row r="6787" spans="9:12" x14ac:dyDescent="0.25">
      <c r="I6787" s="3"/>
      <c r="J6787" s="3"/>
      <c r="K6787" s="3"/>
      <c r="L6787" s="3"/>
    </row>
    <row r="6788" spans="9:12" x14ac:dyDescent="0.25">
      <c r="I6788" s="3"/>
      <c r="J6788" s="3"/>
      <c r="K6788" s="3"/>
      <c r="L6788" s="3"/>
    </row>
    <row r="6789" spans="9:12" x14ac:dyDescent="0.25">
      <c r="I6789" s="3"/>
      <c r="J6789" s="3"/>
      <c r="K6789" s="3"/>
      <c r="L6789" s="3"/>
    </row>
    <row r="6790" spans="9:12" x14ac:dyDescent="0.25">
      <c r="I6790" s="3"/>
      <c r="J6790" s="3"/>
      <c r="K6790" s="3"/>
      <c r="L6790" s="3"/>
    </row>
    <row r="6791" spans="9:12" x14ac:dyDescent="0.25">
      <c r="I6791" s="3"/>
      <c r="J6791" s="3"/>
      <c r="K6791" s="3"/>
      <c r="L6791" s="3"/>
    </row>
    <row r="6792" spans="9:12" x14ac:dyDescent="0.25">
      <c r="I6792" s="3"/>
      <c r="J6792" s="3"/>
      <c r="K6792" s="3"/>
      <c r="L6792" s="3"/>
    </row>
    <row r="6793" spans="9:12" x14ac:dyDescent="0.25">
      <c r="I6793" s="3"/>
      <c r="J6793" s="3"/>
      <c r="K6793" s="3"/>
      <c r="L6793" s="3"/>
    </row>
    <row r="6794" spans="9:12" x14ac:dyDescent="0.25">
      <c r="I6794" s="3"/>
      <c r="J6794" s="3"/>
      <c r="K6794" s="3"/>
      <c r="L6794" s="3"/>
    </row>
    <row r="6795" spans="9:12" x14ac:dyDescent="0.25">
      <c r="I6795" s="3"/>
      <c r="J6795" s="3"/>
      <c r="K6795" s="3"/>
      <c r="L6795" s="3"/>
    </row>
    <row r="6796" spans="9:12" x14ac:dyDescent="0.25">
      <c r="I6796" s="3"/>
      <c r="J6796" s="3"/>
      <c r="K6796" s="3"/>
      <c r="L6796" s="3"/>
    </row>
    <row r="6797" spans="9:12" x14ac:dyDescent="0.25">
      <c r="I6797" s="3"/>
      <c r="J6797" s="3"/>
      <c r="K6797" s="3"/>
      <c r="L6797" s="3"/>
    </row>
    <row r="6798" spans="9:12" x14ac:dyDescent="0.25">
      <c r="I6798" s="3"/>
      <c r="J6798" s="3"/>
      <c r="K6798" s="3"/>
      <c r="L6798" s="3"/>
    </row>
    <row r="6799" spans="9:12" x14ac:dyDescent="0.25">
      <c r="I6799" s="3"/>
      <c r="J6799" s="3"/>
      <c r="K6799" s="3"/>
      <c r="L6799" s="3"/>
    </row>
    <row r="6800" spans="9:12" x14ac:dyDescent="0.25">
      <c r="I6800" s="3"/>
      <c r="J6800" s="3"/>
      <c r="K6800" s="3"/>
      <c r="L6800" s="3"/>
    </row>
    <row r="6801" spans="9:12" x14ac:dyDescent="0.25">
      <c r="I6801" s="3"/>
      <c r="J6801" s="3"/>
      <c r="K6801" s="3"/>
      <c r="L6801" s="3"/>
    </row>
    <row r="6802" spans="9:12" x14ac:dyDescent="0.25">
      <c r="I6802" s="3"/>
      <c r="J6802" s="3"/>
      <c r="K6802" s="3"/>
      <c r="L6802" s="3"/>
    </row>
    <row r="6803" spans="9:12" x14ac:dyDescent="0.25">
      <c r="I6803" s="3"/>
      <c r="J6803" s="3"/>
      <c r="K6803" s="3"/>
      <c r="L6803" s="3"/>
    </row>
    <row r="6804" spans="9:12" x14ac:dyDescent="0.25">
      <c r="I6804" s="3"/>
      <c r="J6804" s="3"/>
      <c r="K6804" s="3"/>
      <c r="L6804" s="3"/>
    </row>
    <row r="6805" spans="9:12" x14ac:dyDescent="0.25">
      <c r="I6805" s="3"/>
      <c r="J6805" s="3"/>
      <c r="K6805" s="3"/>
      <c r="L6805" s="3"/>
    </row>
    <row r="6806" spans="9:12" x14ac:dyDescent="0.25">
      <c r="I6806" s="3"/>
      <c r="J6806" s="3"/>
      <c r="K6806" s="3"/>
      <c r="L6806" s="3"/>
    </row>
    <row r="6807" spans="9:12" x14ac:dyDescent="0.25">
      <c r="I6807" s="3"/>
      <c r="J6807" s="3"/>
      <c r="K6807" s="3"/>
      <c r="L6807" s="3"/>
    </row>
    <row r="6808" spans="9:12" x14ac:dyDescent="0.25">
      <c r="I6808" s="3"/>
      <c r="J6808" s="3"/>
      <c r="K6808" s="3"/>
      <c r="L6808" s="3"/>
    </row>
    <row r="6809" spans="9:12" x14ac:dyDescent="0.25">
      <c r="I6809" s="3"/>
      <c r="J6809" s="3"/>
      <c r="K6809" s="3"/>
      <c r="L6809" s="3"/>
    </row>
    <row r="6810" spans="9:12" x14ac:dyDescent="0.25">
      <c r="I6810" s="3"/>
      <c r="J6810" s="3"/>
      <c r="K6810" s="3"/>
      <c r="L6810" s="3"/>
    </row>
    <row r="6811" spans="9:12" x14ac:dyDescent="0.25">
      <c r="I6811" s="3"/>
      <c r="J6811" s="3"/>
      <c r="K6811" s="3"/>
      <c r="L6811" s="3"/>
    </row>
    <row r="6812" spans="9:12" x14ac:dyDescent="0.25">
      <c r="I6812" s="3"/>
      <c r="J6812" s="3"/>
      <c r="K6812" s="3"/>
      <c r="L6812" s="3"/>
    </row>
    <row r="6813" spans="9:12" x14ac:dyDescent="0.25">
      <c r="I6813" s="3"/>
      <c r="J6813" s="3"/>
      <c r="K6813" s="3"/>
      <c r="L6813" s="3"/>
    </row>
    <row r="6814" spans="9:12" x14ac:dyDescent="0.25">
      <c r="I6814" s="3"/>
      <c r="J6814" s="3"/>
      <c r="K6814" s="3"/>
      <c r="L6814" s="3"/>
    </row>
    <row r="6815" spans="9:12" x14ac:dyDescent="0.25">
      <c r="I6815" s="3"/>
      <c r="J6815" s="3"/>
      <c r="K6815" s="3"/>
      <c r="L6815" s="3"/>
    </row>
    <row r="6816" spans="9:12" x14ac:dyDescent="0.25">
      <c r="I6816" s="3"/>
      <c r="J6816" s="3"/>
      <c r="K6816" s="3"/>
      <c r="L6816" s="3"/>
    </row>
    <row r="6817" spans="9:12" x14ac:dyDescent="0.25">
      <c r="I6817" s="3"/>
      <c r="J6817" s="3"/>
      <c r="K6817" s="3"/>
      <c r="L6817" s="3"/>
    </row>
    <row r="6818" spans="9:12" x14ac:dyDescent="0.25">
      <c r="I6818" s="3"/>
      <c r="J6818" s="3"/>
      <c r="K6818" s="3"/>
      <c r="L6818" s="3"/>
    </row>
    <row r="6819" spans="9:12" x14ac:dyDescent="0.25">
      <c r="I6819" s="3"/>
      <c r="J6819" s="3"/>
      <c r="K6819" s="3"/>
      <c r="L6819" s="3"/>
    </row>
    <row r="6820" spans="9:12" x14ac:dyDescent="0.25">
      <c r="I6820" s="3"/>
      <c r="J6820" s="3"/>
      <c r="K6820" s="3"/>
      <c r="L6820" s="3"/>
    </row>
    <row r="6821" spans="9:12" x14ac:dyDescent="0.25">
      <c r="I6821" s="3"/>
      <c r="J6821" s="3"/>
      <c r="K6821" s="3"/>
      <c r="L6821" s="3"/>
    </row>
    <row r="6822" spans="9:12" x14ac:dyDescent="0.25">
      <c r="I6822" s="3"/>
      <c r="J6822" s="3"/>
      <c r="K6822" s="3"/>
      <c r="L6822" s="3"/>
    </row>
    <row r="6823" spans="9:12" x14ac:dyDescent="0.25">
      <c r="I6823" s="3"/>
      <c r="J6823" s="3"/>
      <c r="K6823" s="3"/>
      <c r="L6823" s="3"/>
    </row>
    <row r="6824" spans="9:12" x14ac:dyDescent="0.25">
      <c r="I6824" s="3"/>
      <c r="J6824" s="3"/>
      <c r="K6824" s="3"/>
      <c r="L6824" s="3"/>
    </row>
    <row r="6825" spans="9:12" x14ac:dyDescent="0.25">
      <c r="I6825" s="3"/>
      <c r="J6825" s="3"/>
      <c r="K6825" s="3"/>
      <c r="L6825" s="3"/>
    </row>
    <row r="6826" spans="9:12" x14ac:dyDescent="0.25">
      <c r="I6826" s="3"/>
      <c r="J6826" s="3"/>
      <c r="K6826" s="3"/>
      <c r="L6826" s="3"/>
    </row>
    <row r="6827" spans="9:12" x14ac:dyDescent="0.25">
      <c r="I6827" s="3"/>
      <c r="J6827" s="3"/>
      <c r="K6827" s="3"/>
      <c r="L6827" s="3"/>
    </row>
    <row r="6828" spans="9:12" x14ac:dyDescent="0.25">
      <c r="I6828" s="3"/>
      <c r="J6828" s="3"/>
      <c r="K6828" s="3"/>
      <c r="L6828" s="3"/>
    </row>
    <row r="6829" spans="9:12" x14ac:dyDescent="0.25">
      <c r="I6829" s="3"/>
      <c r="J6829" s="3"/>
      <c r="K6829" s="3"/>
      <c r="L6829" s="3"/>
    </row>
    <row r="6830" spans="9:12" x14ac:dyDescent="0.25">
      <c r="I6830" s="3"/>
      <c r="J6830" s="3"/>
      <c r="K6830" s="3"/>
      <c r="L6830" s="3"/>
    </row>
    <row r="6831" spans="9:12" x14ac:dyDescent="0.25">
      <c r="I6831" s="3"/>
      <c r="J6831" s="3"/>
      <c r="K6831" s="3"/>
      <c r="L6831" s="3"/>
    </row>
    <row r="6832" spans="9:12" x14ac:dyDescent="0.25">
      <c r="I6832" s="3"/>
      <c r="J6832" s="3"/>
      <c r="K6832" s="3"/>
      <c r="L6832" s="3"/>
    </row>
    <row r="6833" spans="9:12" x14ac:dyDescent="0.25">
      <c r="I6833" s="3"/>
      <c r="J6833" s="3"/>
      <c r="K6833" s="3"/>
      <c r="L6833" s="3"/>
    </row>
    <row r="6834" spans="9:12" x14ac:dyDescent="0.25">
      <c r="I6834" s="3"/>
      <c r="J6834" s="3"/>
      <c r="K6834" s="3"/>
      <c r="L6834" s="3"/>
    </row>
    <row r="6835" spans="9:12" x14ac:dyDescent="0.25">
      <c r="I6835" s="3"/>
      <c r="J6835" s="3"/>
      <c r="K6835" s="3"/>
      <c r="L6835" s="3"/>
    </row>
    <row r="6836" spans="9:12" x14ac:dyDescent="0.25">
      <c r="I6836" s="3"/>
      <c r="J6836" s="3"/>
      <c r="K6836" s="3"/>
      <c r="L6836" s="3"/>
    </row>
    <row r="6837" spans="9:12" x14ac:dyDescent="0.25">
      <c r="I6837" s="3"/>
      <c r="J6837" s="3"/>
      <c r="K6837" s="3"/>
      <c r="L6837" s="3"/>
    </row>
    <row r="6838" spans="9:12" x14ac:dyDescent="0.25">
      <c r="I6838" s="3"/>
      <c r="J6838" s="3"/>
      <c r="K6838" s="3"/>
      <c r="L6838" s="3"/>
    </row>
    <row r="6839" spans="9:12" x14ac:dyDescent="0.25">
      <c r="I6839" s="3"/>
      <c r="J6839" s="3"/>
      <c r="K6839" s="3"/>
      <c r="L6839" s="3"/>
    </row>
    <row r="6840" spans="9:12" x14ac:dyDescent="0.25">
      <c r="I6840" s="3"/>
      <c r="J6840" s="3"/>
      <c r="K6840" s="3"/>
      <c r="L6840" s="3"/>
    </row>
    <row r="6841" spans="9:12" x14ac:dyDescent="0.25">
      <c r="I6841" s="3"/>
      <c r="J6841" s="3"/>
      <c r="K6841" s="3"/>
      <c r="L6841" s="3"/>
    </row>
    <row r="6842" spans="9:12" x14ac:dyDescent="0.25">
      <c r="I6842" s="3"/>
      <c r="J6842" s="3"/>
      <c r="K6842" s="3"/>
      <c r="L6842" s="3"/>
    </row>
    <row r="6843" spans="9:12" x14ac:dyDescent="0.25">
      <c r="I6843" s="3"/>
      <c r="J6843" s="3"/>
      <c r="K6843" s="3"/>
      <c r="L6843" s="3"/>
    </row>
    <row r="6844" spans="9:12" x14ac:dyDescent="0.25">
      <c r="I6844" s="3"/>
      <c r="J6844" s="3"/>
      <c r="K6844" s="3"/>
      <c r="L6844" s="3"/>
    </row>
    <row r="6845" spans="9:12" x14ac:dyDescent="0.25">
      <c r="I6845" s="3"/>
      <c r="J6845" s="3"/>
      <c r="K6845" s="3"/>
      <c r="L6845" s="3"/>
    </row>
    <row r="6846" spans="9:12" x14ac:dyDescent="0.25">
      <c r="I6846" s="3"/>
      <c r="J6846" s="3"/>
      <c r="K6846" s="3"/>
      <c r="L6846" s="3"/>
    </row>
    <row r="6847" spans="9:12" x14ac:dyDescent="0.25">
      <c r="I6847" s="3"/>
      <c r="J6847" s="3"/>
      <c r="K6847" s="3"/>
      <c r="L6847" s="3"/>
    </row>
    <row r="6848" spans="9:12" x14ac:dyDescent="0.25">
      <c r="I6848" s="3"/>
      <c r="J6848" s="3"/>
      <c r="K6848" s="3"/>
      <c r="L6848" s="3"/>
    </row>
    <row r="6849" spans="9:12" x14ac:dyDescent="0.25">
      <c r="I6849" s="3"/>
      <c r="J6849" s="3"/>
      <c r="K6849" s="3"/>
      <c r="L6849" s="3"/>
    </row>
    <row r="6850" spans="9:12" x14ac:dyDescent="0.25">
      <c r="I6850" s="3"/>
      <c r="J6850" s="3"/>
      <c r="K6850" s="3"/>
      <c r="L6850" s="3"/>
    </row>
    <row r="6851" spans="9:12" x14ac:dyDescent="0.25">
      <c r="I6851" s="3"/>
      <c r="J6851" s="3"/>
      <c r="K6851" s="3"/>
      <c r="L6851" s="3"/>
    </row>
    <row r="6852" spans="9:12" x14ac:dyDescent="0.25">
      <c r="I6852" s="3"/>
      <c r="J6852" s="3"/>
      <c r="K6852" s="3"/>
      <c r="L6852" s="3"/>
    </row>
    <row r="6853" spans="9:12" x14ac:dyDescent="0.25">
      <c r="I6853" s="3"/>
      <c r="J6853" s="3"/>
      <c r="K6853" s="3"/>
      <c r="L6853" s="3"/>
    </row>
    <row r="6854" spans="9:12" x14ac:dyDescent="0.25">
      <c r="I6854" s="3"/>
      <c r="J6854" s="3"/>
      <c r="K6854" s="3"/>
      <c r="L6854" s="3"/>
    </row>
    <row r="6855" spans="9:12" x14ac:dyDescent="0.25">
      <c r="I6855" s="3"/>
      <c r="J6855" s="3"/>
      <c r="K6855" s="3"/>
      <c r="L6855" s="3"/>
    </row>
    <row r="6856" spans="9:12" x14ac:dyDescent="0.25">
      <c r="I6856" s="3"/>
      <c r="J6856" s="3"/>
      <c r="K6856" s="3"/>
      <c r="L6856" s="3"/>
    </row>
    <row r="6857" spans="9:12" x14ac:dyDescent="0.25">
      <c r="I6857" s="3"/>
      <c r="J6857" s="3"/>
      <c r="K6857" s="3"/>
      <c r="L6857" s="3"/>
    </row>
    <row r="6858" spans="9:12" x14ac:dyDescent="0.25">
      <c r="I6858" s="3"/>
      <c r="J6858" s="3"/>
      <c r="K6858" s="3"/>
      <c r="L6858" s="3"/>
    </row>
    <row r="6859" spans="9:12" x14ac:dyDescent="0.25">
      <c r="I6859" s="3"/>
      <c r="J6859" s="3"/>
      <c r="K6859" s="3"/>
      <c r="L6859" s="3"/>
    </row>
    <row r="6860" spans="9:12" x14ac:dyDescent="0.25">
      <c r="I6860" s="3"/>
      <c r="J6860" s="3"/>
      <c r="K6860" s="3"/>
      <c r="L6860" s="3"/>
    </row>
    <row r="6861" spans="9:12" x14ac:dyDescent="0.25">
      <c r="I6861" s="3"/>
      <c r="J6861" s="3"/>
      <c r="K6861" s="3"/>
      <c r="L6861" s="3"/>
    </row>
    <row r="6862" spans="9:12" x14ac:dyDescent="0.25">
      <c r="I6862" s="3"/>
      <c r="J6862" s="3"/>
      <c r="K6862" s="3"/>
      <c r="L6862" s="3"/>
    </row>
    <row r="6863" spans="9:12" x14ac:dyDescent="0.25">
      <c r="I6863" s="3"/>
      <c r="J6863" s="3"/>
      <c r="K6863" s="3"/>
      <c r="L6863" s="3"/>
    </row>
    <row r="6864" spans="9:12" x14ac:dyDescent="0.25">
      <c r="I6864" s="3"/>
      <c r="J6864" s="3"/>
      <c r="K6864" s="3"/>
      <c r="L6864" s="3"/>
    </row>
    <row r="6865" spans="9:12" x14ac:dyDescent="0.25">
      <c r="I6865" s="3"/>
      <c r="J6865" s="3"/>
      <c r="K6865" s="3"/>
      <c r="L6865" s="3"/>
    </row>
    <row r="6866" spans="9:12" x14ac:dyDescent="0.25">
      <c r="I6866" s="3"/>
      <c r="J6866" s="3"/>
      <c r="K6866" s="3"/>
      <c r="L6866" s="3"/>
    </row>
    <row r="6867" spans="9:12" x14ac:dyDescent="0.25">
      <c r="I6867" s="3"/>
      <c r="J6867" s="3"/>
      <c r="K6867" s="3"/>
      <c r="L6867" s="3"/>
    </row>
    <row r="6868" spans="9:12" x14ac:dyDescent="0.25">
      <c r="I6868" s="3"/>
      <c r="J6868" s="3"/>
      <c r="K6868" s="3"/>
      <c r="L6868" s="3"/>
    </row>
    <row r="6869" spans="9:12" x14ac:dyDescent="0.25">
      <c r="I6869" s="3"/>
      <c r="J6869" s="3"/>
      <c r="K6869" s="3"/>
      <c r="L6869" s="3"/>
    </row>
    <row r="6870" spans="9:12" x14ac:dyDescent="0.25">
      <c r="I6870" s="3"/>
      <c r="J6870" s="3"/>
      <c r="K6870" s="3"/>
      <c r="L6870" s="3"/>
    </row>
    <row r="6871" spans="9:12" x14ac:dyDescent="0.25">
      <c r="I6871" s="3"/>
      <c r="J6871" s="3"/>
      <c r="K6871" s="3"/>
      <c r="L6871" s="3"/>
    </row>
    <row r="6872" spans="9:12" x14ac:dyDescent="0.25">
      <c r="I6872" s="3"/>
      <c r="J6872" s="3"/>
      <c r="K6872" s="3"/>
      <c r="L6872" s="3"/>
    </row>
    <row r="6873" spans="9:12" x14ac:dyDescent="0.25">
      <c r="I6873" s="3"/>
      <c r="J6873" s="3"/>
      <c r="K6873" s="3"/>
      <c r="L6873" s="3"/>
    </row>
    <row r="6874" spans="9:12" x14ac:dyDescent="0.25">
      <c r="I6874" s="3"/>
      <c r="J6874" s="3"/>
      <c r="K6874" s="3"/>
      <c r="L6874" s="3"/>
    </row>
    <row r="6875" spans="9:12" x14ac:dyDescent="0.25">
      <c r="I6875" s="3"/>
      <c r="J6875" s="3"/>
      <c r="K6875" s="3"/>
      <c r="L6875" s="3"/>
    </row>
    <row r="6876" spans="9:12" x14ac:dyDescent="0.25">
      <c r="I6876" s="3"/>
      <c r="J6876" s="3"/>
      <c r="K6876" s="3"/>
      <c r="L6876" s="3"/>
    </row>
    <row r="6877" spans="9:12" x14ac:dyDescent="0.25">
      <c r="I6877" s="3"/>
      <c r="J6877" s="3"/>
      <c r="K6877" s="3"/>
      <c r="L6877" s="3"/>
    </row>
    <row r="6878" spans="9:12" x14ac:dyDescent="0.25">
      <c r="I6878" s="3"/>
      <c r="J6878" s="3"/>
      <c r="K6878" s="3"/>
      <c r="L6878" s="3"/>
    </row>
    <row r="6879" spans="9:12" x14ac:dyDescent="0.25">
      <c r="I6879" s="3"/>
      <c r="J6879" s="3"/>
      <c r="K6879" s="3"/>
      <c r="L6879" s="3"/>
    </row>
    <row r="6880" spans="9:12" x14ac:dyDescent="0.25">
      <c r="I6880" s="3"/>
      <c r="J6880" s="3"/>
      <c r="K6880" s="3"/>
      <c r="L6880" s="3"/>
    </row>
    <row r="6881" spans="9:12" x14ac:dyDescent="0.25">
      <c r="I6881" s="3"/>
      <c r="J6881" s="3"/>
      <c r="K6881" s="3"/>
      <c r="L6881" s="3"/>
    </row>
    <row r="6882" spans="9:12" x14ac:dyDescent="0.25">
      <c r="I6882" s="3"/>
      <c r="J6882" s="3"/>
      <c r="K6882" s="3"/>
      <c r="L6882" s="3"/>
    </row>
    <row r="6883" spans="9:12" x14ac:dyDescent="0.25">
      <c r="I6883" s="3"/>
      <c r="J6883" s="3"/>
      <c r="K6883" s="3"/>
      <c r="L6883" s="3"/>
    </row>
    <row r="6884" spans="9:12" x14ac:dyDescent="0.25">
      <c r="I6884" s="3"/>
      <c r="J6884" s="3"/>
      <c r="K6884" s="3"/>
      <c r="L6884" s="3"/>
    </row>
    <row r="6885" spans="9:12" x14ac:dyDescent="0.25">
      <c r="I6885" s="3"/>
      <c r="J6885" s="3"/>
      <c r="K6885" s="3"/>
      <c r="L6885" s="3"/>
    </row>
    <row r="6886" spans="9:12" x14ac:dyDescent="0.25">
      <c r="I6886" s="4"/>
      <c r="J6886" s="4"/>
      <c r="K6886" s="4"/>
      <c r="L6886" s="4"/>
    </row>
    <row r="6887" spans="9:12" x14ac:dyDescent="0.25">
      <c r="I6887" s="3"/>
      <c r="J6887" s="3"/>
      <c r="K6887" s="3"/>
      <c r="L6887" s="3"/>
    </row>
    <row r="6888" spans="9:12" x14ac:dyDescent="0.25">
      <c r="I6888" s="3"/>
      <c r="J6888" s="3"/>
      <c r="K6888" s="3"/>
      <c r="L6888" s="3"/>
    </row>
    <row r="6889" spans="9:12" x14ac:dyDescent="0.25">
      <c r="I6889" s="3"/>
      <c r="J6889" s="3"/>
      <c r="K6889" s="3"/>
      <c r="L6889" s="3"/>
    </row>
    <row r="6890" spans="9:12" x14ac:dyDescent="0.25">
      <c r="I6890" s="3"/>
      <c r="J6890" s="3"/>
      <c r="K6890" s="3"/>
      <c r="L6890" s="3"/>
    </row>
    <row r="6891" spans="9:12" x14ac:dyDescent="0.25">
      <c r="I6891" s="3"/>
      <c r="J6891" s="3"/>
      <c r="K6891" s="3"/>
      <c r="L6891" s="3"/>
    </row>
    <row r="6892" spans="9:12" x14ac:dyDescent="0.25">
      <c r="I6892" s="3"/>
      <c r="J6892" s="3"/>
      <c r="K6892" s="3"/>
      <c r="L6892" s="3"/>
    </row>
    <row r="6893" spans="9:12" x14ac:dyDescent="0.25">
      <c r="I6893" s="3"/>
      <c r="J6893" s="3"/>
      <c r="K6893" s="3"/>
      <c r="L6893" s="3"/>
    </row>
    <row r="6894" spans="9:12" x14ac:dyDescent="0.25">
      <c r="I6894" s="3"/>
      <c r="J6894" s="3"/>
      <c r="K6894" s="3"/>
      <c r="L6894" s="3"/>
    </row>
    <row r="6895" spans="9:12" x14ac:dyDescent="0.25">
      <c r="I6895" s="3"/>
      <c r="J6895" s="3"/>
      <c r="K6895" s="3"/>
      <c r="L6895" s="3"/>
    </row>
    <row r="6896" spans="9:12" x14ac:dyDescent="0.25">
      <c r="I6896" s="3"/>
      <c r="J6896" s="3"/>
      <c r="K6896" s="3"/>
      <c r="L6896" s="3"/>
    </row>
    <row r="6897" spans="9:12" x14ac:dyDescent="0.25">
      <c r="I6897" s="3"/>
      <c r="J6897" s="3"/>
      <c r="K6897" s="3"/>
      <c r="L6897" s="3"/>
    </row>
    <row r="6898" spans="9:12" x14ac:dyDescent="0.25">
      <c r="I6898" s="3"/>
      <c r="J6898" s="3"/>
      <c r="K6898" s="3"/>
      <c r="L6898" s="3"/>
    </row>
    <row r="6899" spans="9:12" x14ac:dyDescent="0.25">
      <c r="I6899" s="3"/>
      <c r="J6899" s="3"/>
      <c r="K6899" s="3"/>
      <c r="L6899" s="3"/>
    </row>
    <row r="6900" spans="9:12" x14ac:dyDescent="0.25">
      <c r="I6900" s="3"/>
      <c r="J6900" s="3"/>
      <c r="K6900" s="3"/>
      <c r="L6900" s="3"/>
    </row>
    <row r="6901" spans="9:12" x14ac:dyDescent="0.25">
      <c r="I6901" s="3"/>
      <c r="J6901" s="3"/>
      <c r="K6901" s="3"/>
      <c r="L6901" s="3"/>
    </row>
    <row r="6902" spans="9:12" x14ac:dyDescent="0.25">
      <c r="I6902" s="3"/>
      <c r="J6902" s="3"/>
      <c r="K6902" s="3"/>
      <c r="L6902" s="3"/>
    </row>
    <row r="6903" spans="9:12" x14ac:dyDescent="0.25">
      <c r="I6903" s="3"/>
      <c r="J6903" s="3"/>
      <c r="K6903" s="3"/>
      <c r="L6903" s="3"/>
    </row>
    <row r="6904" spans="9:12" x14ac:dyDescent="0.25">
      <c r="I6904" s="3"/>
      <c r="J6904" s="3"/>
      <c r="K6904" s="3"/>
      <c r="L6904" s="3"/>
    </row>
    <row r="6905" spans="9:12" x14ac:dyDescent="0.25">
      <c r="I6905" s="3"/>
      <c r="J6905" s="3"/>
      <c r="K6905" s="3"/>
      <c r="L6905" s="3"/>
    </row>
    <row r="6906" spans="9:12" x14ac:dyDescent="0.25">
      <c r="I6906" s="3"/>
      <c r="J6906" s="3"/>
      <c r="K6906" s="3"/>
      <c r="L6906" s="3"/>
    </row>
    <row r="6907" spans="9:12" x14ac:dyDescent="0.25">
      <c r="I6907" s="3"/>
      <c r="J6907" s="3"/>
      <c r="K6907" s="3"/>
      <c r="L6907" s="3"/>
    </row>
    <row r="6908" spans="9:12" x14ac:dyDescent="0.25">
      <c r="I6908" s="3"/>
      <c r="J6908" s="3"/>
      <c r="K6908" s="3"/>
      <c r="L6908" s="3"/>
    </row>
    <row r="6909" spans="9:12" x14ac:dyDescent="0.25">
      <c r="I6909" s="3"/>
      <c r="J6909" s="3"/>
      <c r="K6909" s="3"/>
      <c r="L6909" s="3"/>
    </row>
    <row r="6910" spans="9:12" x14ac:dyDescent="0.25">
      <c r="I6910" s="3"/>
      <c r="J6910" s="3"/>
      <c r="K6910" s="3"/>
      <c r="L6910" s="3"/>
    </row>
    <row r="6911" spans="9:12" x14ac:dyDescent="0.25">
      <c r="I6911" s="3"/>
      <c r="J6911" s="3"/>
      <c r="K6911" s="3"/>
      <c r="L6911" s="3"/>
    </row>
    <row r="6912" spans="9:12" x14ac:dyDescent="0.25">
      <c r="I6912" s="3"/>
      <c r="J6912" s="3"/>
      <c r="K6912" s="3"/>
      <c r="L6912" s="3"/>
    </row>
    <row r="6913" spans="9:12" x14ac:dyDescent="0.25">
      <c r="I6913" s="3"/>
      <c r="J6913" s="3"/>
      <c r="K6913" s="3"/>
      <c r="L6913" s="3"/>
    </row>
    <row r="6914" spans="9:12" x14ac:dyDescent="0.25">
      <c r="I6914" s="3"/>
      <c r="J6914" s="3"/>
      <c r="K6914" s="3"/>
      <c r="L6914" s="3"/>
    </row>
    <row r="6915" spans="9:12" x14ac:dyDescent="0.25">
      <c r="I6915" s="3"/>
      <c r="J6915" s="3"/>
      <c r="K6915" s="3"/>
      <c r="L6915" s="3"/>
    </row>
    <row r="6916" spans="9:12" x14ac:dyDescent="0.25">
      <c r="I6916" s="4"/>
      <c r="J6916" s="4"/>
      <c r="K6916" s="4"/>
      <c r="L6916" s="4"/>
    </row>
    <row r="6917" spans="9:12" x14ac:dyDescent="0.25">
      <c r="I6917" s="4"/>
      <c r="J6917" s="4"/>
      <c r="K6917" s="4"/>
      <c r="L6917" s="4"/>
    </row>
    <row r="6918" spans="9:12" x14ac:dyDescent="0.25">
      <c r="I6918" s="4"/>
      <c r="J6918" s="4"/>
      <c r="K6918" s="4"/>
      <c r="L6918" s="4"/>
    </row>
    <row r="6919" spans="9:12" x14ac:dyDescent="0.25">
      <c r="I6919" s="4"/>
      <c r="J6919" s="4"/>
      <c r="K6919" s="4"/>
      <c r="L6919" s="4"/>
    </row>
    <row r="6920" spans="9:12" x14ac:dyDescent="0.25">
      <c r="I6920" s="4"/>
      <c r="J6920" s="4"/>
      <c r="K6920" s="4"/>
      <c r="L6920" s="4"/>
    </row>
    <row r="6921" spans="9:12" x14ac:dyDescent="0.25">
      <c r="I6921" s="3"/>
      <c r="J6921" s="3"/>
      <c r="K6921" s="3"/>
      <c r="L6921" s="3"/>
    </row>
    <row r="6922" spans="9:12" x14ac:dyDescent="0.25">
      <c r="I6922" s="3"/>
      <c r="J6922" s="3"/>
      <c r="K6922" s="3"/>
      <c r="L6922" s="3"/>
    </row>
    <row r="6923" spans="9:12" x14ac:dyDescent="0.25">
      <c r="I6923" s="3"/>
      <c r="J6923" s="3"/>
      <c r="K6923" s="3"/>
      <c r="L6923" s="3"/>
    </row>
    <row r="6924" spans="9:12" x14ac:dyDescent="0.25">
      <c r="I6924" s="3"/>
      <c r="J6924" s="3"/>
      <c r="K6924" s="3"/>
      <c r="L6924" s="3"/>
    </row>
    <row r="6925" spans="9:12" x14ac:dyDescent="0.25">
      <c r="I6925" s="3"/>
      <c r="J6925" s="3"/>
      <c r="K6925" s="3"/>
      <c r="L6925" s="3"/>
    </row>
    <row r="6926" spans="9:12" x14ac:dyDescent="0.25">
      <c r="I6926" s="3"/>
      <c r="J6926" s="3"/>
      <c r="K6926" s="3"/>
      <c r="L6926" s="3"/>
    </row>
    <row r="6927" spans="9:12" x14ac:dyDescent="0.25">
      <c r="I6927" s="3"/>
      <c r="J6927" s="3"/>
      <c r="K6927" s="3"/>
      <c r="L6927" s="3"/>
    </row>
    <row r="6928" spans="9:12" x14ac:dyDescent="0.25">
      <c r="I6928" s="3"/>
      <c r="J6928" s="3"/>
      <c r="K6928" s="3"/>
      <c r="L6928" s="3"/>
    </row>
    <row r="6929" spans="9:12" x14ac:dyDescent="0.25">
      <c r="I6929" s="3"/>
      <c r="J6929" s="3"/>
      <c r="K6929" s="3"/>
      <c r="L6929" s="3"/>
    </row>
    <row r="6930" spans="9:12" x14ac:dyDescent="0.25">
      <c r="I6930" s="3"/>
      <c r="J6930" s="3"/>
      <c r="K6930" s="3"/>
      <c r="L6930" s="3"/>
    </row>
    <row r="6931" spans="9:12" x14ac:dyDescent="0.25">
      <c r="I6931" s="3"/>
      <c r="J6931" s="3"/>
      <c r="K6931" s="3"/>
      <c r="L6931" s="3"/>
    </row>
    <row r="6932" spans="9:12" x14ac:dyDescent="0.25">
      <c r="I6932" s="3"/>
      <c r="J6932" s="3"/>
      <c r="K6932" s="3"/>
      <c r="L6932" s="3"/>
    </row>
    <row r="6933" spans="9:12" x14ac:dyDescent="0.25">
      <c r="I6933" s="3"/>
      <c r="J6933" s="3"/>
      <c r="K6933" s="3"/>
      <c r="L6933" s="3"/>
    </row>
    <row r="6934" spans="9:12" x14ac:dyDescent="0.25">
      <c r="I6934" s="3"/>
      <c r="J6934" s="3"/>
      <c r="K6934" s="3"/>
      <c r="L6934" s="3"/>
    </row>
    <row r="6935" spans="9:12" x14ac:dyDescent="0.25">
      <c r="I6935" s="3"/>
      <c r="J6935" s="3"/>
      <c r="K6935" s="3"/>
      <c r="L6935" s="3"/>
    </row>
    <row r="6936" spans="9:12" x14ac:dyDescent="0.25">
      <c r="I6936" s="3"/>
      <c r="J6936" s="3"/>
      <c r="K6936" s="3"/>
      <c r="L6936" s="3"/>
    </row>
    <row r="6937" spans="9:12" x14ac:dyDescent="0.25">
      <c r="I6937" s="3"/>
      <c r="J6937" s="3"/>
      <c r="K6937" s="3"/>
      <c r="L6937" s="3"/>
    </row>
    <row r="6938" spans="9:12" x14ac:dyDescent="0.25">
      <c r="I6938" s="3"/>
      <c r="J6938" s="3"/>
      <c r="K6938" s="3"/>
      <c r="L6938" s="3"/>
    </row>
    <row r="6939" spans="9:12" x14ac:dyDescent="0.25">
      <c r="I6939" s="3"/>
      <c r="J6939" s="3"/>
      <c r="K6939" s="3"/>
      <c r="L6939" s="3"/>
    </row>
    <row r="6940" spans="9:12" x14ac:dyDescent="0.25">
      <c r="I6940" s="3"/>
      <c r="J6940" s="3"/>
      <c r="K6940" s="3"/>
      <c r="L6940" s="3"/>
    </row>
    <row r="6941" spans="9:12" x14ac:dyDescent="0.25">
      <c r="I6941" s="3"/>
      <c r="J6941" s="3"/>
      <c r="K6941" s="3"/>
      <c r="L6941" s="3"/>
    </row>
    <row r="6942" spans="9:12" x14ac:dyDescent="0.25">
      <c r="I6942" s="3"/>
      <c r="J6942" s="3"/>
      <c r="K6942" s="3"/>
      <c r="L6942" s="3"/>
    </row>
    <row r="6943" spans="9:12" x14ac:dyDescent="0.25">
      <c r="I6943" s="3"/>
      <c r="J6943" s="3"/>
      <c r="K6943" s="3"/>
      <c r="L6943" s="3"/>
    </row>
    <row r="6944" spans="9:12" x14ac:dyDescent="0.25">
      <c r="I6944" s="3"/>
      <c r="J6944" s="3"/>
      <c r="K6944" s="3"/>
      <c r="L6944" s="3"/>
    </row>
    <row r="6945" spans="9:12" x14ac:dyDescent="0.25">
      <c r="I6945" s="3"/>
      <c r="J6945" s="3"/>
      <c r="K6945" s="3"/>
      <c r="L6945" s="3"/>
    </row>
    <row r="6946" spans="9:12" x14ac:dyDescent="0.25">
      <c r="I6946" s="3"/>
      <c r="J6946" s="3"/>
      <c r="K6946" s="3"/>
      <c r="L6946" s="3"/>
    </row>
    <row r="6947" spans="9:12" x14ac:dyDescent="0.25">
      <c r="I6947" s="3"/>
      <c r="J6947" s="3"/>
      <c r="K6947" s="3"/>
      <c r="L6947" s="3"/>
    </row>
    <row r="6948" spans="9:12" x14ac:dyDescent="0.25">
      <c r="I6948" s="3"/>
      <c r="J6948" s="3"/>
      <c r="K6948" s="3"/>
      <c r="L6948" s="3"/>
    </row>
    <row r="6949" spans="9:12" x14ac:dyDescent="0.25">
      <c r="I6949" s="3"/>
      <c r="J6949" s="3"/>
      <c r="K6949" s="3"/>
      <c r="L6949" s="3"/>
    </row>
    <row r="6950" spans="9:12" x14ac:dyDescent="0.25">
      <c r="I6950" s="3"/>
      <c r="J6950" s="3"/>
      <c r="K6950" s="3"/>
      <c r="L6950" s="3"/>
    </row>
    <row r="6951" spans="9:12" x14ac:dyDescent="0.25">
      <c r="I6951" s="3"/>
      <c r="J6951" s="3"/>
      <c r="K6951" s="3"/>
      <c r="L6951" s="3"/>
    </row>
    <row r="6952" spans="9:12" x14ac:dyDescent="0.25">
      <c r="I6952" s="3"/>
      <c r="J6952" s="3"/>
      <c r="K6952" s="3"/>
      <c r="L6952" s="3"/>
    </row>
    <row r="6953" spans="9:12" x14ac:dyDescent="0.25">
      <c r="I6953" s="3"/>
      <c r="J6953" s="3"/>
      <c r="K6953" s="3"/>
      <c r="L6953" s="3"/>
    </row>
    <row r="6954" spans="9:12" x14ac:dyDescent="0.25">
      <c r="I6954" s="3"/>
      <c r="J6954" s="3"/>
      <c r="K6954" s="3"/>
      <c r="L6954" s="3"/>
    </row>
    <row r="6955" spans="9:12" x14ac:dyDescent="0.25">
      <c r="I6955" s="3"/>
      <c r="J6955" s="3"/>
      <c r="K6955" s="3"/>
      <c r="L6955" s="3"/>
    </row>
    <row r="6956" spans="9:12" x14ac:dyDescent="0.25">
      <c r="I6956" s="3"/>
      <c r="J6956" s="3"/>
      <c r="K6956" s="3"/>
      <c r="L6956" s="3"/>
    </row>
    <row r="6957" spans="9:12" x14ac:dyDescent="0.25">
      <c r="I6957" s="3"/>
      <c r="J6957" s="3"/>
      <c r="K6957" s="3"/>
      <c r="L6957" s="3"/>
    </row>
    <row r="6958" spans="9:12" x14ac:dyDescent="0.25">
      <c r="I6958" s="3"/>
      <c r="J6958" s="3"/>
      <c r="K6958" s="3"/>
      <c r="L6958" s="3"/>
    </row>
    <row r="6959" spans="9:12" x14ac:dyDescent="0.25">
      <c r="I6959" s="3"/>
      <c r="J6959" s="3"/>
      <c r="K6959" s="3"/>
      <c r="L6959" s="3"/>
    </row>
    <row r="6960" spans="9:12" x14ac:dyDescent="0.25">
      <c r="I6960" s="3"/>
      <c r="J6960" s="3"/>
      <c r="K6960" s="3"/>
      <c r="L6960" s="3"/>
    </row>
    <row r="6961" spans="9:12" x14ac:dyDescent="0.25">
      <c r="I6961" s="3"/>
      <c r="J6961" s="3"/>
      <c r="K6961" s="3"/>
      <c r="L6961" s="3"/>
    </row>
    <row r="6962" spans="9:12" x14ac:dyDescent="0.25">
      <c r="I6962" s="3"/>
      <c r="J6962" s="3"/>
      <c r="K6962" s="3"/>
      <c r="L6962" s="3"/>
    </row>
    <row r="6963" spans="9:12" x14ac:dyDescent="0.25">
      <c r="I6963" s="3"/>
      <c r="J6963" s="3"/>
      <c r="K6963" s="3"/>
      <c r="L6963" s="3"/>
    </row>
    <row r="6964" spans="9:12" x14ac:dyDescent="0.25">
      <c r="I6964" s="3"/>
      <c r="J6964" s="3"/>
      <c r="K6964" s="3"/>
      <c r="L6964" s="3"/>
    </row>
    <row r="6965" spans="9:12" x14ac:dyDescent="0.25">
      <c r="I6965" s="3"/>
      <c r="J6965" s="3"/>
      <c r="K6965" s="3"/>
      <c r="L6965" s="3"/>
    </row>
    <row r="6966" spans="9:12" x14ac:dyDescent="0.25">
      <c r="I6966" s="3"/>
      <c r="J6966" s="3"/>
      <c r="K6966" s="3"/>
      <c r="L6966" s="3"/>
    </row>
    <row r="6967" spans="9:12" x14ac:dyDescent="0.25">
      <c r="I6967" s="3"/>
      <c r="J6967" s="3"/>
      <c r="K6967" s="3"/>
      <c r="L6967" s="3"/>
    </row>
    <row r="6968" spans="9:12" x14ac:dyDescent="0.25">
      <c r="I6968" s="3"/>
      <c r="J6968" s="3"/>
      <c r="K6968" s="3"/>
      <c r="L6968" s="3"/>
    </row>
    <row r="6969" spans="9:12" x14ac:dyDescent="0.25">
      <c r="I6969" s="3"/>
      <c r="J6969" s="3"/>
      <c r="K6969" s="3"/>
      <c r="L6969" s="3"/>
    </row>
    <row r="6970" spans="9:12" x14ac:dyDescent="0.25">
      <c r="I6970" s="3"/>
      <c r="J6970" s="3"/>
      <c r="K6970" s="3"/>
      <c r="L6970" s="3"/>
    </row>
    <row r="6971" spans="9:12" x14ac:dyDescent="0.25">
      <c r="I6971" s="3"/>
      <c r="J6971" s="3"/>
      <c r="K6971" s="3"/>
      <c r="L6971" s="3"/>
    </row>
    <row r="6972" spans="9:12" x14ac:dyDescent="0.25">
      <c r="I6972" s="3"/>
      <c r="J6972" s="3"/>
      <c r="K6972" s="3"/>
      <c r="L6972" s="3"/>
    </row>
    <row r="6973" spans="9:12" x14ac:dyDescent="0.25">
      <c r="I6973" s="3"/>
      <c r="J6973" s="3"/>
      <c r="K6973" s="3"/>
      <c r="L6973" s="3"/>
    </row>
    <row r="6974" spans="9:12" x14ac:dyDescent="0.25">
      <c r="I6974" s="3"/>
      <c r="J6974" s="3"/>
      <c r="K6974" s="3"/>
      <c r="L6974" s="3"/>
    </row>
    <row r="6975" spans="9:12" x14ac:dyDescent="0.25">
      <c r="I6975" s="3"/>
      <c r="J6975" s="3"/>
      <c r="K6975" s="3"/>
      <c r="L6975" s="3"/>
    </row>
    <row r="6976" spans="9:12" x14ac:dyDescent="0.25">
      <c r="I6976" s="3"/>
      <c r="J6976" s="3"/>
      <c r="K6976" s="3"/>
      <c r="L6976" s="3"/>
    </row>
    <row r="6977" spans="9:12" x14ac:dyDescent="0.25">
      <c r="I6977" s="3"/>
      <c r="J6977" s="3"/>
      <c r="K6977" s="3"/>
      <c r="L6977" s="3"/>
    </row>
    <row r="6978" spans="9:12" x14ac:dyDescent="0.25">
      <c r="I6978" s="3"/>
      <c r="J6978" s="3"/>
      <c r="K6978" s="3"/>
      <c r="L6978" s="3"/>
    </row>
    <row r="6979" spans="9:12" x14ac:dyDescent="0.25">
      <c r="I6979" s="3"/>
      <c r="J6979" s="3"/>
      <c r="K6979" s="3"/>
      <c r="L6979" s="3"/>
    </row>
    <row r="6980" spans="9:12" x14ac:dyDescent="0.25">
      <c r="I6980" s="3"/>
      <c r="J6980" s="3"/>
      <c r="K6980" s="3"/>
      <c r="L6980" s="3"/>
    </row>
    <row r="6981" spans="9:12" x14ac:dyDescent="0.25">
      <c r="I6981" s="3"/>
      <c r="J6981" s="3"/>
      <c r="K6981" s="3"/>
      <c r="L6981" s="3"/>
    </row>
    <row r="6982" spans="9:12" x14ac:dyDescent="0.25">
      <c r="I6982" s="3"/>
      <c r="J6982" s="3"/>
      <c r="K6982" s="3"/>
      <c r="L6982" s="3"/>
    </row>
    <row r="6983" spans="9:12" x14ac:dyDescent="0.25">
      <c r="I6983" s="3"/>
      <c r="J6983" s="3"/>
      <c r="K6983" s="3"/>
      <c r="L6983" s="3"/>
    </row>
    <row r="6984" spans="9:12" x14ac:dyDescent="0.25">
      <c r="I6984" s="3"/>
      <c r="J6984" s="3"/>
      <c r="K6984" s="3"/>
      <c r="L6984" s="3"/>
    </row>
    <row r="6985" spans="9:12" x14ac:dyDescent="0.25">
      <c r="I6985" s="3"/>
      <c r="J6985" s="3"/>
      <c r="K6985" s="3"/>
      <c r="L6985" s="3"/>
    </row>
    <row r="6986" spans="9:12" x14ac:dyDescent="0.25">
      <c r="I6986" s="3"/>
      <c r="J6986" s="3"/>
      <c r="K6986" s="3"/>
      <c r="L6986" s="3"/>
    </row>
    <row r="6987" spans="9:12" x14ac:dyDescent="0.25">
      <c r="I6987" s="3"/>
      <c r="J6987" s="3"/>
      <c r="K6987" s="3"/>
      <c r="L6987" s="3"/>
    </row>
    <row r="6988" spans="9:12" x14ac:dyDescent="0.25">
      <c r="I6988" s="3"/>
      <c r="J6988" s="3"/>
      <c r="K6988" s="3"/>
      <c r="L6988" s="3"/>
    </row>
    <row r="6989" spans="9:12" x14ac:dyDescent="0.25">
      <c r="I6989" s="3"/>
      <c r="J6989" s="3"/>
      <c r="K6989" s="3"/>
      <c r="L6989" s="3"/>
    </row>
    <row r="6990" spans="9:12" x14ac:dyDescent="0.25">
      <c r="I6990" s="3"/>
      <c r="J6990" s="3"/>
      <c r="K6990" s="3"/>
      <c r="L6990" s="3"/>
    </row>
    <row r="6991" spans="9:12" x14ac:dyDescent="0.25">
      <c r="I6991" s="3"/>
      <c r="J6991" s="3"/>
      <c r="K6991" s="3"/>
      <c r="L6991" s="3"/>
    </row>
    <row r="6992" spans="9:12" x14ac:dyDescent="0.25">
      <c r="I6992" s="3"/>
      <c r="J6992" s="3"/>
      <c r="K6992" s="3"/>
      <c r="L6992" s="3"/>
    </row>
    <row r="6993" spans="9:12" x14ac:dyDescent="0.25">
      <c r="I6993" s="3"/>
      <c r="J6993" s="3"/>
      <c r="K6993" s="3"/>
      <c r="L6993" s="3"/>
    </row>
    <row r="6994" spans="9:12" x14ac:dyDescent="0.25">
      <c r="I6994" s="3"/>
      <c r="J6994" s="3"/>
      <c r="K6994" s="3"/>
      <c r="L6994" s="3"/>
    </row>
    <row r="6995" spans="9:12" x14ac:dyDescent="0.25">
      <c r="I6995" s="3"/>
      <c r="J6995" s="3"/>
      <c r="K6995" s="3"/>
      <c r="L6995" s="3"/>
    </row>
    <row r="6996" spans="9:12" x14ac:dyDescent="0.25">
      <c r="I6996" s="3"/>
      <c r="J6996" s="3"/>
      <c r="K6996" s="3"/>
      <c r="L6996" s="3"/>
    </row>
    <row r="6997" spans="9:12" x14ac:dyDescent="0.25">
      <c r="I6997" s="3"/>
      <c r="J6997" s="3"/>
      <c r="K6997" s="3"/>
      <c r="L6997" s="3"/>
    </row>
    <row r="6998" spans="9:12" x14ac:dyDescent="0.25">
      <c r="I6998" s="3"/>
      <c r="J6998" s="3"/>
      <c r="K6998" s="3"/>
      <c r="L6998" s="3"/>
    </row>
    <row r="6999" spans="9:12" x14ac:dyDescent="0.25">
      <c r="I6999" s="3"/>
      <c r="J6999" s="3"/>
      <c r="K6999" s="3"/>
      <c r="L6999" s="3"/>
    </row>
    <row r="7000" spans="9:12" x14ac:dyDescent="0.25">
      <c r="I7000" s="3"/>
      <c r="J7000" s="3"/>
      <c r="K7000" s="3"/>
      <c r="L7000" s="3"/>
    </row>
    <row r="7001" spans="9:12" x14ac:dyDescent="0.25">
      <c r="I7001" s="3"/>
      <c r="J7001" s="3"/>
      <c r="K7001" s="3"/>
      <c r="L7001" s="3"/>
    </row>
    <row r="7002" spans="9:12" x14ac:dyDescent="0.25">
      <c r="I7002" s="3"/>
      <c r="J7002" s="3"/>
      <c r="K7002" s="3"/>
      <c r="L7002" s="3"/>
    </row>
    <row r="7003" spans="9:12" x14ac:dyDescent="0.25">
      <c r="I7003" s="3"/>
      <c r="J7003" s="3"/>
      <c r="K7003" s="3"/>
      <c r="L7003" s="3"/>
    </row>
    <row r="7004" spans="9:12" x14ac:dyDescent="0.25">
      <c r="I7004" s="3"/>
      <c r="J7004" s="3"/>
      <c r="K7004" s="3"/>
      <c r="L7004" s="3"/>
    </row>
    <row r="7005" spans="9:12" x14ac:dyDescent="0.25">
      <c r="I7005" s="3"/>
      <c r="J7005" s="3"/>
      <c r="K7005" s="3"/>
      <c r="L7005" s="3"/>
    </row>
    <row r="7006" spans="9:12" x14ac:dyDescent="0.25">
      <c r="I7006" s="3"/>
      <c r="J7006" s="3"/>
      <c r="K7006" s="3"/>
      <c r="L7006" s="3"/>
    </row>
    <row r="7007" spans="9:12" x14ac:dyDescent="0.25">
      <c r="I7007" s="3"/>
      <c r="J7007" s="3"/>
      <c r="K7007" s="3"/>
      <c r="L7007" s="3"/>
    </row>
    <row r="7008" spans="9:12" x14ac:dyDescent="0.25">
      <c r="I7008" s="3"/>
      <c r="J7008" s="3"/>
      <c r="K7008" s="3"/>
      <c r="L7008" s="3"/>
    </row>
    <row r="7009" spans="9:12" x14ac:dyDescent="0.25">
      <c r="I7009" s="3"/>
      <c r="J7009" s="3"/>
      <c r="K7009" s="3"/>
      <c r="L7009" s="3"/>
    </row>
    <row r="7010" spans="9:12" x14ac:dyDescent="0.25">
      <c r="I7010" s="3"/>
      <c r="J7010" s="3"/>
      <c r="K7010" s="3"/>
      <c r="L7010" s="3"/>
    </row>
    <row r="7011" spans="9:12" x14ac:dyDescent="0.25">
      <c r="I7011" s="3"/>
      <c r="J7011" s="3"/>
      <c r="K7011" s="3"/>
      <c r="L7011" s="3"/>
    </row>
    <row r="7012" spans="9:12" x14ac:dyDescent="0.25">
      <c r="I7012" s="3"/>
      <c r="J7012" s="3"/>
      <c r="K7012" s="3"/>
      <c r="L7012" s="3"/>
    </row>
    <row r="7013" spans="9:12" x14ac:dyDescent="0.25">
      <c r="I7013" s="3"/>
      <c r="J7013" s="3"/>
      <c r="K7013" s="3"/>
      <c r="L7013" s="3"/>
    </row>
    <row r="7014" spans="9:12" x14ac:dyDescent="0.25">
      <c r="I7014" s="3"/>
      <c r="J7014" s="3"/>
      <c r="K7014" s="3"/>
      <c r="L7014" s="3"/>
    </row>
    <row r="7015" spans="9:12" x14ac:dyDescent="0.25">
      <c r="I7015" s="3"/>
      <c r="J7015" s="3"/>
      <c r="K7015" s="3"/>
      <c r="L7015" s="3"/>
    </row>
    <row r="7016" spans="9:12" x14ac:dyDescent="0.25">
      <c r="I7016" s="3"/>
      <c r="J7016" s="3"/>
      <c r="K7016" s="3"/>
      <c r="L7016" s="3"/>
    </row>
    <row r="7017" spans="9:12" x14ac:dyDescent="0.25">
      <c r="I7017" s="3"/>
      <c r="J7017" s="3"/>
      <c r="K7017" s="3"/>
      <c r="L7017" s="3"/>
    </row>
    <row r="7018" spans="9:12" x14ac:dyDescent="0.25">
      <c r="I7018" s="3"/>
      <c r="J7018" s="3"/>
      <c r="K7018" s="3"/>
      <c r="L7018" s="3"/>
    </row>
    <row r="7019" spans="9:12" x14ac:dyDescent="0.25">
      <c r="I7019" s="3"/>
      <c r="J7019" s="3"/>
      <c r="K7019" s="3"/>
      <c r="L7019" s="3"/>
    </row>
    <row r="7020" spans="9:12" x14ac:dyDescent="0.25">
      <c r="I7020" s="3"/>
      <c r="J7020" s="3"/>
      <c r="K7020" s="3"/>
      <c r="L7020" s="3"/>
    </row>
    <row r="7021" spans="9:12" x14ac:dyDescent="0.25">
      <c r="I7021" s="3"/>
      <c r="J7021" s="3"/>
      <c r="K7021" s="3"/>
      <c r="L7021" s="3"/>
    </row>
    <row r="7022" spans="9:12" x14ac:dyDescent="0.25">
      <c r="I7022" s="3"/>
      <c r="J7022" s="3"/>
      <c r="K7022" s="3"/>
      <c r="L7022" s="3"/>
    </row>
    <row r="7023" spans="9:12" x14ac:dyDescent="0.25">
      <c r="I7023" s="3"/>
      <c r="J7023" s="3"/>
      <c r="K7023" s="3"/>
      <c r="L7023" s="3"/>
    </row>
    <row r="7024" spans="9:12" x14ac:dyDescent="0.25">
      <c r="I7024" s="3"/>
      <c r="J7024" s="3"/>
      <c r="K7024" s="3"/>
      <c r="L7024" s="3"/>
    </row>
    <row r="7025" spans="9:12" x14ac:dyDescent="0.25">
      <c r="I7025" s="3"/>
      <c r="J7025" s="3"/>
      <c r="K7025" s="3"/>
      <c r="L7025" s="3"/>
    </row>
    <row r="7026" spans="9:12" x14ac:dyDescent="0.25">
      <c r="I7026" s="3"/>
      <c r="J7026" s="3"/>
      <c r="K7026" s="3"/>
      <c r="L7026" s="3"/>
    </row>
    <row r="7027" spans="9:12" x14ac:dyDescent="0.25">
      <c r="I7027" s="3"/>
      <c r="J7027" s="3"/>
      <c r="K7027" s="3"/>
      <c r="L7027" s="3"/>
    </row>
    <row r="7028" spans="9:12" x14ac:dyDescent="0.25">
      <c r="I7028" s="3"/>
      <c r="J7028" s="3"/>
      <c r="K7028" s="3"/>
      <c r="L7028" s="3"/>
    </row>
    <row r="7029" spans="9:12" x14ac:dyDescent="0.25">
      <c r="I7029" s="3"/>
      <c r="J7029" s="3"/>
      <c r="K7029" s="3"/>
      <c r="L7029" s="3"/>
    </row>
    <row r="7030" spans="9:12" x14ac:dyDescent="0.25">
      <c r="I7030" s="3"/>
      <c r="J7030" s="3"/>
      <c r="K7030" s="3"/>
      <c r="L7030" s="3"/>
    </row>
    <row r="7031" spans="9:12" x14ac:dyDescent="0.25">
      <c r="I7031" s="3"/>
      <c r="J7031" s="3"/>
      <c r="K7031" s="3"/>
      <c r="L7031" s="3"/>
    </row>
    <row r="7032" spans="9:12" x14ac:dyDescent="0.25">
      <c r="I7032" s="3"/>
      <c r="J7032" s="3"/>
      <c r="K7032" s="3"/>
      <c r="L7032" s="3"/>
    </row>
    <row r="7033" spans="9:12" x14ac:dyDescent="0.25">
      <c r="I7033" s="3"/>
      <c r="J7033" s="3"/>
      <c r="K7033" s="3"/>
      <c r="L7033" s="3"/>
    </row>
    <row r="7034" spans="9:12" x14ac:dyDescent="0.25">
      <c r="I7034" s="3"/>
      <c r="J7034" s="3"/>
      <c r="K7034" s="3"/>
      <c r="L7034" s="3"/>
    </row>
    <row r="7035" spans="9:12" x14ac:dyDescent="0.25">
      <c r="I7035" s="3"/>
      <c r="J7035" s="3"/>
      <c r="K7035" s="3"/>
      <c r="L7035" s="3"/>
    </row>
    <row r="7036" spans="9:12" x14ac:dyDescent="0.25">
      <c r="I7036" s="3"/>
      <c r="J7036" s="3"/>
      <c r="K7036" s="3"/>
      <c r="L7036" s="3"/>
    </row>
    <row r="7037" spans="9:12" x14ac:dyDescent="0.25">
      <c r="I7037" s="3"/>
      <c r="J7037" s="3"/>
      <c r="K7037" s="3"/>
      <c r="L7037" s="3"/>
    </row>
    <row r="7038" spans="9:12" x14ac:dyDescent="0.25">
      <c r="I7038" s="3"/>
      <c r="J7038" s="3"/>
      <c r="K7038" s="3"/>
      <c r="L7038" s="3"/>
    </row>
    <row r="7039" spans="9:12" x14ac:dyDescent="0.25">
      <c r="I7039" s="3"/>
      <c r="J7039" s="3"/>
      <c r="K7039" s="3"/>
      <c r="L7039" s="3"/>
    </row>
    <row r="7040" spans="9:12" x14ac:dyDescent="0.25">
      <c r="I7040" s="3"/>
      <c r="J7040" s="3"/>
      <c r="K7040" s="3"/>
      <c r="L7040" s="3"/>
    </row>
    <row r="7041" spans="9:12" x14ac:dyDescent="0.25">
      <c r="I7041" s="3"/>
      <c r="J7041" s="3"/>
      <c r="K7041" s="3"/>
      <c r="L7041" s="3"/>
    </row>
    <row r="7042" spans="9:12" x14ac:dyDescent="0.25">
      <c r="I7042" s="3"/>
      <c r="J7042" s="3"/>
      <c r="K7042" s="3"/>
      <c r="L7042" s="3"/>
    </row>
    <row r="7043" spans="9:12" x14ac:dyDescent="0.25">
      <c r="I7043" s="3"/>
      <c r="J7043" s="3"/>
      <c r="K7043" s="3"/>
      <c r="L7043" s="3"/>
    </row>
    <row r="7044" spans="9:12" x14ac:dyDescent="0.25">
      <c r="I7044" s="3"/>
      <c r="J7044" s="3"/>
      <c r="K7044" s="3"/>
      <c r="L7044" s="3"/>
    </row>
    <row r="7045" spans="9:12" x14ac:dyDescent="0.25">
      <c r="I7045" s="3"/>
      <c r="J7045" s="3"/>
      <c r="K7045" s="3"/>
      <c r="L7045" s="3"/>
    </row>
    <row r="7046" spans="9:12" x14ac:dyDescent="0.25">
      <c r="I7046" s="3"/>
      <c r="J7046" s="3"/>
      <c r="K7046" s="3"/>
      <c r="L7046" s="3"/>
    </row>
    <row r="7047" spans="9:12" x14ac:dyDescent="0.25">
      <c r="I7047" s="3"/>
      <c r="J7047" s="3"/>
      <c r="K7047" s="3"/>
      <c r="L7047" s="3"/>
    </row>
    <row r="7048" spans="9:12" x14ac:dyDescent="0.25">
      <c r="I7048" s="3"/>
      <c r="J7048" s="3"/>
      <c r="K7048" s="3"/>
      <c r="L7048" s="3"/>
    </row>
    <row r="7049" spans="9:12" x14ac:dyDescent="0.25">
      <c r="I7049" s="3"/>
      <c r="J7049" s="3"/>
      <c r="K7049" s="3"/>
      <c r="L7049" s="3"/>
    </row>
    <row r="7050" spans="9:12" x14ac:dyDescent="0.25">
      <c r="I7050" s="3"/>
      <c r="J7050" s="3"/>
      <c r="K7050" s="3"/>
      <c r="L7050" s="3"/>
    </row>
    <row r="7051" spans="9:12" x14ac:dyDescent="0.25">
      <c r="I7051" s="3"/>
      <c r="J7051" s="3"/>
      <c r="K7051" s="3"/>
      <c r="L7051" s="3"/>
    </row>
    <row r="7052" spans="9:12" x14ac:dyDescent="0.25">
      <c r="I7052" s="3"/>
      <c r="J7052" s="3"/>
      <c r="K7052" s="3"/>
      <c r="L7052" s="3"/>
    </row>
    <row r="7053" spans="9:12" x14ac:dyDescent="0.25">
      <c r="I7053" s="3"/>
      <c r="J7053" s="3"/>
      <c r="K7053" s="3"/>
      <c r="L7053" s="3"/>
    </row>
    <row r="7054" spans="9:12" x14ac:dyDescent="0.25">
      <c r="I7054" s="3"/>
      <c r="J7054" s="3"/>
      <c r="K7054" s="3"/>
      <c r="L7054" s="3"/>
    </row>
    <row r="7055" spans="9:12" x14ac:dyDescent="0.25">
      <c r="I7055" s="3"/>
      <c r="J7055" s="3"/>
      <c r="K7055" s="3"/>
      <c r="L7055" s="3"/>
    </row>
    <row r="7056" spans="9:12" x14ac:dyDescent="0.25">
      <c r="I7056" s="3"/>
      <c r="J7056" s="3"/>
      <c r="K7056" s="3"/>
      <c r="L7056" s="3"/>
    </row>
    <row r="7057" spans="9:12" x14ac:dyDescent="0.25">
      <c r="I7057" s="3"/>
      <c r="J7057" s="3"/>
      <c r="K7057" s="3"/>
      <c r="L7057" s="3"/>
    </row>
    <row r="7058" spans="9:12" x14ac:dyDescent="0.25">
      <c r="I7058" s="3"/>
      <c r="J7058" s="3"/>
      <c r="K7058" s="3"/>
      <c r="L7058" s="3"/>
    </row>
    <row r="7059" spans="9:12" x14ac:dyDescent="0.25">
      <c r="I7059" s="3"/>
      <c r="J7059" s="3"/>
      <c r="K7059" s="3"/>
      <c r="L7059" s="3"/>
    </row>
    <row r="7060" spans="9:12" x14ac:dyDescent="0.25">
      <c r="I7060" s="3"/>
      <c r="J7060" s="3"/>
      <c r="K7060" s="3"/>
      <c r="L7060" s="3"/>
    </row>
    <row r="7061" spans="9:12" x14ac:dyDescent="0.25">
      <c r="I7061" s="3"/>
      <c r="J7061" s="3"/>
      <c r="K7061" s="3"/>
      <c r="L7061" s="3"/>
    </row>
    <row r="7062" spans="9:12" x14ac:dyDescent="0.25">
      <c r="I7062" s="3"/>
      <c r="J7062" s="3"/>
      <c r="K7062" s="3"/>
      <c r="L7062" s="3"/>
    </row>
    <row r="7063" spans="9:12" x14ac:dyDescent="0.25">
      <c r="I7063" s="3"/>
      <c r="J7063" s="3"/>
      <c r="K7063" s="3"/>
      <c r="L7063" s="3"/>
    </row>
    <row r="7064" spans="9:12" x14ac:dyDescent="0.25">
      <c r="I7064" s="3"/>
      <c r="J7064" s="3"/>
      <c r="K7064" s="3"/>
      <c r="L7064" s="3"/>
    </row>
    <row r="7065" spans="9:12" x14ac:dyDescent="0.25">
      <c r="I7065" s="3"/>
      <c r="J7065" s="3"/>
      <c r="K7065" s="3"/>
      <c r="L7065" s="3"/>
    </row>
    <row r="7066" spans="9:12" x14ac:dyDescent="0.25">
      <c r="I7066" s="3"/>
      <c r="J7066" s="3"/>
      <c r="K7066" s="3"/>
      <c r="L7066" s="3"/>
    </row>
    <row r="7067" spans="9:12" x14ac:dyDescent="0.25">
      <c r="I7067" s="3"/>
      <c r="J7067" s="3"/>
      <c r="K7067" s="3"/>
      <c r="L7067" s="3"/>
    </row>
    <row r="7068" spans="9:12" x14ac:dyDescent="0.25">
      <c r="I7068" s="3"/>
      <c r="J7068" s="3"/>
      <c r="K7068" s="3"/>
      <c r="L7068" s="3"/>
    </row>
    <row r="7069" spans="9:12" x14ac:dyDescent="0.25">
      <c r="I7069" s="3"/>
      <c r="J7069" s="3"/>
      <c r="K7069" s="3"/>
      <c r="L7069" s="3"/>
    </row>
    <row r="7070" spans="9:12" x14ac:dyDescent="0.25">
      <c r="I7070" s="3"/>
      <c r="J7070" s="3"/>
      <c r="K7070" s="3"/>
      <c r="L7070" s="3"/>
    </row>
    <row r="7071" spans="9:12" x14ac:dyDescent="0.25">
      <c r="I7071" s="3"/>
      <c r="J7071" s="3"/>
      <c r="K7071" s="3"/>
      <c r="L7071" s="3"/>
    </row>
    <row r="7072" spans="9:12" x14ac:dyDescent="0.25">
      <c r="I7072" s="3"/>
      <c r="J7072" s="3"/>
      <c r="K7072" s="3"/>
      <c r="L7072" s="3"/>
    </row>
    <row r="7073" spans="9:12" x14ac:dyDescent="0.25">
      <c r="I7073" s="3"/>
      <c r="J7073" s="3"/>
      <c r="K7073" s="3"/>
      <c r="L7073" s="3"/>
    </row>
    <row r="7074" spans="9:12" x14ac:dyDescent="0.25">
      <c r="I7074" s="3"/>
      <c r="J7074" s="3"/>
      <c r="K7074" s="3"/>
      <c r="L7074" s="3"/>
    </row>
    <row r="7075" spans="9:12" x14ac:dyDescent="0.25">
      <c r="I7075" s="3"/>
      <c r="J7075" s="3"/>
      <c r="K7075" s="3"/>
      <c r="L7075" s="3"/>
    </row>
    <row r="7076" spans="9:12" x14ac:dyDescent="0.25">
      <c r="I7076" s="3"/>
      <c r="J7076" s="3"/>
      <c r="K7076" s="3"/>
      <c r="L7076" s="3"/>
    </row>
    <row r="7077" spans="9:12" x14ac:dyDescent="0.25">
      <c r="I7077" s="3"/>
      <c r="J7077" s="3"/>
      <c r="K7077" s="3"/>
      <c r="L7077" s="3"/>
    </row>
    <row r="7078" spans="9:12" x14ac:dyDescent="0.25">
      <c r="I7078" s="3"/>
      <c r="J7078" s="3"/>
      <c r="K7078" s="3"/>
      <c r="L7078" s="3"/>
    </row>
    <row r="7079" spans="9:12" x14ac:dyDescent="0.25">
      <c r="I7079" s="3"/>
      <c r="J7079" s="3"/>
      <c r="K7079" s="3"/>
      <c r="L7079" s="3"/>
    </row>
    <row r="7080" spans="9:12" x14ac:dyDescent="0.25">
      <c r="I7080" s="3"/>
      <c r="J7080" s="3"/>
      <c r="K7080" s="3"/>
      <c r="L7080" s="3"/>
    </row>
    <row r="7081" spans="9:12" x14ac:dyDescent="0.25">
      <c r="I7081" s="3"/>
      <c r="J7081" s="3"/>
      <c r="K7081" s="3"/>
      <c r="L7081" s="3"/>
    </row>
    <row r="7082" spans="9:12" x14ac:dyDescent="0.25">
      <c r="I7082" s="3"/>
      <c r="J7082" s="3"/>
      <c r="K7082" s="3"/>
      <c r="L7082" s="3"/>
    </row>
    <row r="7083" spans="9:12" x14ac:dyDescent="0.25">
      <c r="I7083" s="3"/>
      <c r="J7083" s="3"/>
      <c r="K7083" s="3"/>
      <c r="L7083" s="3"/>
    </row>
    <row r="7084" spans="9:12" x14ac:dyDescent="0.25">
      <c r="I7084" s="3"/>
      <c r="J7084" s="3"/>
      <c r="K7084" s="3"/>
      <c r="L7084" s="3"/>
    </row>
    <row r="7085" spans="9:12" x14ac:dyDescent="0.25">
      <c r="I7085" s="3"/>
      <c r="J7085" s="3"/>
      <c r="K7085" s="3"/>
      <c r="L7085" s="3"/>
    </row>
    <row r="7086" spans="9:12" x14ac:dyDescent="0.25">
      <c r="I7086" s="3"/>
      <c r="J7086" s="3"/>
      <c r="K7086" s="3"/>
      <c r="L7086" s="3"/>
    </row>
    <row r="7087" spans="9:12" x14ac:dyDescent="0.25">
      <c r="I7087" s="3"/>
      <c r="J7087" s="3"/>
      <c r="K7087" s="3"/>
      <c r="L7087" s="3"/>
    </row>
    <row r="7088" spans="9:12" x14ac:dyDescent="0.25">
      <c r="I7088" s="3"/>
      <c r="J7088" s="3"/>
      <c r="K7088" s="3"/>
      <c r="L7088" s="3"/>
    </row>
    <row r="7089" spans="9:12" x14ac:dyDescent="0.25">
      <c r="I7089" s="3"/>
      <c r="J7089" s="3"/>
      <c r="K7089" s="3"/>
      <c r="L7089" s="3"/>
    </row>
    <row r="7090" spans="9:12" x14ac:dyDescent="0.25">
      <c r="I7090" s="3"/>
      <c r="J7090" s="3"/>
      <c r="K7090" s="3"/>
      <c r="L7090" s="3"/>
    </row>
    <row r="7091" spans="9:12" x14ac:dyDescent="0.25">
      <c r="I7091" s="3"/>
      <c r="J7091" s="3"/>
      <c r="K7091" s="3"/>
      <c r="L7091" s="3"/>
    </row>
    <row r="7092" spans="9:12" x14ac:dyDescent="0.25">
      <c r="I7092" s="3"/>
      <c r="J7092" s="3"/>
      <c r="K7092" s="3"/>
      <c r="L7092" s="3"/>
    </row>
    <row r="7093" spans="9:12" x14ac:dyDescent="0.25">
      <c r="I7093" s="3"/>
      <c r="J7093" s="3"/>
      <c r="K7093" s="3"/>
      <c r="L7093" s="3"/>
    </row>
    <row r="7094" spans="9:12" x14ac:dyDescent="0.25">
      <c r="I7094" s="3"/>
      <c r="J7094" s="3"/>
      <c r="K7094" s="3"/>
      <c r="L7094" s="3"/>
    </row>
    <row r="7095" spans="9:12" x14ac:dyDescent="0.25">
      <c r="I7095" s="3"/>
      <c r="J7095" s="3"/>
      <c r="K7095" s="3"/>
      <c r="L7095" s="3"/>
    </row>
    <row r="7096" spans="9:12" x14ac:dyDescent="0.25">
      <c r="I7096" s="3"/>
      <c r="J7096" s="3"/>
      <c r="K7096" s="3"/>
      <c r="L7096" s="3"/>
    </row>
    <row r="7097" spans="9:12" x14ac:dyDescent="0.25">
      <c r="I7097" s="3"/>
      <c r="J7097" s="3"/>
      <c r="K7097" s="3"/>
      <c r="L7097" s="3"/>
    </row>
    <row r="7098" spans="9:12" x14ac:dyDescent="0.25">
      <c r="I7098" s="3"/>
      <c r="J7098" s="3"/>
      <c r="K7098" s="3"/>
      <c r="L7098" s="3"/>
    </row>
    <row r="7099" spans="9:12" x14ac:dyDescent="0.25">
      <c r="I7099" s="3"/>
      <c r="J7099" s="3"/>
      <c r="K7099" s="3"/>
      <c r="L7099" s="3"/>
    </row>
    <row r="7100" spans="9:12" x14ac:dyDescent="0.25">
      <c r="I7100" s="3"/>
      <c r="J7100" s="3"/>
      <c r="K7100" s="3"/>
      <c r="L7100" s="3"/>
    </row>
    <row r="7101" spans="9:12" x14ac:dyDescent="0.25">
      <c r="I7101" s="3"/>
      <c r="J7101" s="3"/>
      <c r="K7101" s="3"/>
      <c r="L7101" s="3"/>
    </row>
    <row r="7102" spans="9:12" x14ac:dyDescent="0.25">
      <c r="I7102" s="3"/>
      <c r="J7102" s="3"/>
      <c r="K7102" s="3"/>
      <c r="L7102" s="3"/>
    </row>
    <row r="7103" spans="9:12" x14ac:dyDescent="0.25">
      <c r="I7103" s="3"/>
      <c r="J7103" s="3"/>
      <c r="K7103" s="3"/>
      <c r="L7103" s="3"/>
    </row>
    <row r="7104" spans="9:12" x14ac:dyDescent="0.25">
      <c r="I7104" s="3"/>
      <c r="J7104" s="3"/>
      <c r="K7104" s="3"/>
      <c r="L7104" s="3"/>
    </row>
    <row r="7105" spans="9:12" x14ac:dyDescent="0.25">
      <c r="I7105" s="3"/>
      <c r="J7105" s="3"/>
      <c r="K7105" s="3"/>
      <c r="L7105" s="3"/>
    </row>
    <row r="7106" spans="9:12" x14ac:dyDescent="0.25">
      <c r="I7106" s="3"/>
      <c r="J7106" s="3"/>
      <c r="K7106" s="3"/>
      <c r="L7106" s="3"/>
    </row>
    <row r="7107" spans="9:12" x14ac:dyDescent="0.25">
      <c r="I7107" s="3"/>
      <c r="J7107" s="3"/>
      <c r="K7107" s="3"/>
      <c r="L7107" s="3"/>
    </row>
    <row r="7108" spans="9:12" x14ac:dyDescent="0.25">
      <c r="I7108" s="3"/>
      <c r="J7108" s="3"/>
      <c r="K7108" s="3"/>
      <c r="L7108" s="3"/>
    </row>
    <row r="7109" spans="9:12" x14ac:dyDescent="0.25">
      <c r="I7109" s="3"/>
      <c r="J7109" s="3"/>
      <c r="K7109" s="3"/>
      <c r="L7109" s="3"/>
    </row>
    <row r="7110" spans="9:12" x14ac:dyDescent="0.25">
      <c r="I7110" s="3"/>
      <c r="J7110" s="3"/>
      <c r="K7110" s="3"/>
      <c r="L7110" s="3"/>
    </row>
    <row r="7111" spans="9:12" x14ac:dyDescent="0.25">
      <c r="I7111" s="3"/>
      <c r="J7111" s="3"/>
      <c r="K7111" s="3"/>
      <c r="L7111" s="3"/>
    </row>
    <row r="7112" spans="9:12" x14ac:dyDescent="0.25">
      <c r="I7112" s="3"/>
      <c r="J7112" s="3"/>
      <c r="K7112" s="3"/>
      <c r="L7112" s="3"/>
    </row>
    <row r="7113" spans="9:12" x14ac:dyDescent="0.25">
      <c r="I7113" s="3"/>
      <c r="J7113" s="3"/>
      <c r="K7113" s="3"/>
      <c r="L7113" s="3"/>
    </row>
    <row r="7114" spans="9:12" x14ac:dyDescent="0.25">
      <c r="I7114" s="3"/>
      <c r="J7114" s="3"/>
      <c r="K7114" s="3"/>
      <c r="L7114" s="3"/>
    </row>
    <row r="7115" spans="9:12" x14ac:dyDescent="0.25">
      <c r="I7115" s="3"/>
      <c r="J7115" s="3"/>
      <c r="K7115" s="3"/>
      <c r="L7115" s="3"/>
    </row>
    <row r="7116" spans="9:12" x14ac:dyDescent="0.25">
      <c r="I7116" s="3"/>
      <c r="J7116" s="3"/>
      <c r="K7116" s="3"/>
      <c r="L7116" s="3"/>
    </row>
    <row r="7117" spans="9:12" x14ac:dyDescent="0.25">
      <c r="I7117" s="3"/>
      <c r="J7117" s="3"/>
      <c r="K7117" s="3"/>
      <c r="L7117" s="3"/>
    </row>
    <row r="7118" spans="9:12" x14ac:dyDescent="0.25">
      <c r="I7118" s="3"/>
      <c r="J7118" s="3"/>
      <c r="K7118" s="3"/>
      <c r="L7118" s="3"/>
    </row>
    <row r="7119" spans="9:12" x14ac:dyDescent="0.25">
      <c r="I7119" s="3"/>
      <c r="J7119" s="3"/>
      <c r="K7119" s="3"/>
      <c r="L7119" s="3"/>
    </row>
    <row r="7120" spans="9:12" x14ac:dyDescent="0.25">
      <c r="I7120" s="3"/>
      <c r="J7120" s="3"/>
      <c r="K7120" s="3"/>
      <c r="L7120" s="3"/>
    </row>
    <row r="7121" spans="9:12" x14ac:dyDescent="0.25">
      <c r="I7121" s="3"/>
      <c r="J7121" s="3"/>
      <c r="K7121" s="3"/>
      <c r="L7121" s="3"/>
    </row>
    <row r="7122" spans="9:12" x14ac:dyDescent="0.25">
      <c r="I7122" s="3"/>
      <c r="J7122" s="3"/>
      <c r="K7122" s="3"/>
      <c r="L7122" s="3"/>
    </row>
    <row r="7123" spans="9:12" x14ac:dyDescent="0.25">
      <c r="I7123" s="3"/>
      <c r="J7123" s="3"/>
      <c r="K7123" s="3"/>
      <c r="L7123" s="3"/>
    </row>
    <row r="7124" spans="9:12" x14ac:dyDescent="0.25">
      <c r="I7124" s="3"/>
      <c r="J7124" s="3"/>
      <c r="K7124" s="3"/>
      <c r="L7124" s="3"/>
    </row>
    <row r="7125" spans="9:12" x14ac:dyDescent="0.25">
      <c r="I7125" s="3"/>
      <c r="J7125" s="3"/>
      <c r="K7125" s="3"/>
      <c r="L7125" s="3"/>
    </row>
    <row r="7126" spans="9:12" x14ac:dyDescent="0.25">
      <c r="I7126" s="3"/>
      <c r="J7126" s="3"/>
      <c r="K7126" s="3"/>
      <c r="L7126" s="3"/>
    </row>
    <row r="7127" spans="9:12" x14ac:dyDescent="0.25">
      <c r="I7127" s="3"/>
      <c r="J7127" s="3"/>
      <c r="K7127" s="3"/>
      <c r="L7127" s="3"/>
    </row>
    <row r="7128" spans="9:12" x14ac:dyDescent="0.25">
      <c r="I7128" s="3"/>
      <c r="J7128" s="3"/>
      <c r="K7128" s="3"/>
      <c r="L7128" s="3"/>
    </row>
    <row r="7129" spans="9:12" x14ac:dyDescent="0.25">
      <c r="I7129" s="3"/>
      <c r="J7129" s="3"/>
      <c r="K7129" s="3"/>
      <c r="L7129" s="3"/>
    </row>
    <row r="7130" spans="9:12" x14ac:dyDescent="0.25">
      <c r="I7130" s="3"/>
      <c r="J7130" s="3"/>
      <c r="K7130" s="3"/>
      <c r="L7130" s="3"/>
    </row>
    <row r="7131" spans="9:12" x14ac:dyDescent="0.25">
      <c r="I7131" s="3"/>
      <c r="J7131" s="3"/>
      <c r="K7131" s="3"/>
      <c r="L7131" s="3"/>
    </row>
    <row r="7132" spans="9:12" x14ac:dyDescent="0.25">
      <c r="I7132" s="3"/>
      <c r="J7132" s="3"/>
      <c r="K7132" s="3"/>
      <c r="L7132" s="3"/>
    </row>
    <row r="7133" spans="9:12" x14ac:dyDescent="0.25">
      <c r="I7133" s="3"/>
      <c r="J7133" s="3"/>
      <c r="K7133" s="3"/>
      <c r="L7133" s="3"/>
    </row>
    <row r="7134" spans="9:12" x14ac:dyDescent="0.25">
      <c r="I7134" s="3"/>
      <c r="J7134" s="3"/>
      <c r="K7134" s="3"/>
      <c r="L7134" s="3"/>
    </row>
    <row r="7135" spans="9:12" x14ac:dyDescent="0.25">
      <c r="I7135" s="3"/>
      <c r="J7135" s="3"/>
      <c r="K7135" s="3"/>
      <c r="L7135" s="3"/>
    </row>
    <row r="7136" spans="9:12" x14ac:dyDescent="0.25">
      <c r="I7136" s="3"/>
      <c r="J7136" s="3"/>
      <c r="K7136" s="3"/>
      <c r="L7136" s="3"/>
    </row>
    <row r="7137" spans="9:12" x14ac:dyDescent="0.25">
      <c r="I7137" s="3"/>
      <c r="J7137" s="3"/>
      <c r="K7137" s="3"/>
      <c r="L7137" s="3"/>
    </row>
    <row r="7138" spans="9:12" x14ac:dyDescent="0.25">
      <c r="I7138" s="3"/>
      <c r="J7138" s="3"/>
      <c r="K7138" s="3"/>
      <c r="L7138" s="3"/>
    </row>
    <row r="7139" spans="9:12" x14ac:dyDescent="0.25">
      <c r="I7139" s="3"/>
      <c r="J7139" s="3"/>
      <c r="K7139" s="3"/>
      <c r="L7139" s="3"/>
    </row>
    <row r="7140" spans="9:12" x14ac:dyDescent="0.25">
      <c r="I7140" s="3"/>
      <c r="J7140" s="3"/>
      <c r="K7140" s="3"/>
      <c r="L7140" s="3"/>
    </row>
    <row r="7141" spans="9:12" x14ac:dyDescent="0.25">
      <c r="I7141" s="3"/>
      <c r="J7141" s="3"/>
      <c r="K7141" s="3"/>
      <c r="L7141" s="3"/>
    </row>
    <row r="7142" spans="9:12" x14ac:dyDescent="0.25">
      <c r="I7142" s="3"/>
      <c r="J7142" s="3"/>
      <c r="K7142" s="3"/>
      <c r="L7142" s="3"/>
    </row>
    <row r="7143" spans="9:12" x14ac:dyDescent="0.25">
      <c r="I7143" s="3"/>
      <c r="J7143" s="3"/>
      <c r="K7143" s="3"/>
      <c r="L7143" s="3"/>
    </row>
    <row r="7144" spans="9:12" x14ac:dyDescent="0.25">
      <c r="I7144" s="3"/>
      <c r="J7144" s="3"/>
      <c r="K7144" s="3"/>
      <c r="L7144" s="3"/>
    </row>
    <row r="7145" spans="9:12" x14ac:dyDescent="0.25">
      <c r="I7145" s="3"/>
      <c r="J7145" s="3"/>
      <c r="K7145" s="3"/>
      <c r="L7145" s="3"/>
    </row>
    <row r="7146" spans="9:12" x14ac:dyDescent="0.25">
      <c r="I7146" s="3"/>
      <c r="J7146" s="3"/>
      <c r="K7146" s="3"/>
      <c r="L7146" s="3"/>
    </row>
    <row r="7147" spans="9:12" x14ac:dyDescent="0.25">
      <c r="I7147" s="3"/>
      <c r="J7147" s="3"/>
      <c r="K7147" s="3"/>
      <c r="L7147" s="3"/>
    </row>
    <row r="7148" spans="9:12" x14ac:dyDescent="0.25">
      <c r="I7148" s="3"/>
      <c r="J7148" s="3"/>
      <c r="K7148" s="3"/>
      <c r="L7148" s="3"/>
    </row>
    <row r="7149" spans="9:12" x14ac:dyDescent="0.25">
      <c r="I7149" s="3"/>
      <c r="J7149" s="3"/>
      <c r="K7149" s="3"/>
      <c r="L7149" s="3"/>
    </row>
    <row r="7150" spans="9:12" x14ac:dyDescent="0.25">
      <c r="I7150" s="3"/>
      <c r="J7150" s="3"/>
      <c r="K7150" s="3"/>
      <c r="L7150" s="3"/>
    </row>
    <row r="7151" spans="9:12" x14ac:dyDescent="0.25">
      <c r="I7151" s="3"/>
      <c r="J7151" s="3"/>
      <c r="K7151" s="3"/>
      <c r="L7151" s="3"/>
    </row>
    <row r="7152" spans="9:12" x14ac:dyDescent="0.25">
      <c r="I7152" s="3"/>
      <c r="J7152" s="3"/>
      <c r="K7152" s="3"/>
      <c r="L7152" s="3"/>
    </row>
    <row r="7153" spans="9:12" x14ac:dyDescent="0.25">
      <c r="I7153" s="3"/>
      <c r="J7153" s="3"/>
      <c r="K7153" s="3"/>
      <c r="L7153" s="3"/>
    </row>
    <row r="7154" spans="9:12" x14ac:dyDescent="0.25">
      <c r="I7154" s="3"/>
      <c r="J7154" s="3"/>
      <c r="K7154" s="3"/>
      <c r="L7154" s="3"/>
    </row>
    <row r="7155" spans="9:12" x14ac:dyDescent="0.25">
      <c r="I7155" s="3"/>
      <c r="J7155" s="3"/>
      <c r="K7155" s="3"/>
      <c r="L7155" s="3"/>
    </row>
    <row r="7156" spans="9:12" x14ac:dyDescent="0.25">
      <c r="I7156" s="3"/>
      <c r="J7156" s="3"/>
      <c r="K7156" s="3"/>
      <c r="L7156" s="3"/>
    </row>
    <row r="7157" spans="9:12" x14ac:dyDescent="0.25">
      <c r="I7157" s="3"/>
      <c r="J7157" s="3"/>
      <c r="K7157" s="3"/>
      <c r="L7157" s="3"/>
    </row>
    <row r="7158" spans="9:12" x14ac:dyDescent="0.25">
      <c r="I7158" s="3"/>
      <c r="J7158" s="3"/>
      <c r="K7158" s="3"/>
      <c r="L7158" s="3"/>
    </row>
    <row r="7159" spans="9:12" x14ac:dyDescent="0.25">
      <c r="I7159" s="3"/>
      <c r="J7159" s="3"/>
      <c r="K7159" s="3"/>
      <c r="L7159" s="3"/>
    </row>
    <row r="7160" spans="9:12" x14ac:dyDescent="0.25">
      <c r="I7160" s="3"/>
      <c r="J7160" s="3"/>
      <c r="K7160" s="3"/>
      <c r="L7160" s="3"/>
    </row>
    <row r="7161" spans="9:12" x14ac:dyDescent="0.25">
      <c r="I7161" s="3"/>
      <c r="J7161" s="3"/>
      <c r="K7161" s="3"/>
      <c r="L7161" s="3"/>
    </row>
    <row r="7162" spans="9:12" x14ac:dyDescent="0.25">
      <c r="I7162" s="3"/>
      <c r="J7162" s="3"/>
      <c r="K7162" s="3"/>
      <c r="L7162" s="3"/>
    </row>
    <row r="7163" spans="9:12" x14ac:dyDescent="0.25">
      <c r="I7163" s="3"/>
      <c r="J7163" s="3"/>
      <c r="K7163" s="3"/>
      <c r="L7163" s="3"/>
    </row>
    <row r="7164" spans="9:12" x14ac:dyDescent="0.25">
      <c r="I7164" s="3"/>
      <c r="J7164" s="3"/>
      <c r="K7164" s="3"/>
      <c r="L7164" s="3"/>
    </row>
    <row r="7165" spans="9:12" x14ac:dyDescent="0.25">
      <c r="I7165" s="3"/>
      <c r="J7165" s="3"/>
      <c r="K7165" s="3"/>
      <c r="L7165" s="3"/>
    </row>
    <row r="7166" spans="9:12" x14ac:dyDescent="0.25">
      <c r="I7166" s="3"/>
      <c r="J7166" s="3"/>
      <c r="K7166" s="3"/>
      <c r="L7166" s="3"/>
    </row>
    <row r="7167" spans="9:12" x14ac:dyDescent="0.25">
      <c r="I7167" s="3"/>
      <c r="J7167" s="3"/>
      <c r="K7167" s="3"/>
      <c r="L7167" s="3"/>
    </row>
    <row r="7168" spans="9:12" x14ac:dyDescent="0.25">
      <c r="I7168" s="3"/>
      <c r="J7168" s="3"/>
      <c r="K7168" s="3"/>
      <c r="L7168" s="3"/>
    </row>
    <row r="7169" spans="9:12" x14ac:dyDescent="0.25">
      <c r="I7169" s="3"/>
      <c r="J7169" s="3"/>
      <c r="K7169" s="3"/>
      <c r="L7169" s="3"/>
    </row>
    <row r="7170" spans="9:12" x14ac:dyDescent="0.25">
      <c r="I7170" s="3"/>
      <c r="J7170" s="3"/>
      <c r="K7170" s="3"/>
      <c r="L7170" s="3"/>
    </row>
    <row r="7171" spans="9:12" x14ac:dyDescent="0.25">
      <c r="I7171" s="3"/>
      <c r="J7171" s="3"/>
      <c r="K7171" s="3"/>
      <c r="L7171" s="3"/>
    </row>
    <row r="7172" spans="9:12" x14ac:dyDescent="0.25">
      <c r="I7172" s="3"/>
      <c r="J7172" s="3"/>
      <c r="K7172" s="3"/>
      <c r="L7172" s="3"/>
    </row>
    <row r="7173" spans="9:12" x14ac:dyDescent="0.25">
      <c r="I7173" s="3"/>
      <c r="J7173" s="3"/>
      <c r="K7173" s="3"/>
      <c r="L7173" s="3"/>
    </row>
    <row r="7174" spans="9:12" x14ac:dyDescent="0.25">
      <c r="I7174" s="3"/>
      <c r="J7174" s="3"/>
      <c r="K7174" s="3"/>
      <c r="L7174" s="3"/>
    </row>
    <row r="7175" spans="9:12" x14ac:dyDescent="0.25">
      <c r="I7175" s="3"/>
      <c r="J7175" s="3"/>
      <c r="K7175" s="3"/>
      <c r="L7175" s="3"/>
    </row>
    <row r="7176" spans="9:12" x14ac:dyDescent="0.25">
      <c r="I7176" s="3"/>
      <c r="J7176" s="3"/>
      <c r="K7176" s="3"/>
      <c r="L7176" s="3"/>
    </row>
    <row r="7177" spans="9:12" x14ac:dyDescent="0.25">
      <c r="I7177" s="4"/>
      <c r="J7177" s="4"/>
      <c r="K7177" s="4"/>
      <c r="L7177" s="4"/>
    </row>
    <row r="7178" spans="9:12" x14ac:dyDescent="0.25">
      <c r="I7178" s="4"/>
      <c r="J7178" s="4"/>
      <c r="K7178" s="4"/>
      <c r="L7178" s="4"/>
    </row>
    <row r="7179" spans="9:12" x14ac:dyDescent="0.25">
      <c r="I7179" s="3"/>
      <c r="J7179" s="3"/>
      <c r="K7179" s="3"/>
      <c r="L7179" s="3"/>
    </row>
    <row r="7180" spans="9:12" x14ac:dyDescent="0.25">
      <c r="I7180" s="3"/>
      <c r="J7180" s="3"/>
      <c r="K7180" s="3"/>
      <c r="L7180" s="3"/>
    </row>
    <row r="7181" spans="9:12" x14ac:dyDescent="0.25">
      <c r="I7181" s="3"/>
      <c r="J7181" s="3"/>
      <c r="K7181" s="3"/>
      <c r="L7181" s="3"/>
    </row>
    <row r="7182" spans="9:12" x14ac:dyDescent="0.25">
      <c r="I7182" s="3"/>
      <c r="J7182" s="3"/>
      <c r="K7182" s="3"/>
      <c r="L7182" s="3"/>
    </row>
    <row r="7183" spans="9:12" x14ac:dyDescent="0.25">
      <c r="I7183" s="3"/>
      <c r="J7183" s="3"/>
      <c r="K7183" s="3"/>
      <c r="L7183" s="3"/>
    </row>
    <row r="7184" spans="9:12" x14ac:dyDescent="0.25">
      <c r="I7184" s="3"/>
      <c r="J7184" s="3"/>
      <c r="K7184" s="3"/>
      <c r="L7184" s="3"/>
    </row>
    <row r="7185" spans="9:12" x14ac:dyDescent="0.25">
      <c r="I7185" s="3"/>
      <c r="J7185" s="3"/>
      <c r="K7185" s="3"/>
      <c r="L7185" s="3"/>
    </row>
    <row r="7186" spans="9:12" x14ac:dyDescent="0.25">
      <c r="I7186" s="3"/>
      <c r="J7186" s="3"/>
      <c r="K7186" s="3"/>
      <c r="L7186" s="3"/>
    </row>
    <row r="7187" spans="9:12" x14ac:dyDescent="0.25">
      <c r="I7187" s="3"/>
      <c r="J7187" s="3"/>
      <c r="K7187" s="3"/>
      <c r="L7187" s="3"/>
    </row>
    <row r="7188" spans="9:12" x14ac:dyDescent="0.25">
      <c r="I7188" s="3"/>
      <c r="J7188" s="3"/>
      <c r="K7188" s="3"/>
      <c r="L7188" s="3"/>
    </row>
    <row r="7189" spans="9:12" x14ac:dyDescent="0.25">
      <c r="I7189" s="3"/>
      <c r="J7189" s="3"/>
      <c r="K7189" s="3"/>
      <c r="L7189" s="3"/>
    </row>
    <row r="7190" spans="9:12" x14ac:dyDescent="0.25">
      <c r="I7190" s="3"/>
      <c r="J7190" s="3"/>
      <c r="K7190" s="3"/>
      <c r="L7190" s="3"/>
    </row>
    <row r="7191" spans="9:12" x14ac:dyDescent="0.25">
      <c r="I7191" s="3"/>
      <c r="J7191" s="3"/>
      <c r="K7191" s="3"/>
      <c r="L7191" s="3"/>
    </row>
    <row r="7192" spans="9:12" x14ac:dyDescent="0.25">
      <c r="I7192" s="3"/>
      <c r="J7192" s="3"/>
      <c r="K7192" s="3"/>
      <c r="L7192" s="3"/>
    </row>
    <row r="7193" spans="9:12" x14ac:dyDescent="0.25">
      <c r="I7193" s="5"/>
      <c r="J7193" s="5"/>
      <c r="K7193" s="5"/>
      <c r="L7193" s="5"/>
    </row>
    <row r="7194" spans="9:12" x14ac:dyDescent="0.25">
      <c r="I7194" s="5"/>
      <c r="J7194" s="5"/>
      <c r="K7194" s="5"/>
      <c r="L7194" s="5"/>
    </row>
    <row r="7195" spans="9:12" x14ac:dyDescent="0.25">
      <c r="I7195" s="5"/>
      <c r="J7195" s="5"/>
      <c r="K7195" s="5"/>
      <c r="L7195" s="5"/>
    </row>
    <row r="7196" spans="9:12" x14ac:dyDescent="0.25">
      <c r="I7196" s="5"/>
      <c r="J7196" s="5"/>
      <c r="K7196" s="5"/>
      <c r="L7196" s="5"/>
    </row>
    <row r="7197" spans="9:12" x14ac:dyDescent="0.25">
      <c r="I7197" s="3"/>
      <c r="J7197" s="3"/>
      <c r="K7197" s="3"/>
      <c r="L7197" s="3"/>
    </row>
    <row r="7198" spans="9:12" x14ac:dyDescent="0.25">
      <c r="I7198" s="3"/>
      <c r="J7198" s="3"/>
      <c r="K7198" s="3"/>
      <c r="L7198" s="3"/>
    </row>
    <row r="7199" spans="9:12" x14ac:dyDescent="0.25">
      <c r="I7199" s="3"/>
      <c r="J7199" s="3"/>
      <c r="K7199" s="3"/>
      <c r="L7199" s="3"/>
    </row>
    <row r="7200" spans="9:12" x14ac:dyDescent="0.25">
      <c r="I7200" s="3"/>
      <c r="J7200" s="3"/>
      <c r="K7200" s="3"/>
      <c r="L7200" s="3"/>
    </row>
    <row r="7201" spans="9:12" x14ac:dyDescent="0.25">
      <c r="I7201" s="3"/>
      <c r="J7201" s="3"/>
      <c r="K7201" s="3"/>
      <c r="L7201" s="3"/>
    </row>
    <row r="7202" spans="9:12" x14ac:dyDescent="0.25">
      <c r="I7202" s="3"/>
      <c r="J7202" s="3"/>
      <c r="K7202" s="3"/>
      <c r="L7202" s="3"/>
    </row>
    <row r="7203" spans="9:12" x14ac:dyDescent="0.25">
      <c r="I7203" s="3"/>
      <c r="J7203" s="3"/>
      <c r="K7203" s="3"/>
      <c r="L7203" s="3"/>
    </row>
    <row r="7204" spans="9:12" x14ac:dyDescent="0.25">
      <c r="I7204" s="3"/>
      <c r="J7204" s="3"/>
      <c r="K7204" s="3"/>
      <c r="L7204" s="3"/>
    </row>
    <row r="7205" spans="9:12" x14ac:dyDescent="0.25">
      <c r="I7205" s="3"/>
      <c r="J7205" s="3"/>
      <c r="K7205" s="3"/>
      <c r="L7205" s="3"/>
    </row>
    <row r="7206" spans="9:12" x14ac:dyDescent="0.25">
      <c r="I7206" s="3"/>
      <c r="J7206" s="3"/>
      <c r="K7206" s="3"/>
      <c r="L7206" s="3"/>
    </row>
    <row r="7207" spans="9:12" x14ac:dyDescent="0.25">
      <c r="I7207" s="3"/>
      <c r="J7207" s="3"/>
      <c r="K7207" s="3"/>
      <c r="L7207" s="3"/>
    </row>
    <row r="7208" spans="9:12" x14ac:dyDescent="0.25">
      <c r="I7208" s="3"/>
      <c r="J7208" s="3"/>
      <c r="K7208" s="3"/>
      <c r="L7208" s="3"/>
    </row>
    <row r="7209" spans="9:12" x14ac:dyDescent="0.25">
      <c r="I7209" s="3"/>
      <c r="J7209" s="3"/>
      <c r="K7209" s="3"/>
      <c r="L7209" s="3"/>
    </row>
    <row r="7210" spans="9:12" x14ac:dyDescent="0.25">
      <c r="I7210" s="3"/>
      <c r="J7210" s="3"/>
      <c r="K7210" s="3"/>
      <c r="L7210" s="3"/>
    </row>
    <row r="7211" spans="9:12" x14ac:dyDescent="0.25">
      <c r="I7211" s="3"/>
      <c r="J7211" s="3"/>
      <c r="K7211" s="3"/>
      <c r="L7211" s="3"/>
    </row>
    <row r="7212" spans="9:12" x14ac:dyDescent="0.25">
      <c r="I7212" s="3"/>
      <c r="J7212" s="3"/>
      <c r="K7212" s="3"/>
      <c r="L7212" s="3"/>
    </row>
    <row r="7213" spans="9:12" x14ac:dyDescent="0.25">
      <c r="I7213" s="3"/>
      <c r="J7213" s="3"/>
      <c r="K7213" s="3"/>
      <c r="L7213" s="3"/>
    </row>
    <row r="7214" spans="9:12" x14ac:dyDescent="0.25">
      <c r="I7214" s="3"/>
      <c r="J7214" s="3"/>
      <c r="K7214" s="3"/>
      <c r="L7214" s="3"/>
    </row>
    <row r="7215" spans="9:12" x14ac:dyDescent="0.25">
      <c r="I7215" s="3"/>
      <c r="J7215" s="3"/>
      <c r="K7215" s="3"/>
      <c r="L7215" s="3"/>
    </row>
    <row r="7216" spans="9:12" x14ac:dyDescent="0.25">
      <c r="I7216" s="3"/>
      <c r="J7216" s="3"/>
      <c r="K7216" s="3"/>
      <c r="L7216" s="3"/>
    </row>
    <row r="7217" spans="9:12" x14ac:dyDescent="0.25">
      <c r="I7217" s="3"/>
      <c r="J7217" s="3"/>
      <c r="K7217" s="3"/>
      <c r="L7217" s="3"/>
    </row>
    <row r="7218" spans="9:12" x14ac:dyDescent="0.25">
      <c r="I7218" s="3"/>
      <c r="J7218" s="3"/>
      <c r="K7218" s="3"/>
      <c r="L7218" s="3"/>
    </row>
    <row r="7219" spans="9:12" x14ac:dyDescent="0.25">
      <c r="I7219" s="3"/>
      <c r="J7219" s="3"/>
      <c r="K7219" s="3"/>
      <c r="L7219" s="3"/>
    </row>
    <row r="7220" spans="9:12" x14ac:dyDescent="0.25">
      <c r="I7220" s="3"/>
      <c r="J7220" s="3"/>
      <c r="K7220" s="3"/>
      <c r="L7220" s="3"/>
    </row>
    <row r="7221" spans="9:12" x14ac:dyDescent="0.25">
      <c r="I7221" s="3"/>
      <c r="J7221" s="3"/>
      <c r="K7221" s="3"/>
      <c r="L7221" s="3"/>
    </row>
    <row r="7222" spans="9:12" x14ac:dyDescent="0.25">
      <c r="I7222" s="3"/>
      <c r="J7222" s="3"/>
      <c r="K7222" s="3"/>
      <c r="L7222" s="3"/>
    </row>
    <row r="7223" spans="9:12" x14ac:dyDescent="0.25">
      <c r="I7223" s="3"/>
      <c r="J7223" s="3"/>
      <c r="K7223" s="3"/>
      <c r="L7223" s="3"/>
    </row>
    <row r="7224" spans="9:12" x14ac:dyDescent="0.25">
      <c r="I7224" s="3"/>
      <c r="J7224" s="3"/>
      <c r="K7224" s="3"/>
      <c r="L7224" s="3"/>
    </row>
    <row r="7225" spans="9:12" x14ac:dyDescent="0.25">
      <c r="I7225" s="3"/>
      <c r="J7225" s="3"/>
      <c r="K7225" s="3"/>
      <c r="L7225" s="3"/>
    </row>
    <row r="7226" spans="9:12" x14ac:dyDescent="0.25">
      <c r="I7226" s="3"/>
      <c r="J7226" s="3"/>
      <c r="K7226" s="3"/>
      <c r="L7226" s="3"/>
    </row>
    <row r="7227" spans="9:12" x14ac:dyDescent="0.25">
      <c r="I7227" s="3"/>
      <c r="J7227" s="3"/>
      <c r="K7227" s="3"/>
      <c r="L7227" s="3"/>
    </row>
    <row r="7228" spans="9:12" x14ac:dyDescent="0.25">
      <c r="I7228" s="3"/>
      <c r="J7228" s="3"/>
      <c r="K7228" s="3"/>
      <c r="L7228" s="3"/>
    </row>
    <row r="7229" spans="9:12" x14ac:dyDescent="0.25">
      <c r="I7229" s="3"/>
      <c r="J7229" s="3"/>
      <c r="K7229" s="3"/>
      <c r="L7229" s="3"/>
    </row>
    <row r="7230" spans="9:12" x14ac:dyDescent="0.25">
      <c r="I7230" s="3"/>
      <c r="J7230" s="3"/>
      <c r="K7230" s="3"/>
      <c r="L7230" s="3"/>
    </row>
    <row r="7231" spans="9:12" x14ac:dyDescent="0.25">
      <c r="I7231" s="5"/>
      <c r="J7231" s="5"/>
      <c r="K7231" s="5"/>
      <c r="L7231" s="5"/>
    </row>
    <row r="7232" spans="9:12" x14ac:dyDescent="0.25">
      <c r="I7232" s="3"/>
      <c r="J7232" s="3"/>
      <c r="K7232" s="3"/>
      <c r="L7232" s="3"/>
    </row>
    <row r="7233" spans="9:12" x14ac:dyDescent="0.25">
      <c r="I7233" s="3"/>
      <c r="J7233" s="3"/>
      <c r="K7233" s="3"/>
      <c r="L7233" s="3"/>
    </row>
    <row r="7234" spans="9:12" x14ac:dyDescent="0.25">
      <c r="I7234" s="3"/>
      <c r="J7234" s="3"/>
      <c r="K7234" s="3"/>
      <c r="L7234" s="3"/>
    </row>
    <row r="7235" spans="9:12" x14ac:dyDescent="0.25">
      <c r="I7235" s="3"/>
      <c r="J7235" s="3"/>
      <c r="K7235" s="3"/>
      <c r="L7235" s="3"/>
    </row>
    <row r="7236" spans="9:12" x14ac:dyDescent="0.25">
      <c r="I7236" s="3"/>
      <c r="J7236" s="3"/>
      <c r="K7236" s="3"/>
      <c r="L7236" s="3"/>
    </row>
    <row r="7237" spans="9:12" x14ac:dyDescent="0.25">
      <c r="I7237" s="3"/>
      <c r="J7237" s="3"/>
      <c r="K7237" s="3"/>
      <c r="L7237" s="3"/>
    </row>
    <row r="7238" spans="9:12" x14ac:dyDescent="0.25">
      <c r="I7238" s="3"/>
      <c r="J7238" s="3"/>
      <c r="K7238" s="3"/>
      <c r="L7238" s="3"/>
    </row>
    <row r="7239" spans="9:12" x14ac:dyDescent="0.25">
      <c r="I7239" s="3"/>
      <c r="J7239" s="3"/>
      <c r="K7239" s="3"/>
      <c r="L7239" s="3"/>
    </row>
    <row r="7240" spans="9:12" x14ac:dyDescent="0.25">
      <c r="I7240" s="3"/>
      <c r="J7240" s="3"/>
      <c r="K7240" s="3"/>
      <c r="L7240" s="3"/>
    </row>
    <row r="7241" spans="9:12" x14ac:dyDescent="0.25">
      <c r="I7241" s="3"/>
      <c r="J7241" s="3"/>
      <c r="K7241" s="3"/>
      <c r="L7241" s="3"/>
    </row>
    <row r="7242" spans="9:12" x14ac:dyDescent="0.25">
      <c r="I7242" s="3"/>
      <c r="J7242" s="3"/>
      <c r="K7242" s="3"/>
      <c r="L7242" s="3"/>
    </row>
    <row r="7243" spans="9:12" x14ac:dyDescent="0.25">
      <c r="I7243" s="3"/>
      <c r="J7243" s="3"/>
      <c r="K7243" s="3"/>
      <c r="L7243" s="3"/>
    </row>
    <row r="7244" spans="9:12" x14ac:dyDescent="0.25">
      <c r="I7244" s="3"/>
      <c r="J7244" s="3"/>
      <c r="K7244" s="3"/>
      <c r="L7244" s="3"/>
    </row>
    <row r="7245" spans="9:12" x14ac:dyDescent="0.25">
      <c r="I7245" s="3"/>
      <c r="J7245" s="3"/>
      <c r="K7245" s="3"/>
      <c r="L7245" s="3"/>
    </row>
    <row r="7246" spans="9:12" x14ac:dyDescent="0.25">
      <c r="I7246" s="3"/>
      <c r="J7246" s="3"/>
      <c r="K7246" s="3"/>
      <c r="L7246" s="3"/>
    </row>
    <row r="7247" spans="9:12" x14ac:dyDescent="0.25">
      <c r="I7247" s="3"/>
      <c r="J7247" s="3"/>
      <c r="K7247" s="3"/>
      <c r="L7247" s="3"/>
    </row>
    <row r="7248" spans="9:12" x14ac:dyDescent="0.25">
      <c r="I7248" s="3"/>
      <c r="J7248" s="3"/>
      <c r="K7248" s="3"/>
      <c r="L7248" s="3"/>
    </row>
    <row r="7249" spans="9:12" x14ac:dyDescent="0.25">
      <c r="I7249" s="3"/>
      <c r="J7249" s="3"/>
      <c r="K7249" s="3"/>
      <c r="L7249" s="3"/>
    </row>
    <row r="7250" spans="9:12" x14ac:dyDescent="0.25">
      <c r="I7250" s="3"/>
      <c r="J7250" s="3"/>
      <c r="K7250" s="3"/>
      <c r="L7250" s="3"/>
    </row>
    <row r="7251" spans="9:12" x14ac:dyDescent="0.25">
      <c r="I7251" s="3"/>
      <c r="J7251" s="3"/>
      <c r="K7251" s="3"/>
      <c r="L7251" s="3"/>
    </row>
    <row r="7252" spans="9:12" x14ac:dyDescent="0.25">
      <c r="I7252" s="3"/>
      <c r="J7252" s="3"/>
      <c r="K7252" s="3"/>
      <c r="L7252" s="3"/>
    </row>
    <row r="7253" spans="9:12" x14ac:dyDescent="0.25">
      <c r="I7253" s="3"/>
      <c r="J7253" s="3"/>
      <c r="K7253" s="3"/>
      <c r="L7253" s="3"/>
    </row>
    <row r="7254" spans="9:12" x14ac:dyDescent="0.25">
      <c r="I7254" s="3"/>
      <c r="J7254" s="3"/>
      <c r="K7254" s="3"/>
      <c r="L7254" s="3"/>
    </row>
    <row r="7255" spans="9:12" x14ac:dyDescent="0.25">
      <c r="I7255" s="3"/>
      <c r="J7255" s="3"/>
      <c r="K7255" s="3"/>
      <c r="L7255" s="3"/>
    </row>
    <row r="7256" spans="9:12" x14ac:dyDescent="0.25">
      <c r="I7256" s="3"/>
      <c r="J7256" s="3"/>
      <c r="K7256" s="3"/>
      <c r="L7256" s="3"/>
    </row>
    <row r="7257" spans="9:12" x14ac:dyDescent="0.25">
      <c r="I7257" s="3"/>
      <c r="J7257" s="3"/>
      <c r="K7257" s="3"/>
      <c r="L7257" s="3"/>
    </row>
    <row r="7258" spans="9:12" x14ac:dyDescent="0.25">
      <c r="I7258" s="3"/>
      <c r="J7258" s="3"/>
      <c r="K7258" s="3"/>
      <c r="L7258" s="3"/>
    </row>
    <row r="7259" spans="9:12" x14ac:dyDescent="0.25">
      <c r="I7259" s="3"/>
      <c r="J7259" s="3"/>
      <c r="K7259" s="3"/>
      <c r="L7259" s="3"/>
    </row>
    <row r="7260" spans="9:12" x14ac:dyDescent="0.25">
      <c r="I7260" s="3"/>
      <c r="J7260" s="3"/>
      <c r="K7260" s="3"/>
      <c r="L7260" s="3"/>
    </row>
    <row r="7261" spans="9:12" x14ac:dyDescent="0.25">
      <c r="I7261" s="3"/>
      <c r="J7261" s="3"/>
      <c r="K7261" s="3"/>
      <c r="L7261" s="3"/>
    </row>
    <row r="7262" spans="9:12" x14ac:dyDescent="0.25">
      <c r="I7262" s="3"/>
      <c r="J7262" s="3"/>
      <c r="K7262" s="3"/>
      <c r="L7262" s="3"/>
    </row>
    <row r="7263" spans="9:12" x14ac:dyDescent="0.25">
      <c r="I7263" s="3"/>
      <c r="J7263" s="3"/>
      <c r="K7263" s="3"/>
      <c r="L7263" s="3"/>
    </row>
    <row r="7264" spans="9:12" x14ac:dyDescent="0.25">
      <c r="I7264" s="3"/>
      <c r="J7264" s="3"/>
      <c r="K7264" s="3"/>
      <c r="L7264" s="3"/>
    </row>
    <row r="7265" spans="9:12" x14ac:dyDescent="0.25">
      <c r="I7265" s="3"/>
      <c r="J7265" s="3"/>
      <c r="K7265" s="3"/>
      <c r="L7265" s="3"/>
    </row>
    <row r="7266" spans="9:12" x14ac:dyDescent="0.25">
      <c r="I7266" s="3"/>
      <c r="J7266" s="3"/>
      <c r="K7266" s="3"/>
      <c r="L7266" s="3"/>
    </row>
    <row r="7267" spans="9:12" x14ac:dyDescent="0.25">
      <c r="I7267" s="3"/>
      <c r="J7267" s="3"/>
      <c r="K7267" s="3"/>
      <c r="L7267" s="3"/>
    </row>
    <row r="7268" spans="9:12" x14ac:dyDescent="0.25">
      <c r="I7268" s="3"/>
      <c r="J7268" s="3"/>
      <c r="K7268" s="3"/>
      <c r="L7268" s="3"/>
    </row>
    <row r="7269" spans="9:12" x14ac:dyDescent="0.25">
      <c r="I7269" s="3"/>
      <c r="J7269" s="3"/>
      <c r="K7269" s="3"/>
      <c r="L7269" s="3"/>
    </row>
    <row r="7270" spans="9:12" x14ac:dyDescent="0.25">
      <c r="I7270" s="3"/>
      <c r="J7270" s="3"/>
      <c r="K7270" s="3"/>
      <c r="L7270" s="3"/>
    </row>
    <row r="7271" spans="9:12" x14ac:dyDescent="0.25">
      <c r="I7271" s="3"/>
      <c r="J7271" s="3"/>
      <c r="K7271" s="3"/>
      <c r="L7271" s="3"/>
    </row>
    <row r="7272" spans="9:12" x14ac:dyDescent="0.25">
      <c r="I7272" s="3"/>
      <c r="J7272" s="3"/>
      <c r="K7272" s="3"/>
      <c r="L7272" s="3"/>
    </row>
    <row r="7273" spans="9:12" x14ac:dyDescent="0.25">
      <c r="I7273" s="3"/>
      <c r="J7273" s="3"/>
      <c r="K7273" s="3"/>
      <c r="L7273" s="3"/>
    </row>
    <row r="7274" spans="9:12" x14ac:dyDescent="0.25">
      <c r="I7274" s="3"/>
      <c r="J7274" s="3"/>
      <c r="K7274" s="3"/>
      <c r="L7274" s="3"/>
    </row>
    <row r="7275" spans="9:12" x14ac:dyDescent="0.25">
      <c r="I7275" s="3"/>
      <c r="J7275" s="3"/>
      <c r="K7275" s="3"/>
      <c r="L7275" s="3"/>
    </row>
    <row r="7276" spans="9:12" x14ac:dyDescent="0.25">
      <c r="I7276" s="3"/>
      <c r="J7276" s="3"/>
      <c r="K7276" s="3"/>
      <c r="L7276" s="3"/>
    </row>
    <row r="7277" spans="9:12" x14ac:dyDescent="0.25">
      <c r="I7277" s="3"/>
      <c r="J7277" s="3"/>
      <c r="K7277" s="3"/>
      <c r="L7277" s="3"/>
    </row>
    <row r="7278" spans="9:12" x14ac:dyDescent="0.25">
      <c r="I7278" s="3"/>
      <c r="J7278" s="3"/>
      <c r="K7278" s="3"/>
      <c r="L7278" s="3"/>
    </row>
    <row r="7279" spans="9:12" x14ac:dyDescent="0.25">
      <c r="I7279" s="3"/>
      <c r="J7279" s="3"/>
      <c r="K7279" s="3"/>
      <c r="L7279" s="3"/>
    </row>
    <row r="7280" spans="9:12" x14ac:dyDescent="0.25">
      <c r="I7280" s="3"/>
      <c r="J7280" s="3"/>
      <c r="K7280" s="3"/>
      <c r="L7280" s="3"/>
    </row>
    <row r="7281" spans="9:12" x14ac:dyDescent="0.25">
      <c r="I7281" s="3"/>
      <c r="J7281" s="3"/>
      <c r="K7281" s="3"/>
      <c r="L7281" s="3"/>
    </row>
    <row r="7282" spans="9:12" x14ac:dyDescent="0.25">
      <c r="I7282" s="3"/>
      <c r="J7282" s="3"/>
      <c r="K7282" s="3"/>
      <c r="L7282" s="3"/>
    </row>
    <row r="7283" spans="9:12" x14ac:dyDescent="0.25">
      <c r="I7283" s="3"/>
      <c r="J7283" s="3"/>
      <c r="K7283" s="3"/>
      <c r="L7283" s="3"/>
    </row>
    <row r="7284" spans="9:12" x14ac:dyDescent="0.25">
      <c r="I7284" s="3"/>
      <c r="J7284" s="3"/>
      <c r="K7284" s="3"/>
      <c r="L7284" s="3"/>
    </row>
    <row r="7285" spans="9:12" x14ac:dyDescent="0.25">
      <c r="I7285" s="3"/>
      <c r="J7285" s="3"/>
      <c r="K7285" s="3"/>
      <c r="L7285" s="3"/>
    </row>
    <row r="7286" spans="9:12" x14ac:dyDescent="0.25">
      <c r="I7286" s="3"/>
      <c r="J7286" s="3"/>
      <c r="K7286" s="3"/>
      <c r="L7286" s="3"/>
    </row>
    <row r="7287" spans="9:12" x14ac:dyDescent="0.25">
      <c r="I7287" s="3"/>
      <c r="J7287" s="3"/>
      <c r="K7287" s="3"/>
      <c r="L7287" s="3"/>
    </row>
    <row r="7288" spans="9:12" x14ac:dyDescent="0.25">
      <c r="I7288" s="3"/>
      <c r="J7288" s="3"/>
      <c r="K7288" s="3"/>
      <c r="L7288" s="3"/>
    </row>
    <row r="7289" spans="9:12" x14ac:dyDescent="0.25">
      <c r="I7289" s="3"/>
      <c r="J7289" s="3"/>
      <c r="K7289" s="3"/>
      <c r="L7289" s="3"/>
    </row>
    <row r="7290" spans="9:12" x14ac:dyDescent="0.25">
      <c r="I7290" s="3"/>
      <c r="J7290" s="3"/>
      <c r="K7290" s="3"/>
      <c r="L7290" s="3"/>
    </row>
    <row r="7291" spans="9:12" x14ac:dyDescent="0.25">
      <c r="I7291" s="3"/>
      <c r="J7291" s="3"/>
      <c r="K7291" s="3"/>
      <c r="L7291" s="3"/>
    </row>
    <row r="7292" spans="9:12" x14ac:dyDescent="0.25">
      <c r="I7292" s="3"/>
      <c r="J7292" s="3"/>
      <c r="K7292" s="3"/>
      <c r="L7292" s="3"/>
    </row>
    <row r="7293" spans="9:12" x14ac:dyDescent="0.25">
      <c r="I7293" s="3"/>
      <c r="J7293" s="3"/>
      <c r="K7293" s="3"/>
      <c r="L7293" s="3"/>
    </row>
    <row r="7294" spans="9:12" x14ac:dyDescent="0.25">
      <c r="I7294" s="3"/>
      <c r="J7294" s="3"/>
      <c r="K7294" s="3"/>
      <c r="L7294" s="3"/>
    </row>
    <row r="7295" spans="9:12" x14ac:dyDescent="0.25">
      <c r="I7295" s="3"/>
      <c r="J7295" s="3"/>
      <c r="K7295" s="3"/>
      <c r="L7295" s="3"/>
    </row>
    <row r="7296" spans="9:12" x14ac:dyDescent="0.25">
      <c r="I7296" s="3"/>
      <c r="J7296" s="3"/>
      <c r="K7296" s="3"/>
      <c r="L7296" s="3"/>
    </row>
    <row r="7297" spans="9:12" x14ac:dyDescent="0.25">
      <c r="I7297" s="3"/>
      <c r="J7297" s="3"/>
      <c r="K7297" s="3"/>
      <c r="L7297" s="3"/>
    </row>
    <row r="7298" spans="9:12" x14ac:dyDescent="0.25">
      <c r="I7298" s="3"/>
      <c r="J7298" s="3"/>
      <c r="K7298" s="3"/>
      <c r="L7298" s="3"/>
    </row>
    <row r="7299" spans="9:12" x14ac:dyDescent="0.25">
      <c r="I7299" s="3"/>
      <c r="J7299" s="3"/>
      <c r="K7299" s="3"/>
      <c r="L7299" s="3"/>
    </row>
    <row r="7300" spans="9:12" x14ac:dyDescent="0.25">
      <c r="I7300" s="3"/>
      <c r="J7300" s="3"/>
      <c r="K7300" s="3"/>
      <c r="L7300" s="3"/>
    </row>
    <row r="7301" spans="9:12" x14ac:dyDescent="0.25">
      <c r="I7301" s="3"/>
      <c r="J7301" s="3"/>
      <c r="K7301" s="3"/>
      <c r="L7301" s="3"/>
    </row>
    <row r="7302" spans="9:12" x14ac:dyDescent="0.25">
      <c r="I7302" s="3"/>
      <c r="J7302" s="3"/>
      <c r="K7302" s="3"/>
      <c r="L7302" s="3"/>
    </row>
    <row r="7303" spans="9:12" x14ac:dyDescent="0.25">
      <c r="I7303" s="3"/>
      <c r="J7303" s="3"/>
      <c r="K7303" s="3"/>
      <c r="L7303" s="3"/>
    </row>
    <row r="7304" spans="9:12" x14ac:dyDescent="0.25">
      <c r="I7304" s="3"/>
      <c r="J7304" s="3"/>
      <c r="K7304" s="3"/>
      <c r="L7304" s="3"/>
    </row>
    <row r="7305" spans="9:12" x14ac:dyDescent="0.25">
      <c r="I7305" s="3"/>
      <c r="J7305" s="3"/>
      <c r="K7305" s="3"/>
      <c r="L7305" s="3"/>
    </row>
    <row r="7306" spans="9:12" x14ac:dyDescent="0.25">
      <c r="I7306" s="3"/>
      <c r="J7306" s="3"/>
      <c r="K7306" s="3"/>
      <c r="L7306" s="3"/>
    </row>
    <row r="7307" spans="9:12" x14ac:dyDescent="0.25">
      <c r="I7307" s="3"/>
      <c r="J7307" s="3"/>
      <c r="K7307" s="3"/>
      <c r="L7307" s="3"/>
    </row>
    <row r="7308" spans="9:12" x14ac:dyDescent="0.25">
      <c r="I7308" s="3"/>
      <c r="J7308" s="3"/>
      <c r="K7308" s="3"/>
      <c r="L7308" s="3"/>
    </row>
    <row r="7309" spans="9:12" x14ac:dyDescent="0.25">
      <c r="I7309" s="3"/>
      <c r="J7309" s="3"/>
      <c r="K7309" s="3"/>
      <c r="L7309" s="3"/>
    </row>
    <row r="7310" spans="9:12" x14ac:dyDescent="0.25">
      <c r="I7310" s="3"/>
      <c r="J7310" s="3"/>
      <c r="K7310" s="3"/>
      <c r="L7310" s="3"/>
    </row>
    <row r="7311" spans="9:12" x14ac:dyDescent="0.25">
      <c r="I7311" s="3"/>
      <c r="J7311" s="3"/>
      <c r="K7311" s="3"/>
      <c r="L7311" s="3"/>
    </row>
    <row r="7312" spans="9:12" x14ac:dyDescent="0.25">
      <c r="I7312" s="3"/>
      <c r="J7312" s="3"/>
      <c r="K7312" s="3"/>
      <c r="L7312" s="3"/>
    </row>
    <row r="7313" spans="9:12" x14ac:dyDescent="0.25">
      <c r="I7313" s="3"/>
      <c r="J7313" s="3"/>
      <c r="K7313" s="3"/>
      <c r="L7313" s="3"/>
    </row>
    <row r="7314" spans="9:12" x14ac:dyDescent="0.25">
      <c r="I7314" s="3"/>
      <c r="J7314" s="3"/>
      <c r="K7314" s="3"/>
      <c r="L7314" s="3"/>
    </row>
    <row r="7315" spans="9:12" x14ac:dyDescent="0.25">
      <c r="I7315" s="3"/>
      <c r="J7315" s="3"/>
      <c r="K7315" s="3"/>
      <c r="L7315" s="3"/>
    </row>
    <row r="7316" spans="9:12" x14ac:dyDescent="0.25">
      <c r="I7316" s="3"/>
      <c r="J7316" s="3"/>
      <c r="K7316" s="3"/>
      <c r="L7316" s="3"/>
    </row>
    <row r="7317" spans="9:12" x14ac:dyDescent="0.25">
      <c r="I7317" s="3"/>
      <c r="J7317" s="3"/>
      <c r="K7317" s="3"/>
      <c r="L7317" s="3"/>
    </row>
    <row r="7318" spans="9:12" x14ac:dyDescent="0.25">
      <c r="I7318" s="3"/>
      <c r="J7318" s="3"/>
      <c r="K7318" s="3"/>
      <c r="L7318" s="3"/>
    </row>
    <row r="7319" spans="9:12" x14ac:dyDescent="0.25">
      <c r="I7319" s="3"/>
      <c r="J7319" s="3"/>
      <c r="K7319" s="3"/>
      <c r="L7319" s="3"/>
    </row>
    <row r="7320" spans="9:12" x14ac:dyDescent="0.25">
      <c r="I7320" s="3"/>
      <c r="J7320" s="3"/>
      <c r="K7320" s="3"/>
      <c r="L7320" s="3"/>
    </row>
    <row r="7321" spans="9:12" x14ac:dyDescent="0.25">
      <c r="I7321" s="3"/>
      <c r="J7321" s="3"/>
      <c r="K7321" s="3"/>
      <c r="L7321" s="3"/>
    </row>
    <row r="7322" spans="9:12" x14ac:dyDescent="0.25">
      <c r="I7322" s="3"/>
      <c r="J7322" s="3"/>
      <c r="K7322" s="3"/>
      <c r="L7322" s="3"/>
    </row>
    <row r="7323" spans="9:12" x14ac:dyDescent="0.25">
      <c r="I7323" s="3"/>
      <c r="J7323" s="3"/>
      <c r="K7323" s="3"/>
      <c r="L7323" s="3"/>
    </row>
    <row r="7324" spans="9:12" x14ac:dyDescent="0.25">
      <c r="I7324" s="3"/>
      <c r="J7324" s="3"/>
      <c r="K7324" s="3"/>
      <c r="L7324" s="3"/>
    </row>
    <row r="7325" spans="9:12" x14ac:dyDescent="0.25">
      <c r="I7325" s="3"/>
      <c r="J7325" s="3"/>
      <c r="K7325" s="3"/>
      <c r="L7325" s="3"/>
    </row>
    <row r="7326" spans="9:12" x14ac:dyDescent="0.25">
      <c r="I7326" s="3"/>
      <c r="J7326" s="3"/>
      <c r="K7326" s="3"/>
      <c r="L7326" s="3"/>
    </row>
    <row r="7327" spans="9:12" x14ac:dyDescent="0.25">
      <c r="I7327" s="3"/>
      <c r="J7327" s="3"/>
      <c r="K7327" s="3"/>
      <c r="L7327" s="3"/>
    </row>
    <row r="7328" spans="9:12" x14ac:dyDescent="0.25">
      <c r="I7328" s="3"/>
      <c r="J7328" s="3"/>
      <c r="K7328" s="3"/>
      <c r="L7328" s="3"/>
    </row>
    <row r="7329" spans="9:12" x14ac:dyDescent="0.25">
      <c r="I7329" s="3"/>
      <c r="J7329" s="3"/>
      <c r="K7329" s="3"/>
      <c r="L7329" s="3"/>
    </row>
    <row r="7330" spans="9:12" x14ac:dyDescent="0.25">
      <c r="I7330" s="3"/>
      <c r="J7330" s="3"/>
      <c r="K7330" s="3"/>
      <c r="L7330" s="3"/>
    </row>
    <row r="7331" spans="9:12" x14ac:dyDescent="0.25">
      <c r="I7331" s="3"/>
      <c r="J7331" s="3"/>
      <c r="K7331" s="3"/>
      <c r="L7331" s="3"/>
    </row>
    <row r="7332" spans="9:12" x14ac:dyDescent="0.25">
      <c r="I7332" s="3"/>
      <c r="J7332" s="3"/>
      <c r="K7332" s="3"/>
      <c r="L7332" s="3"/>
    </row>
    <row r="7333" spans="9:12" x14ac:dyDescent="0.25">
      <c r="I7333" s="3"/>
      <c r="J7333" s="3"/>
      <c r="K7333" s="3"/>
      <c r="L7333" s="3"/>
    </row>
    <row r="7334" spans="9:12" x14ac:dyDescent="0.25">
      <c r="I7334" s="3"/>
      <c r="J7334" s="3"/>
      <c r="K7334" s="3"/>
      <c r="L7334" s="3"/>
    </row>
    <row r="7335" spans="9:12" x14ac:dyDescent="0.25">
      <c r="I7335" s="3"/>
      <c r="J7335" s="3"/>
      <c r="K7335" s="3"/>
      <c r="L7335" s="3"/>
    </row>
    <row r="7336" spans="9:12" x14ac:dyDescent="0.25">
      <c r="I7336" s="3"/>
      <c r="J7336" s="3"/>
      <c r="K7336" s="3"/>
      <c r="L7336" s="3"/>
    </row>
    <row r="7337" spans="9:12" x14ac:dyDescent="0.25">
      <c r="I7337" s="3"/>
      <c r="J7337" s="3"/>
      <c r="K7337" s="3"/>
      <c r="L7337" s="3"/>
    </row>
    <row r="7338" spans="9:12" x14ac:dyDescent="0.25">
      <c r="I7338" s="3"/>
      <c r="J7338" s="3"/>
      <c r="K7338" s="3"/>
      <c r="L7338" s="3"/>
    </row>
    <row r="7339" spans="9:12" x14ac:dyDescent="0.25">
      <c r="I7339" s="3"/>
      <c r="J7339" s="3"/>
      <c r="K7339" s="3"/>
      <c r="L7339" s="3"/>
    </row>
    <row r="7340" spans="9:12" x14ac:dyDescent="0.25">
      <c r="I7340" s="3"/>
      <c r="J7340" s="3"/>
      <c r="K7340" s="3"/>
      <c r="L7340" s="3"/>
    </row>
    <row r="7341" spans="9:12" x14ac:dyDescent="0.25">
      <c r="I7341" s="3"/>
      <c r="J7341" s="3"/>
      <c r="K7341" s="3"/>
      <c r="L7341" s="3"/>
    </row>
    <row r="7342" spans="9:12" x14ac:dyDescent="0.25">
      <c r="I7342" s="3"/>
      <c r="J7342" s="3"/>
      <c r="K7342" s="3"/>
      <c r="L7342" s="3"/>
    </row>
    <row r="7343" spans="9:12" x14ac:dyDescent="0.25">
      <c r="I7343" s="3"/>
      <c r="J7343" s="3"/>
      <c r="K7343" s="3"/>
      <c r="L7343" s="3"/>
    </row>
    <row r="7344" spans="9:12" x14ac:dyDescent="0.25">
      <c r="I7344" s="3"/>
      <c r="J7344" s="3"/>
      <c r="K7344" s="3"/>
      <c r="L7344" s="3"/>
    </row>
    <row r="7345" spans="9:12" x14ac:dyDescent="0.25">
      <c r="I7345" s="3"/>
      <c r="J7345" s="3"/>
      <c r="K7345" s="3"/>
      <c r="L7345" s="3"/>
    </row>
    <row r="7346" spans="9:12" x14ac:dyDescent="0.25">
      <c r="I7346" s="3"/>
      <c r="J7346" s="3"/>
      <c r="K7346" s="3"/>
      <c r="L7346" s="3"/>
    </row>
    <row r="7347" spans="9:12" x14ac:dyDescent="0.25">
      <c r="I7347" s="3"/>
      <c r="J7347" s="3"/>
      <c r="K7347" s="3"/>
      <c r="L7347" s="3"/>
    </row>
    <row r="7348" spans="9:12" x14ac:dyDescent="0.25">
      <c r="I7348" s="3"/>
      <c r="J7348" s="3"/>
      <c r="K7348" s="3"/>
      <c r="L7348" s="3"/>
    </row>
    <row r="7349" spans="9:12" x14ac:dyDescent="0.25">
      <c r="I7349" s="3"/>
      <c r="J7349" s="3"/>
      <c r="K7349" s="3"/>
      <c r="L7349" s="3"/>
    </row>
    <row r="7350" spans="9:12" x14ac:dyDescent="0.25">
      <c r="I7350" s="3"/>
      <c r="J7350" s="3"/>
      <c r="K7350" s="3"/>
      <c r="L7350" s="3"/>
    </row>
    <row r="7351" spans="9:12" x14ac:dyDescent="0.25">
      <c r="I7351" s="3"/>
      <c r="J7351" s="3"/>
      <c r="K7351" s="3"/>
      <c r="L7351" s="3"/>
    </row>
    <row r="7352" spans="9:12" x14ac:dyDescent="0.25">
      <c r="I7352" s="3"/>
      <c r="J7352" s="3"/>
      <c r="K7352" s="3"/>
      <c r="L7352" s="3"/>
    </row>
    <row r="7353" spans="9:12" x14ac:dyDescent="0.25">
      <c r="I7353" s="3"/>
      <c r="J7353" s="3"/>
      <c r="K7353" s="3"/>
      <c r="L7353" s="3"/>
    </row>
    <row r="7354" spans="9:12" x14ac:dyDescent="0.25">
      <c r="I7354" s="3"/>
      <c r="J7354" s="3"/>
      <c r="K7354" s="3"/>
      <c r="L7354" s="3"/>
    </row>
    <row r="7355" spans="9:12" x14ac:dyDescent="0.25">
      <c r="I7355" s="3"/>
      <c r="J7355" s="3"/>
      <c r="K7355" s="3"/>
      <c r="L7355" s="3"/>
    </row>
    <row r="7356" spans="9:12" x14ac:dyDescent="0.25">
      <c r="I7356" s="3"/>
      <c r="J7356" s="3"/>
      <c r="K7356" s="3"/>
      <c r="L7356" s="3"/>
    </row>
    <row r="7357" spans="9:12" x14ac:dyDescent="0.25">
      <c r="I7357" s="3"/>
      <c r="J7357" s="3"/>
      <c r="K7357" s="3"/>
      <c r="L7357" s="3"/>
    </row>
    <row r="7358" spans="9:12" x14ac:dyDescent="0.25">
      <c r="I7358" s="3"/>
      <c r="J7358" s="3"/>
      <c r="K7358" s="3"/>
      <c r="L7358" s="3"/>
    </row>
    <row r="7359" spans="9:12" x14ac:dyDescent="0.25">
      <c r="I7359" s="3"/>
      <c r="J7359" s="3"/>
      <c r="K7359" s="3"/>
      <c r="L7359" s="3"/>
    </row>
    <row r="7360" spans="9:12" x14ac:dyDescent="0.25">
      <c r="I7360" s="3"/>
      <c r="J7360" s="3"/>
      <c r="K7360" s="3"/>
      <c r="L7360" s="3"/>
    </row>
    <row r="7361" spans="9:12" x14ac:dyDescent="0.25">
      <c r="I7361" s="3"/>
      <c r="J7361" s="3"/>
      <c r="K7361" s="3"/>
      <c r="L7361" s="3"/>
    </row>
    <row r="7362" spans="9:12" x14ac:dyDescent="0.25">
      <c r="I7362" s="3"/>
      <c r="J7362" s="3"/>
      <c r="K7362" s="3"/>
      <c r="L7362" s="3"/>
    </row>
    <row r="7363" spans="9:12" x14ac:dyDescent="0.25">
      <c r="I7363" s="3"/>
      <c r="J7363" s="3"/>
      <c r="K7363" s="3"/>
      <c r="L7363" s="3"/>
    </row>
    <row r="7364" spans="9:12" x14ac:dyDescent="0.25">
      <c r="I7364" s="3"/>
      <c r="J7364" s="3"/>
      <c r="K7364" s="3"/>
      <c r="L7364" s="3"/>
    </row>
    <row r="7365" spans="9:12" x14ac:dyDescent="0.25">
      <c r="I7365" s="3"/>
      <c r="J7365" s="3"/>
      <c r="K7365" s="3"/>
      <c r="L7365" s="3"/>
    </row>
    <row r="7366" spans="9:12" x14ac:dyDescent="0.25">
      <c r="I7366" s="3"/>
      <c r="J7366" s="3"/>
      <c r="K7366" s="3"/>
      <c r="L7366" s="3"/>
    </row>
    <row r="7367" spans="9:12" x14ac:dyDescent="0.25">
      <c r="I7367" s="3"/>
      <c r="J7367" s="3"/>
      <c r="K7367" s="3"/>
      <c r="L7367" s="3"/>
    </row>
    <row r="7368" spans="9:12" x14ac:dyDescent="0.25">
      <c r="I7368" s="3"/>
      <c r="J7368" s="3"/>
      <c r="K7368" s="3"/>
      <c r="L7368" s="3"/>
    </row>
    <row r="7369" spans="9:12" x14ac:dyDescent="0.25">
      <c r="I7369" s="3"/>
      <c r="J7369" s="3"/>
      <c r="K7369" s="3"/>
      <c r="L7369" s="3"/>
    </row>
    <row r="7370" spans="9:12" x14ac:dyDescent="0.25">
      <c r="I7370" s="3"/>
      <c r="J7370" s="3"/>
      <c r="K7370" s="3"/>
      <c r="L7370" s="3"/>
    </row>
    <row r="7371" spans="9:12" x14ac:dyDescent="0.25">
      <c r="I7371" s="3"/>
      <c r="J7371" s="3"/>
      <c r="K7371" s="3"/>
      <c r="L7371" s="3"/>
    </row>
    <row r="7372" spans="9:12" x14ac:dyDescent="0.25">
      <c r="I7372" s="3"/>
      <c r="J7372" s="3"/>
      <c r="K7372" s="3"/>
      <c r="L7372" s="3"/>
    </row>
    <row r="7373" spans="9:12" x14ac:dyDescent="0.25">
      <c r="I7373" s="3"/>
      <c r="J7373" s="3"/>
      <c r="K7373" s="3"/>
      <c r="L7373" s="3"/>
    </row>
    <row r="7374" spans="9:12" x14ac:dyDescent="0.25">
      <c r="I7374" s="3"/>
      <c r="J7374" s="3"/>
      <c r="K7374" s="3"/>
      <c r="L7374" s="3"/>
    </row>
    <row r="7375" spans="9:12" x14ac:dyDescent="0.25">
      <c r="I7375" s="3"/>
      <c r="J7375" s="3"/>
      <c r="K7375" s="3"/>
      <c r="L7375" s="3"/>
    </row>
    <row r="7376" spans="9:12" x14ac:dyDescent="0.25">
      <c r="I7376" s="3"/>
      <c r="J7376" s="3"/>
      <c r="K7376" s="3"/>
      <c r="L7376" s="3"/>
    </row>
    <row r="7377" spans="9:12" x14ac:dyDescent="0.25">
      <c r="I7377" s="3"/>
      <c r="J7377" s="3"/>
      <c r="K7377" s="3"/>
      <c r="L7377" s="3"/>
    </row>
    <row r="7378" spans="9:12" x14ac:dyDescent="0.25">
      <c r="I7378" s="3"/>
      <c r="J7378" s="3"/>
      <c r="K7378" s="3"/>
      <c r="L7378" s="3"/>
    </row>
    <row r="7379" spans="9:12" x14ac:dyDescent="0.25">
      <c r="I7379" s="3"/>
      <c r="J7379" s="3"/>
      <c r="K7379" s="3"/>
      <c r="L7379" s="3"/>
    </row>
    <row r="7380" spans="9:12" x14ac:dyDescent="0.25">
      <c r="I7380" s="3"/>
      <c r="J7380" s="3"/>
      <c r="K7380" s="3"/>
      <c r="L7380" s="3"/>
    </row>
    <row r="7381" spans="9:12" x14ac:dyDescent="0.25">
      <c r="I7381" s="3"/>
      <c r="J7381" s="3"/>
      <c r="K7381" s="3"/>
      <c r="L7381" s="3"/>
    </row>
    <row r="7382" spans="9:12" x14ac:dyDescent="0.25">
      <c r="I7382" s="3"/>
      <c r="J7382" s="3"/>
      <c r="K7382" s="3"/>
      <c r="L7382" s="3"/>
    </row>
    <row r="7383" spans="9:12" x14ac:dyDescent="0.25">
      <c r="I7383" s="3"/>
      <c r="J7383" s="3"/>
      <c r="K7383" s="3"/>
      <c r="L7383" s="3"/>
    </row>
    <row r="7384" spans="9:12" x14ac:dyDescent="0.25">
      <c r="I7384" s="3"/>
      <c r="J7384" s="3"/>
      <c r="K7384" s="3"/>
      <c r="L7384" s="3"/>
    </row>
    <row r="7385" spans="9:12" x14ac:dyDescent="0.25">
      <c r="I7385" s="3"/>
      <c r="J7385" s="3"/>
      <c r="K7385" s="3"/>
      <c r="L7385" s="3"/>
    </row>
    <row r="7386" spans="9:12" x14ac:dyDescent="0.25">
      <c r="I7386" s="3"/>
      <c r="J7386" s="3"/>
      <c r="K7386" s="3"/>
      <c r="L7386" s="3"/>
    </row>
    <row r="7387" spans="9:12" x14ac:dyDescent="0.25">
      <c r="I7387" s="3"/>
      <c r="J7387" s="3"/>
      <c r="K7387" s="3"/>
      <c r="L7387" s="3"/>
    </row>
    <row r="7388" spans="9:12" x14ac:dyDescent="0.25">
      <c r="I7388" s="3"/>
      <c r="J7388" s="3"/>
      <c r="K7388" s="3"/>
      <c r="L7388" s="3"/>
    </row>
    <row r="7389" spans="9:12" x14ac:dyDescent="0.25">
      <c r="I7389" s="3"/>
      <c r="J7389" s="3"/>
      <c r="K7389" s="3"/>
      <c r="L7389" s="3"/>
    </row>
    <row r="7390" spans="9:12" x14ac:dyDescent="0.25">
      <c r="I7390" s="3"/>
      <c r="J7390" s="3"/>
      <c r="K7390" s="3"/>
      <c r="L7390" s="3"/>
    </row>
    <row r="7391" spans="9:12" x14ac:dyDescent="0.25">
      <c r="I7391" s="3"/>
      <c r="J7391" s="3"/>
      <c r="K7391" s="3"/>
      <c r="L7391" s="3"/>
    </row>
    <row r="7392" spans="9:12" x14ac:dyDescent="0.25">
      <c r="I7392" s="3"/>
      <c r="J7392" s="3"/>
      <c r="K7392" s="3"/>
      <c r="L7392" s="3"/>
    </row>
    <row r="7393" spans="9:12" x14ac:dyDescent="0.25">
      <c r="I7393" s="3"/>
      <c r="J7393" s="3"/>
      <c r="K7393" s="3"/>
      <c r="L7393" s="3"/>
    </row>
    <row r="7394" spans="9:12" x14ac:dyDescent="0.25">
      <c r="I7394" s="3"/>
      <c r="J7394" s="3"/>
      <c r="K7394" s="3"/>
      <c r="L7394" s="3"/>
    </row>
    <row r="7395" spans="9:12" x14ac:dyDescent="0.25">
      <c r="I7395" s="3"/>
      <c r="J7395" s="3"/>
      <c r="K7395" s="3"/>
      <c r="L7395" s="3"/>
    </row>
    <row r="7396" spans="9:12" x14ac:dyDescent="0.25">
      <c r="I7396" s="3"/>
      <c r="J7396" s="3"/>
      <c r="K7396" s="3"/>
      <c r="L7396" s="3"/>
    </row>
    <row r="7397" spans="9:12" x14ac:dyDescent="0.25">
      <c r="I7397" s="3"/>
      <c r="J7397" s="3"/>
      <c r="K7397" s="3"/>
      <c r="L7397" s="3"/>
    </row>
    <row r="7398" spans="9:12" x14ac:dyDescent="0.25">
      <c r="I7398" s="3"/>
      <c r="J7398" s="3"/>
      <c r="K7398" s="3"/>
      <c r="L7398" s="3"/>
    </row>
    <row r="7399" spans="9:12" x14ac:dyDescent="0.25">
      <c r="I7399" s="3"/>
      <c r="J7399" s="3"/>
      <c r="K7399" s="3"/>
      <c r="L7399" s="3"/>
    </row>
    <row r="7400" spans="9:12" x14ac:dyDescent="0.25">
      <c r="I7400" s="3"/>
      <c r="J7400" s="3"/>
      <c r="K7400" s="3"/>
      <c r="L7400" s="3"/>
    </row>
    <row r="7401" spans="9:12" x14ac:dyDescent="0.25">
      <c r="I7401" s="3"/>
      <c r="J7401" s="3"/>
      <c r="K7401" s="3"/>
      <c r="L7401" s="3"/>
    </row>
    <row r="7402" spans="9:12" x14ac:dyDescent="0.25">
      <c r="I7402" s="3"/>
      <c r="J7402" s="3"/>
      <c r="K7402" s="3"/>
      <c r="L7402" s="3"/>
    </row>
    <row r="7403" spans="9:12" x14ac:dyDescent="0.25">
      <c r="I7403" s="3"/>
      <c r="J7403" s="3"/>
      <c r="K7403" s="3"/>
      <c r="L7403" s="3"/>
    </row>
    <row r="7404" spans="9:12" x14ac:dyDescent="0.25">
      <c r="I7404" s="3"/>
      <c r="J7404" s="3"/>
      <c r="K7404" s="3"/>
      <c r="L7404" s="3"/>
    </row>
    <row r="7405" spans="9:12" x14ac:dyDescent="0.25">
      <c r="I7405" s="3"/>
      <c r="J7405" s="3"/>
      <c r="K7405" s="3"/>
      <c r="L7405" s="3"/>
    </row>
    <row r="7406" spans="9:12" x14ac:dyDescent="0.25">
      <c r="I7406" s="3"/>
      <c r="J7406" s="3"/>
      <c r="K7406" s="3"/>
      <c r="L7406" s="3"/>
    </row>
    <row r="7407" spans="9:12" x14ac:dyDescent="0.25">
      <c r="I7407" s="3"/>
      <c r="J7407" s="3"/>
      <c r="K7407" s="3"/>
      <c r="L7407" s="3"/>
    </row>
    <row r="7408" spans="9:12" x14ac:dyDescent="0.25">
      <c r="I7408" s="3"/>
      <c r="J7408" s="3"/>
      <c r="K7408" s="3"/>
      <c r="L7408" s="3"/>
    </row>
    <row r="7409" spans="9:12" x14ac:dyDescent="0.25">
      <c r="I7409" s="3"/>
      <c r="J7409" s="3"/>
      <c r="K7409" s="3"/>
      <c r="L7409" s="3"/>
    </row>
    <row r="7410" spans="9:12" x14ac:dyDescent="0.25">
      <c r="I7410" s="3"/>
      <c r="J7410" s="3"/>
      <c r="K7410" s="3"/>
      <c r="L7410" s="3"/>
    </row>
    <row r="7411" spans="9:12" x14ac:dyDescent="0.25">
      <c r="I7411" s="3"/>
      <c r="J7411" s="3"/>
      <c r="K7411" s="3"/>
      <c r="L7411" s="3"/>
    </row>
    <row r="7412" spans="9:12" x14ac:dyDescent="0.25">
      <c r="I7412" s="3"/>
      <c r="J7412" s="3"/>
      <c r="K7412" s="3"/>
      <c r="L7412" s="3"/>
    </row>
    <row r="7413" spans="9:12" x14ac:dyDescent="0.25">
      <c r="I7413" s="3"/>
      <c r="J7413" s="3"/>
      <c r="K7413" s="3"/>
      <c r="L7413" s="3"/>
    </row>
    <row r="7414" spans="9:12" x14ac:dyDescent="0.25">
      <c r="I7414" s="3"/>
      <c r="J7414" s="3"/>
      <c r="K7414" s="3"/>
      <c r="L7414" s="3"/>
    </row>
    <row r="7415" spans="9:12" x14ac:dyDescent="0.25">
      <c r="I7415" s="3"/>
      <c r="J7415" s="3"/>
      <c r="K7415" s="3"/>
      <c r="L7415" s="3"/>
    </row>
    <row r="7416" spans="9:12" x14ac:dyDescent="0.25">
      <c r="I7416" s="3"/>
      <c r="J7416" s="3"/>
      <c r="K7416" s="3"/>
      <c r="L7416" s="3"/>
    </row>
    <row r="7417" spans="9:12" x14ac:dyDescent="0.25">
      <c r="I7417" s="3"/>
      <c r="J7417" s="3"/>
      <c r="K7417" s="3"/>
      <c r="L7417" s="3"/>
    </row>
    <row r="7418" spans="9:12" x14ac:dyDescent="0.25">
      <c r="I7418" s="3"/>
      <c r="J7418" s="3"/>
      <c r="K7418" s="3"/>
      <c r="L7418" s="3"/>
    </row>
    <row r="7419" spans="9:12" x14ac:dyDescent="0.25">
      <c r="I7419" s="3"/>
      <c r="J7419" s="3"/>
      <c r="K7419" s="3"/>
      <c r="L7419" s="3"/>
    </row>
    <row r="7420" spans="9:12" x14ac:dyDescent="0.25">
      <c r="I7420" s="3"/>
      <c r="J7420" s="3"/>
      <c r="K7420" s="3"/>
      <c r="L7420" s="3"/>
    </row>
    <row r="7421" spans="9:12" x14ac:dyDescent="0.25">
      <c r="I7421" s="3"/>
      <c r="J7421" s="3"/>
      <c r="K7421" s="3"/>
      <c r="L7421" s="3"/>
    </row>
    <row r="7422" spans="9:12" x14ac:dyDescent="0.25">
      <c r="I7422" s="3"/>
      <c r="J7422" s="3"/>
      <c r="K7422" s="3"/>
      <c r="L7422" s="3"/>
    </row>
    <row r="7423" spans="9:12" x14ac:dyDescent="0.25">
      <c r="I7423" s="3"/>
      <c r="J7423" s="3"/>
      <c r="K7423" s="3"/>
      <c r="L7423" s="3"/>
    </row>
    <row r="7424" spans="9:12" x14ac:dyDescent="0.25">
      <c r="I7424" s="3"/>
      <c r="J7424" s="3"/>
      <c r="K7424" s="3"/>
      <c r="L7424" s="3"/>
    </row>
    <row r="7425" spans="9:12" x14ac:dyDescent="0.25">
      <c r="I7425" s="3"/>
      <c r="J7425" s="3"/>
      <c r="K7425" s="3"/>
      <c r="L7425" s="3"/>
    </row>
    <row r="7426" spans="9:12" x14ac:dyDescent="0.25">
      <c r="I7426" s="3"/>
      <c r="J7426" s="3"/>
      <c r="K7426" s="3"/>
      <c r="L7426" s="3"/>
    </row>
    <row r="7427" spans="9:12" x14ac:dyDescent="0.25">
      <c r="I7427" s="3"/>
      <c r="J7427" s="3"/>
      <c r="K7427" s="3"/>
      <c r="L7427" s="3"/>
    </row>
    <row r="7428" spans="9:12" x14ac:dyDescent="0.25">
      <c r="I7428" s="3"/>
      <c r="J7428" s="3"/>
      <c r="K7428" s="3"/>
      <c r="L7428" s="3"/>
    </row>
    <row r="7429" spans="9:12" x14ac:dyDescent="0.25">
      <c r="I7429" s="3"/>
      <c r="J7429" s="3"/>
      <c r="K7429" s="3"/>
      <c r="L7429" s="3"/>
    </row>
    <row r="7430" spans="9:12" x14ac:dyDescent="0.25">
      <c r="I7430" s="3"/>
      <c r="J7430" s="3"/>
      <c r="K7430" s="3"/>
      <c r="L7430" s="3"/>
    </row>
    <row r="7431" spans="9:12" x14ac:dyDescent="0.25">
      <c r="I7431" s="3"/>
      <c r="J7431" s="3"/>
      <c r="K7431" s="3"/>
      <c r="L7431" s="3"/>
    </row>
    <row r="7432" spans="9:12" x14ac:dyDescent="0.25">
      <c r="I7432" s="3"/>
      <c r="J7432" s="3"/>
      <c r="K7432" s="3"/>
      <c r="L7432" s="3"/>
    </row>
    <row r="7433" spans="9:12" x14ac:dyDescent="0.25">
      <c r="I7433" s="3"/>
      <c r="J7433" s="3"/>
      <c r="K7433" s="3"/>
      <c r="L7433" s="3"/>
    </row>
    <row r="7434" spans="9:12" x14ac:dyDescent="0.25">
      <c r="I7434" s="3"/>
      <c r="J7434" s="3"/>
      <c r="K7434" s="3"/>
      <c r="L7434" s="3"/>
    </row>
    <row r="7435" spans="9:12" x14ac:dyDescent="0.25">
      <c r="I7435" s="3"/>
      <c r="J7435" s="3"/>
      <c r="K7435" s="3"/>
      <c r="L7435" s="3"/>
    </row>
    <row r="7436" spans="9:12" x14ac:dyDescent="0.25">
      <c r="I7436" s="3"/>
      <c r="J7436" s="3"/>
      <c r="K7436" s="3"/>
      <c r="L7436" s="3"/>
    </row>
    <row r="7437" spans="9:12" x14ac:dyDescent="0.25">
      <c r="I7437" s="3"/>
      <c r="J7437" s="3"/>
      <c r="K7437" s="3"/>
      <c r="L7437" s="3"/>
    </row>
    <row r="7438" spans="9:12" x14ac:dyDescent="0.25">
      <c r="I7438" s="3"/>
      <c r="J7438" s="3"/>
      <c r="K7438" s="3"/>
      <c r="L7438" s="3"/>
    </row>
    <row r="7439" spans="9:12" x14ac:dyDescent="0.25">
      <c r="I7439" s="3"/>
      <c r="J7439" s="3"/>
      <c r="K7439" s="3"/>
      <c r="L7439" s="3"/>
    </row>
    <row r="7440" spans="9:12" x14ac:dyDescent="0.25">
      <c r="I7440" s="3"/>
      <c r="J7440" s="3"/>
      <c r="K7440" s="3"/>
      <c r="L7440" s="3"/>
    </row>
    <row r="7441" spans="9:12" x14ac:dyDescent="0.25">
      <c r="I7441" s="3"/>
      <c r="J7441" s="3"/>
      <c r="K7441" s="3"/>
      <c r="L7441" s="3"/>
    </row>
    <row r="7442" spans="9:12" x14ac:dyDescent="0.25">
      <c r="I7442" s="3"/>
      <c r="J7442" s="3"/>
      <c r="K7442" s="3"/>
      <c r="L7442" s="3"/>
    </row>
    <row r="7443" spans="9:12" x14ac:dyDescent="0.25">
      <c r="I7443" s="3"/>
      <c r="J7443" s="3"/>
      <c r="K7443" s="3"/>
      <c r="L7443" s="3"/>
    </row>
    <row r="7444" spans="9:12" x14ac:dyDescent="0.25">
      <c r="I7444" s="4"/>
      <c r="J7444" s="4"/>
      <c r="K7444" s="4"/>
      <c r="L7444" s="4"/>
    </row>
    <row r="7445" spans="9:12" x14ac:dyDescent="0.25">
      <c r="I7445" s="3"/>
      <c r="J7445" s="3"/>
      <c r="K7445" s="3"/>
      <c r="L7445" s="3"/>
    </row>
    <row r="7446" spans="9:12" x14ac:dyDescent="0.25">
      <c r="I7446" s="3"/>
      <c r="J7446" s="3"/>
      <c r="K7446" s="3"/>
      <c r="L7446" s="3"/>
    </row>
    <row r="7447" spans="9:12" x14ac:dyDescent="0.25">
      <c r="I7447" s="3"/>
      <c r="J7447" s="3"/>
      <c r="K7447" s="3"/>
      <c r="L7447" s="3"/>
    </row>
    <row r="7448" spans="9:12" x14ac:dyDescent="0.25">
      <c r="I7448" s="3"/>
      <c r="J7448" s="3"/>
      <c r="K7448" s="3"/>
      <c r="L7448" s="3"/>
    </row>
    <row r="7449" spans="9:12" x14ac:dyDescent="0.25">
      <c r="I7449" s="3"/>
      <c r="J7449" s="3"/>
      <c r="K7449" s="3"/>
      <c r="L7449" s="3"/>
    </row>
    <row r="7450" spans="9:12" x14ac:dyDescent="0.25">
      <c r="I7450" s="3"/>
      <c r="J7450" s="3"/>
      <c r="K7450" s="3"/>
      <c r="L7450" s="3"/>
    </row>
    <row r="7451" spans="9:12" x14ac:dyDescent="0.25">
      <c r="I7451" s="3"/>
      <c r="J7451" s="3"/>
      <c r="K7451" s="3"/>
      <c r="L7451" s="3"/>
    </row>
    <row r="7452" spans="9:12" x14ac:dyDescent="0.25">
      <c r="I7452" s="3"/>
      <c r="J7452" s="3"/>
      <c r="K7452" s="3"/>
      <c r="L7452" s="3"/>
    </row>
    <row r="7453" spans="9:12" x14ac:dyDescent="0.25">
      <c r="I7453" s="3"/>
      <c r="J7453" s="3"/>
      <c r="K7453" s="3"/>
      <c r="L7453" s="3"/>
    </row>
    <row r="7454" spans="9:12" x14ac:dyDescent="0.25">
      <c r="I7454" s="3"/>
      <c r="J7454" s="3"/>
      <c r="K7454" s="3"/>
      <c r="L7454" s="3"/>
    </row>
    <row r="7455" spans="9:12" x14ac:dyDescent="0.25">
      <c r="I7455" s="3"/>
      <c r="J7455" s="3"/>
      <c r="K7455" s="3"/>
      <c r="L7455" s="3"/>
    </row>
    <row r="7456" spans="9:12" x14ac:dyDescent="0.25">
      <c r="I7456" s="3"/>
      <c r="J7456" s="3"/>
      <c r="K7456" s="3"/>
      <c r="L7456" s="3"/>
    </row>
    <row r="7457" spans="9:12" x14ac:dyDescent="0.25">
      <c r="I7457" s="3"/>
      <c r="J7457" s="3"/>
      <c r="K7457" s="3"/>
      <c r="L7457" s="3"/>
    </row>
    <row r="7458" spans="9:12" x14ac:dyDescent="0.25">
      <c r="I7458" s="3"/>
      <c r="J7458" s="3"/>
      <c r="K7458" s="3"/>
      <c r="L7458" s="3"/>
    </row>
    <row r="7459" spans="9:12" x14ac:dyDescent="0.25">
      <c r="I7459" s="3"/>
      <c r="J7459" s="3"/>
      <c r="K7459" s="3"/>
      <c r="L7459" s="3"/>
    </row>
    <row r="7460" spans="9:12" x14ac:dyDescent="0.25">
      <c r="I7460" s="3"/>
      <c r="J7460" s="3"/>
      <c r="K7460" s="3"/>
      <c r="L7460" s="3"/>
    </row>
    <row r="7461" spans="9:12" x14ac:dyDescent="0.25">
      <c r="I7461" s="3"/>
      <c r="J7461" s="3"/>
      <c r="K7461" s="3"/>
      <c r="L7461" s="3"/>
    </row>
    <row r="7462" spans="9:12" x14ac:dyDescent="0.25">
      <c r="I7462" s="3"/>
      <c r="J7462" s="3"/>
      <c r="K7462" s="3"/>
      <c r="L7462" s="3"/>
    </row>
    <row r="7463" spans="9:12" x14ac:dyDescent="0.25">
      <c r="I7463" s="3"/>
      <c r="J7463" s="3"/>
      <c r="K7463" s="3"/>
      <c r="L7463" s="3"/>
    </row>
    <row r="7464" spans="9:12" x14ac:dyDescent="0.25">
      <c r="I7464" s="3"/>
      <c r="J7464" s="3"/>
      <c r="K7464" s="3"/>
      <c r="L7464" s="3"/>
    </row>
    <row r="7465" spans="9:12" x14ac:dyDescent="0.25">
      <c r="I7465" s="3"/>
      <c r="J7465" s="3"/>
      <c r="K7465" s="3"/>
      <c r="L7465" s="3"/>
    </row>
    <row r="7466" spans="9:12" x14ac:dyDescent="0.25">
      <c r="I7466" s="3"/>
      <c r="J7466" s="3"/>
      <c r="K7466" s="3"/>
      <c r="L7466" s="3"/>
    </row>
    <row r="7467" spans="9:12" x14ac:dyDescent="0.25">
      <c r="I7467" s="3"/>
      <c r="J7467" s="3"/>
      <c r="K7467" s="3"/>
      <c r="L7467" s="3"/>
    </row>
    <row r="7468" spans="9:12" x14ac:dyDescent="0.25">
      <c r="I7468" s="3"/>
      <c r="J7468" s="3"/>
      <c r="K7468" s="3"/>
      <c r="L7468" s="3"/>
    </row>
    <row r="7469" spans="9:12" x14ac:dyDescent="0.25">
      <c r="I7469" s="3"/>
      <c r="J7469" s="3"/>
      <c r="K7469" s="3"/>
      <c r="L7469" s="3"/>
    </row>
    <row r="7470" spans="9:12" x14ac:dyDescent="0.25">
      <c r="I7470" s="3"/>
      <c r="J7470" s="3"/>
      <c r="K7470" s="3"/>
      <c r="L7470" s="3"/>
    </row>
    <row r="7471" spans="9:12" x14ac:dyDescent="0.25">
      <c r="I7471" s="3"/>
      <c r="J7471" s="3"/>
      <c r="K7471" s="3"/>
      <c r="L7471" s="3"/>
    </row>
    <row r="7472" spans="9:12" x14ac:dyDescent="0.25">
      <c r="I7472" s="3"/>
      <c r="J7472" s="3"/>
      <c r="K7472" s="3"/>
      <c r="L7472" s="3"/>
    </row>
    <row r="7473" spans="9:12" x14ac:dyDescent="0.25">
      <c r="I7473" s="3"/>
      <c r="J7473" s="3"/>
      <c r="K7473" s="3"/>
      <c r="L7473" s="3"/>
    </row>
    <row r="7474" spans="9:12" x14ac:dyDescent="0.25">
      <c r="I7474" s="3"/>
      <c r="J7474" s="3"/>
      <c r="K7474" s="3"/>
      <c r="L7474" s="3"/>
    </row>
    <row r="7475" spans="9:12" x14ac:dyDescent="0.25">
      <c r="I7475" s="3"/>
      <c r="J7475" s="3"/>
      <c r="K7475" s="3"/>
      <c r="L7475" s="3"/>
    </row>
    <row r="7476" spans="9:12" x14ac:dyDescent="0.25">
      <c r="I7476" s="3"/>
      <c r="J7476" s="3"/>
      <c r="K7476" s="3"/>
      <c r="L7476" s="3"/>
    </row>
    <row r="7477" spans="9:12" x14ac:dyDescent="0.25">
      <c r="I7477" s="3"/>
      <c r="J7477" s="3"/>
      <c r="K7477" s="3"/>
      <c r="L7477" s="3"/>
    </row>
    <row r="7478" spans="9:12" x14ac:dyDescent="0.25">
      <c r="I7478" s="3"/>
      <c r="J7478" s="3"/>
      <c r="K7478" s="3"/>
      <c r="L7478" s="3"/>
    </row>
    <row r="7479" spans="9:12" x14ac:dyDescent="0.25">
      <c r="I7479" s="3"/>
      <c r="J7479" s="3"/>
      <c r="K7479" s="3"/>
      <c r="L7479" s="3"/>
    </row>
    <row r="7480" spans="9:12" x14ac:dyDescent="0.25">
      <c r="I7480" s="3"/>
      <c r="J7480" s="3"/>
      <c r="K7480" s="3"/>
      <c r="L7480" s="3"/>
    </row>
    <row r="7481" spans="9:12" x14ac:dyDescent="0.25">
      <c r="I7481" s="3"/>
      <c r="J7481" s="3"/>
      <c r="K7481" s="3"/>
      <c r="L7481" s="3"/>
    </row>
    <row r="7482" spans="9:12" x14ac:dyDescent="0.25">
      <c r="I7482" s="3"/>
      <c r="J7482" s="3"/>
      <c r="K7482" s="3"/>
      <c r="L7482" s="3"/>
    </row>
    <row r="7483" spans="9:12" x14ac:dyDescent="0.25">
      <c r="I7483" s="3"/>
      <c r="J7483" s="3"/>
      <c r="K7483" s="3"/>
      <c r="L7483" s="3"/>
    </row>
    <row r="7484" spans="9:12" x14ac:dyDescent="0.25">
      <c r="I7484" s="3"/>
      <c r="J7484" s="3"/>
      <c r="K7484" s="3"/>
      <c r="L7484" s="3"/>
    </row>
    <row r="7485" spans="9:12" x14ac:dyDescent="0.25">
      <c r="I7485" s="3"/>
      <c r="J7485" s="3"/>
      <c r="K7485" s="3"/>
      <c r="L7485" s="3"/>
    </row>
    <row r="7486" spans="9:12" x14ac:dyDescent="0.25">
      <c r="I7486" s="3"/>
      <c r="J7486" s="3"/>
      <c r="K7486" s="3"/>
      <c r="L7486" s="3"/>
    </row>
    <row r="7487" spans="9:12" x14ac:dyDescent="0.25">
      <c r="I7487" s="3"/>
      <c r="J7487" s="3"/>
      <c r="K7487" s="3"/>
      <c r="L7487" s="3"/>
    </row>
    <row r="7488" spans="9:12" x14ac:dyDescent="0.25">
      <c r="I7488" s="3"/>
      <c r="J7488" s="3"/>
      <c r="K7488" s="3"/>
      <c r="L7488" s="3"/>
    </row>
    <row r="7489" spans="9:12" x14ac:dyDescent="0.25">
      <c r="I7489" s="3"/>
      <c r="J7489" s="3"/>
      <c r="K7489" s="3"/>
      <c r="L7489" s="3"/>
    </row>
    <row r="7490" spans="9:12" x14ac:dyDescent="0.25">
      <c r="I7490" s="3"/>
      <c r="J7490" s="3"/>
      <c r="K7490" s="3"/>
      <c r="L7490" s="3"/>
    </row>
    <row r="7491" spans="9:12" x14ac:dyDescent="0.25">
      <c r="I7491" s="3"/>
      <c r="J7491" s="3"/>
      <c r="K7491" s="3"/>
      <c r="L7491" s="3"/>
    </row>
    <row r="7492" spans="9:12" x14ac:dyDescent="0.25">
      <c r="I7492" s="3"/>
      <c r="J7492" s="3"/>
      <c r="K7492" s="3"/>
      <c r="L7492" s="3"/>
    </row>
    <row r="7493" spans="9:12" x14ac:dyDescent="0.25">
      <c r="I7493" s="3"/>
      <c r="J7493" s="3"/>
      <c r="K7493" s="3"/>
      <c r="L7493" s="3"/>
    </row>
    <row r="7494" spans="9:12" x14ac:dyDescent="0.25">
      <c r="I7494" s="3"/>
      <c r="J7494" s="3"/>
      <c r="K7494" s="3"/>
      <c r="L7494" s="3"/>
    </row>
    <row r="7495" spans="9:12" x14ac:dyDescent="0.25">
      <c r="I7495" s="3"/>
      <c r="J7495" s="3"/>
      <c r="K7495" s="3"/>
      <c r="L7495" s="3"/>
    </row>
    <row r="7496" spans="9:12" x14ac:dyDescent="0.25">
      <c r="I7496" s="3"/>
      <c r="J7496" s="3"/>
      <c r="K7496" s="3"/>
      <c r="L7496" s="3"/>
    </row>
    <row r="7497" spans="9:12" x14ac:dyDescent="0.25">
      <c r="I7497" s="3"/>
      <c r="J7497" s="3"/>
      <c r="K7497" s="3"/>
      <c r="L7497" s="3"/>
    </row>
    <row r="7498" spans="9:12" x14ac:dyDescent="0.25">
      <c r="I7498" s="3"/>
      <c r="J7498" s="3"/>
      <c r="K7498" s="3"/>
      <c r="L7498" s="3"/>
    </row>
    <row r="7499" spans="9:12" x14ac:dyDescent="0.25">
      <c r="I7499" s="3"/>
      <c r="J7499" s="3"/>
      <c r="K7499" s="3"/>
      <c r="L7499" s="3"/>
    </row>
    <row r="7500" spans="9:12" x14ac:dyDescent="0.25">
      <c r="I7500" s="3"/>
      <c r="J7500" s="3"/>
      <c r="K7500" s="3"/>
      <c r="L7500" s="3"/>
    </row>
    <row r="7501" spans="9:12" x14ac:dyDescent="0.25">
      <c r="I7501" s="3"/>
      <c r="J7501" s="3"/>
      <c r="K7501" s="3"/>
      <c r="L7501" s="3"/>
    </row>
    <row r="7502" spans="9:12" x14ac:dyDescent="0.25">
      <c r="I7502" s="3"/>
      <c r="J7502" s="3"/>
      <c r="K7502" s="3"/>
      <c r="L7502" s="3"/>
    </row>
    <row r="7503" spans="9:12" x14ac:dyDescent="0.25">
      <c r="I7503" s="3"/>
      <c r="J7503" s="3"/>
      <c r="K7503" s="3"/>
      <c r="L7503" s="3"/>
    </row>
    <row r="7504" spans="9:12" x14ac:dyDescent="0.25">
      <c r="I7504" s="3"/>
      <c r="J7504" s="3"/>
      <c r="K7504" s="3"/>
      <c r="L7504" s="3"/>
    </row>
    <row r="7505" spans="9:12" x14ac:dyDescent="0.25">
      <c r="I7505" s="3"/>
      <c r="J7505" s="3"/>
      <c r="K7505" s="3"/>
      <c r="L7505" s="3"/>
    </row>
    <row r="7506" spans="9:12" x14ac:dyDescent="0.25">
      <c r="I7506" s="3"/>
      <c r="J7506" s="3"/>
      <c r="K7506" s="3"/>
      <c r="L7506" s="3"/>
    </row>
    <row r="7507" spans="9:12" x14ac:dyDescent="0.25">
      <c r="I7507" s="3"/>
      <c r="J7507" s="3"/>
      <c r="K7507" s="3"/>
      <c r="L7507" s="3"/>
    </row>
    <row r="7508" spans="9:12" x14ac:dyDescent="0.25">
      <c r="I7508" s="3"/>
      <c r="J7508" s="3"/>
      <c r="K7508" s="3"/>
      <c r="L7508" s="3"/>
    </row>
    <row r="7509" spans="9:12" x14ac:dyDescent="0.25">
      <c r="I7509" s="3"/>
      <c r="J7509" s="3"/>
      <c r="K7509" s="3"/>
      <c r="L7509" s="3"/>
    </row>
    <row r="7510" spans="9:12" x14ac:dyDescent="0.25">
      <c r="I7510" s="3"/>
      <c r="J7510" s="3"/>
      <c r="K7510" s="3"/>
      <c r="L7510" s="3"/>
    </row>
    <row r="7511" spans="9:12" x14ac:dyDescent="0.25">
      <c r="I7511" s="3"/>
      <c r="J7511" s="3"/>
      <c r="K7511" s="3"/>
      <c r="L7511" s="3"/>
    </row>
    <row r="7512" spans="9:12" x14ac:dyDescent="0.25">
      <c r="I7512" s="3"/>
      <c r="J7512" s="3"/>
      <c r="K7512" s="3"/>
      <c r="L7512" s="3"/>
    </row>
    <row r="7513" spans="9:12" x14ac:dyDescent="0.25">
      <c r="I7513" s="3"/>
      <c r="J7513" s="3"/>
      <c r="K7513" s="3"/>
      <c r="L7513" s="3"/>
    </row>
    <row r="7514" spans="9:12" x14ac:dyDescent="0.25">
      <c r="I7514" s="3"/>
      <c r="J7514" s="3"/>
      <c r="K7514" s="3"/>
      <c r="L7514" s="3"/>
    </row>
    <row r="7515" spans="9:12" x14ac:dyDescent="0.25">
      <c r="I7515" s="3"/>
      <c r="J7515" s="3"/>
      <c r="K7515" s="3"/>
      <c r="L7515" s="3"/>
    </row>
    <row r="7516" spans="9:12" x14ac:dyDescent="0.25">
      <c r="I7516" s="3"/>
      <c r="J7516" s="3"/>
      <c r="K7516" s="3"/>
      <c r="L7516" s="3"/>
    </row>
    <row r="7517" spans="9:12" x14ac:dyDescent="0.25">
      <c r="I7517" s="3"/>
      <c r="J7517" s="3"/>
      <c r="K7517" s="3"/>
      <c r="L7517" s="3"/>
    </row>
    <row r="7518" spans="9:12" x14ac:dyDescent="0.25">
      <c r="I7518" s="3"/>
      <c r="J7518" s="3"/>
      <c r="K7518" s="3"/>
      <c r="L7518" s="3"/>
    </row>
    <row r="7519" spans="9:12" x14ac:dyDescent="0.25">
      <c r="I7519" s="3"/>
      <c r="J7519" s="3"/>
      <c r="K7519" s="3"/>
      <c r="L7519" s="3"/>
    </row>
    <row r="7520" spans="9:12" x14ac:dyDescent="0.25">
      <c r="I7520" s="3"/>
      <c r="J7520" s="3"/>
      <c r="K7520" s="3"/>
      <c r="L7520" s="3"/>
    </row>
    <row r="7521" spans="9:12" x14ac:dyDescent="0.25">
      <c r="I7521" s="3"/>
      <c r="J7521" s="3"/>
      <c r="K7521" s="3"/>
      <c r="L7521" s="3"/>
    </row>
    <row r="7522" spans="9:12" x14ac:dyDescent="0.25">
      <c r="I7522" s="3"/>
      <c r="J7522" s="3"/>
      <c r="K7522" s="3"/>
      <c r="L7522" s="3"/>
    </row>
    <row r="7523" spans="9:12" x14ac:dyDescent="0.25">
      <c r="I7523" s="3"/>
      <c r="J7523" s="3"/>
      <c r="K7523" s="3"/>
      <c r="L7523" s="3"/>
    </row>
    <row r="7524" spans="9:12" x14ac:dyDescent="0.25">
      <c r="I7524" s="3"/>
      <c r="J7524" s="3"/>
      <c r="K7524" s="3"/>
      <c r="L7524" s="3"/>
    </row>
    <row r="7525" spans="9:12" x14ac:dyDescent="0.25">
      <c r="I7525" s="3"/>
      <c r="J7525" s="3"/>
      <c r="K7525" s="3"/>
      <c r="L7525" s="3"/>
    </row>
    <row r="7526" spans="9:12" x14ac:dyDescent="0.25">
      <c r="I7526" s="3"/>
      <c r="J7526" s="3"/>
      <c r="K7526" s="3"/>
      <c r="L7526" s="3"/>
    </row>
    <row r="7527" spans="9:12" x14ac:dyDescent="0.25">
      <c r="I7527" s="3"/>
      <c r="J7527" s="3"/>
      <c r="K7527" s="3"/>
      <c r="L7527" s="3"/>
    </row>
    <row r="7528" spans="9:12" x14ac:dyDescent="0.25">
      <c r="I7528" s="3"/>
      <c r="J7528" s="3"/>
      <c r="K7528" s="3"/>
      <c r="L7528" s="3"/>
    </row>
    <row r="7529" spans="9:12" x14ac:dyDescent="0.25">
      <c r="I7529" s="3"/>
      <c r="J7529" s="3"/>
      <c r="K7529" s="3"/>
      <c r="L7529" s="3"/>
    </row>
    <row r="7530" spans="9:12" x14ac:dyDescent="0.25">
      <c r="I7530" s="3"/>
      <c r="J7530" s="3"/>
      <c r="K7530" s="3"/>
      <c r="L7530" s="3"/>
    </row>
    <row r="7531" spans="9:12" x14ac:dyDescent="0.25">
      <c r="I7531" s="3"/>
      <c r="J7531" s="3"/>
      <c r="K7531" s="3"/>
      <c r="L7531" s="3"/>
    </row>
    <row r="7532" spans="9:12" x14ac:dyDescent="0.25">
      <c r="I7532" s="3"/>
      <c r="J7532" s="3"/>
      <c r="K7532" s="3"/>
      <c r="L7532" s="3"/>
    </row>
    <row r="7533" spans="9:12" x14ac:dyDescent="0.25">
      <c r="I7533" s="3"/>
      <c r="J7533" s="3"/>
      <c r="K7533" s="3"/>
      <c r="L7533" s="3"/>
    </row>
    <row r="7534" spans="9:12" x14ac:dyDescent="0.25">
      <c r="I7534" s="3"/>
      <c r="J7534" s="3"/>
      <c r="K7534" s="3"/>
      <c r="L7534" s="3"/>
    </row>
    <row r="7535" spans="9:12" x14ac:dyDescent="0.25">
      <c r="I7535" s="3"/>
      <c r="J7535" s="3"/>
      <c r="K7535" s="3"/>
      <c r="L7535" s="3"/>
    </row>
    <row r="7536" spans="9:12" x14ac:dyDescent="0.25">
      <c r="I7536" s="3"/>
      <c r="J7536" s="3"/>
      <c r="K7536" s="3"/>
      <c r="L7536" s="3"/>
    </row>
    <row r="7537" spans="9:12" x14ac:dyDescent="0.25">
      <c r="I7537" s="3"/>
      <c r="J7537" s="3"/>
      <c r="K7537" s="3"/>
      <c r="L7537" s="3"/>
    </row>
    <row r="7538" spans="9:12" x14ac:dyDescent="0.25">
      <c r="I7538" s="3"/>
      <c r="J7538" s="3"/>
      <c r="K7538" s="3"/>
      <c r="L7538" s="3"/>
    </row>
    <row r="7539" spans="9:12" x14ac:dyDescent="0.25">
      <c r="I7539" s="3"/>
      <c r="J7539" s="3"/>
      <c r="K7539" s="3"/>
      <c r="L7539" s="3"/>
    </row>
    <row r="7540" spans="9:12" x14ac:dyDescent="0.25">
      <c r="I7540" s="3"/>
      <c r="J7540" s="3"/>
      <c r="K7540" s="3"/>
      <c r="L7540" s="3"/>
    </row>
    <row r="7541" spans="9:12" x14ac:dyDescent="0.25">
      <c r="I7541" s="3"/>
      <c r="J7541" s="3"/>
      <c r="K7541" s="3"/>
      <c r="L7541" s="3"/>
    </row>
    <row r="7542" spans="9:12" x14ac:dyDescent="0.25">
      <c r="I7542" s="3"/>
      <c r="J7542" s="3"/>
      <c r="K7542" s="3"/>
      <c r="L7542" s="3"/>
    </row>
    <row r="7543" spans="9:12" x14ac:dyDescent="0.25">
      <c r="I7543" s="3"/>
      <c r="J7543" s="3"/>
      <c r="K7543" s="3"/>
      <c r="L7543" s="3"/>
    </row>
    <row r="7544" spans="9:12" x14ac:dyDescent="0.25">
      <c r="I7544" s="3"/>
      <c r="J7544" s="3"/>
      <c r="K7544" s="3"/>
      <c r="L7544" s="3"/>
    </row>
    <row r="7545" spans="9:12" x14ac:dyDescent="0.25">
      <c r="I7545" s="3"/>
      <c r="J7545" s="3"/>
      <c r="K7545" s="3"/>
      <c r="L7545" s="3"/>
    </row>
    <row r="7546" spans="9:12" x14ac:dyDescent="0.25">
      <c r="I7546" s="3"/>
      <c r="J7546" s="3"/>
      <c r="K7546" s="3"/>
      <c r="L7546" s="3"/>
    </row>
    <row r="7547" spans="9:12" x14ac:dyDescent="0.25">
      <c r="I7547" s="3"/>
      <c r="J7547" s="3"/>
      <c r="K7547" s="3"/>
      <c r="L7547" s="3"/>
    </row>
    <row r="7548" spans="9:12" x14ac:dyDescent="0.25">
      <c r="I7548" s="3"/>
      <c r="J7548" s="3"/>
      <c r="K7548" s="3"/>
      <c r="L7548" s="3"/>
    </row>
    <row r="7549" spans="9:12" x14ac:dyDescent="0.25">
      <c r="I7549" s="3"/>
      <c r="J7549" s="3"/>
      <c r="K7549" s="3"/>
      <c r="L7549" s="3"/>
    </row>
    <row r="7550" spans="9:12" x14ac:dyDescent="0.25">
      <c r="I7550" s="3"/>
      <c r="J7550" s="3"/>
      <c r="K7550" s="3"/>
      <c r="L7550" s="3"/>
    </row>
    <row r="7551" spans="9:12" x14ac:dyDescent="0.25">
      <c r="I7551" s="3"/>
      <c r="J7551" s="3"/>
      <c r="K7551" s="3"/>
      <c r="L7551" s="3"/>
    </row>
    <row r="7552" spans="9:12" x14ac:dyDescent="0.25">
      <c r="I7552" s="3"/>
      <c r="J7552" s="3"/>
      <c r="K7552" s="3"/>
      <c r="L7552" s="3"/>
    </row>
    <row r="7553" spans="9:12" x14ac:dyDescent="0.25">
      <c r="I7553" s="3"/>
      <c r="J7553" s="3"/>
      <c r="K7553" s="3"/>
      <c r="L7553" s="3"/>
    </row>
    <row r="7554" spans="9:12" x14ac:dyDescent="0.25">
      <c r="I7554" s="3"/>
      <c r="J7554" s="3"/>
      <c r="K7554" s="3"/>
      <c r="L7554" s="3"/>
    </row>
    <row r="7555" spans="9:12" x14ac:dyDescent="0.25">
      <c r="I7555" s="3"/>
      <c r="J7555" s="3"/>
      <c r="K7555" s="3"/>
      <c r="L7555" s="3"/>
    </row>
    <row r="7556" spans="9:12" x14ac:dyDescent="0.25">
      <c r="I7556" s="3"/>
      <c r="J7556" s="3"/>
      <c r="K7556" s="3"/>
      <c r="L7556" s="3"/>
    </row>
    <row r="7557" spans="9:12" x14ac:dyDescent="0.25">
      <c r="I7557" s="3"/>
      <c r="J7557" s="3"/>
      <c r="K7557" s="3"/>
      <c r="L7557" s="3"/>
    </row>
    <row r="7558" spans="9:12" x14ac:dyDescent="0.25">
      <c r="I7558" s="3"/>
      <c r="J7558" s="3"/>
      <c r="K7558" s="3"/>
      <c r="L7558" s="3"/>
    </row>
    <row r="7559" spans="9:12" x14ac:dyDescent="0.25">
      <c r="I7559" s="3"/>
      <c r="J7559" s="3"/>
      <c r="K7559" s="3"/>
      <c r="L7559" s="3"/>
    </row>
    <row r="7560" spans="9:12" x14ac:dyDescent="0.25">
      <c r="I7560" s="3"/>
      <c r="J7560" s="3"/>
      <c r="K7560" s="3"/>
      <c r="L7560" s="3"/>
    </row>
    <row r="7561" spans="9:12" x14ac:dyDescent="0.25">
      <c r="I7561" s="3"/>
      <c r="J7561" s="3"/>
      <c r="K7561" s="3"/>
      <c r="L7561" s="3"/>
    </row>
    <row r="7562" spans="9:12" x14ac:dyDescent="0.25">
      <c r="I7562" s="3"/>
      <c r="J7562" s="3"/>
      <c r="K7562" s="3"/>
      <c r="L7562" s="3"/>
    </row>
    <row r="7563" spans="9:12" x14ac:dyDescent="0.25">
      <c r="I7563" s="3"/>
      <c r="J7563" s="3"/>
      <c r="K7563" s="3"/>
      <c r="L7563" s="3"/>
    </row>
    <row r="7564" spans="9:12" x14ac:dyDescent="0.25">
      <c r="I7564" s="3"/>
      <c r="J7564" s="3"/>
      <c r="K7564" s="3"/>
      <c r="L7564" s="3"/>
    </row>
    <row r="7565" spans="9:12" x14ac:dyDescent="0.25">
      <c r="I7565" s="3"/>
      <c r="J7565" s="3"/>
      <c r="K7565" s="3"/>
      <c r="L7565" s="3"/>
    </row>
    <row r="7566" spans="9:12" x14ac:dyDescent="0.25">
      <c r="I7566" s="3"/>
      <c r="J7566" s="3"/>
      <c r="K7566" s="3"/>
      <c r="L7566" s="3"/>
    </row>
    <row r="7567" spans="9:12" x14ac:dyDescent="0.25">
      <c r="I7567" s="3"/>
      <c r="J7567" s="3"/>
      <c r="K7567" s="3"/>
      <c r="L7567" s="3"/>
    </row>
    <row r="7568" spans="9:12" x14ac:dyDescent="0.25">
      <c r="I7568" s="3"/>
      <c r="J7568" s="3"/>
      <c r="K7568" s="3"/>
      <c r="L7568" s="3"/>
    </row>
    <row r="7569" spans="9:12" x14ac:dyDescent="0.25">
      <c r="I7569" s="3"/>
      <c r="J7569" s="3"/>
      <c r="K7569" s="3"/>
      <c r="L7569" s="3"/>
    </row>
    <row r="7570" spans="9:12" x14ac:dyDescent="0.25">
      <c r="I7570" s="3"/>
      <c r="J7570" s="3"/>
      <c r="K7570" s="3"/>
      <c r="L7570" s="3"/>
    </row>
    <row r="7571" spans="9:12" x14ac:dyDescent="0.25">
      <c r="I7571" s="4"/>
      <c r="J7571" s="4"/>
      <c r="K7571" s="4"/>
      <c r="L7571" s="4"/>
    </row>
    <row r="7572" spans="9:12" x14ac:dyDescent="0.25">
      <c r="I7572" s="3"/>
      <c r="J7572" s="3"/>
      <c r="K7572" s="3"/>
      <c r="L7572" s="3"/>
    </row>
    <row r="7573" spans="9:12" x14ac:dyDescent="0.25">
      <c r="I7573" s="3"/>
      <c r="J7573" s="3"/>
      <c r="K7573" s="3"/>
      <c r="L7573" s="3"/>
    </row>
    <row r="7574" spans="9:12" x14ac:dyDescent="0.25">
      <c r="I7574" s="3"/>
      <c r="J7574" s="3"/>
      <c r="K7574" s="3"/>
      <c r="L7574" s="3"/>
    </row>
    <row r="7575" spans="9:12" x14ac:dyDescent="0.25">
      <c r="I7575" s="3"/>
      <c r="J7575" s="3"/>
      <c r="K7575" s="3"/>
      <c r="L7575" s="3"/>
    </row>
    <row r="7576" spans="9:12" x14ac:dyDescent="0.25">
      <c r="I7576" s="3"/>
      <c r="J7576" s="3"/>
      <c r="K7576" s="3"/>
      <c r="L7576" s="3"/>
    </row>
    <row r="7577" spans="9:12" x14ac:dyDescent="0.25">
      <c r="I7577" s="3"/>
      <c r="J7577" s="3"/>
      <c r="K7577" s="3"/>
      <c r="L7577" s="3"/>
    </row>
    <row r="7578" spans="9:12" x14ac:dyDescent="0.25">
      <c r="I7578" s="3"/>
      <c r="J7578" s="3"/>
      <c r="K7578" s="3"/>
      <c r="L7578" s="3"/>
    </row>
    <row r="7579" spans="9:12" x14ac:dyDescent="0.25">
      <c r="I7579" s="3"/>
      <c r="J7579" s="3"/>
      <c r="K7579" s="3"/>
      <c r="L7579" s="3"/>
    </row>
    <row r="7580" spans="9:12" x14ac:dyDescent="0.25">
      <c r="I7580" s="3"/>
      <c r="J7580" s="3"/>
      <c r="K7580" s="3"/>
      <c r="L7580" s="3"/>
    </row>
    <row r="7581" spans="9:12" x14ac:dyDescent="0.25">
      <c r="I7581" s="3"/>
      <c r="J7581" s="3"/>
      <c r="K7581" s="3"/>
      <c r="L7581" s="3"/>
    </row>
    <row r="7582" spans="9:12" x14ac:dyDescent="0.25">
      <c r="I7582" s="3"/>
      <c r="J7582" s="3"/>
      <c r="K7582" s="3"/>
      <c r="L7582" s="3"/>
    </row>
    <row r="7583" spans="9:12" x14ac:dyDescent="0.25">
      <c r="I7583" s="3"/>
      <c r="J7583" s="3"/>
      <c r="K7583" s="3"/>
      <c r="L7583" s="3"/>
    </row>
    <row r="7584" spans="9:12" x14ac:dyDescent="0.25">
      <c r="I7584" s="3"/>
      <c r="J7584" s="3"/>
      <c r="K7584" s="3"/>
      <c r="L7584" s="3"/>
    </row>
    <row r="7585" spans="9:12" x14ac:dyDescent="0.25">
      <c r="I7585" s="3"/>
      <c r="J7585" s="3"/>
      <c r="K7585" s="3"/>
      <c r="L7585" s="3"/>
    </row>
    <row r="7586" spans="9:12" x14ac:dyDescent="0.25">
      <c r="I7586" s="3"/>
      <c r="J7586" s="3"/>
      <c r="K7586" s="3"/>
      <c r="L7586" s="3"/>
    </row>
    <row r="7587" spans="9:12" x14ac:dyDescent="0.25">
      <c r="I7587" s="3"/>
      <c r="J7587" s="3"/>
      <c r="K7587" s="3"/>
      <c r="L7587" s="3"/>
    </row>
    <row r="7588" spans="9:12" x14ac:dyDescent="0.25">
      <c r="I7588" s="3"/>
      <c r="J7588" s="3"/>
      <c r="K7588" s="3"/>
      <c r="L7588" s="3"/>
    </row>
    <row r="7589" spans="9:12" x14ac:dyDescent="0.25">
      <c r="I7589" s="3"/>
      <c r="J7589" s="3"/>
      <c r="K7589" s="3"/>
      <c r="L7589" s="3"/>
    </row>
    <row r="7590" spans="9:12" x14ac:dyDescent="0.25">
      <c r="I7590" s="3"/>
      <c r="J7590" s="3"/>
      <c r="K7590" s="3"/>
      <c r="L7590" s="3"/>
    </row>
    <row r="7591" spans="9:12" x14ac:dyDescent="0.25">
      <c r="I7591" s="3"/>
      <c r="J7591" s="3"/>
      <c r="K7591" s="3"/>
      <c r="L7591" s="3"/>
    </row>
    <row r="7592" spans="9:12" x14ac:dyDescent="0.25">
      <c r="I7592" s="3"/>
      <c r="J7592" s="3"/>
      <c r="K7592" s="3"/>
      <c r="L7592" s="3"/>
    </row>
    <row r="7593" spans="9:12" x14ac:dyDescent="0.25">
      <c r="I7593" s="3"/>
      <c r="J7593" s="3"/>
      <c r="K7593" s="3"/>
      <c r="L7593" s="3"/>
    </row>
    <row r="7594" spans="9:12" x14ac:dyDescent="0.25">
      <c r="I7594" s="3"/>
      <c r="J7594" s="3"/>
      <c r="K7594" s="3"/>
      <c r="L7594" s="3"/>
    </row>
    <row r="7595" spans="9:12" x14ac:dyDescent="0.25">
      <c r="I7595" s="3"/>
      <c r="J7595" s="3"/>
      <c r="K7595" s="3"/>
      <c r="L7595" s="3"/>
    </row>
    <row r="7596" spans="9:12" x14ac:dyDescent="0.25">
      <c r="I7596" s="3"/>
      <c r="J7596" s="3"/>
      <c r="K7596" s="3"/>
      <c r="L7596" s="3"/>
    </row>
    <row r="7597" spans="9:12" x14ac:dyDescent="0.25">
      <c r="I7597" s="3"/>
      <c r="J7597" s="3"/>
      <c r="K7597" s="3"/>
      <c r="L7597" s="3"/>
    </row>
    <row r="7598" spans="9:12" x14ac:dyDescent="0.25">
      <c r="I7598" s="3"/>
      <c r="J7598" s="3"/>
      <c r="K7598" s="3"/>
      <c r="L7598" s="3"/>
    </row>
    <row r="7599" spans="9:12" x14ac:dyDescent="0.25">
      <c r="I7599" s="3"/>
      <c r="J7599" s="3"/>
      <c r="K7599" s="3"/>
      <c r="L7599" s="3"/>
    </row>
    <row r="7600" spans="9:12" x14ac:dyDescent="0.25">
      <c r="I7600" s="3"/>
      <c r="J7600" s="3"/>
      <c r="K7600" s="3"/>
      <c r="L7600" s="3"/>
    </row>
    <row r="7601" spans="9:12" x14ac:dyDescent="0.25">
      <c r="I7601" s="3"/>
      <c r="J7601" s="3"/>
      <c r="K7601" s="3"/>
      <c r="L7601" s="3"/>
    </row>
    <row r="7602" spans="9:12" x14ac:dyDescent="0.25">
      <c r="I7602" s="3"/>
      <c r="J7602" s="3"/>
      <c r="K7602" s="3"/>
      <c r="L7602" s="3"/>
    </row>
    <row r="7603" spans="9:12" x14ac:dyDescent="0.25">
      <c r="I7603" s="3"/>
      <c r="J7603" s="3"/>
      <c r="K7603" s="3"/>
      <c r="L7603" s="3"/>
    </row>
    <row r="7604" spans="9:12" x14ac:dyDescent="0.25">
      <c r="I7604" s="3"/>
      <c r="J7604" s="3"/>
      <c r="K7604" s="3"/>
      <c r="L7604" s="3"/>
    </row>
    <row r="7605" spans="9:12" x14ac:dyDescent="0.25">
      <c r="I7605" s="3"/>
      <c r="J7605" s="3"/>
      <c r="K7605" s="3"/>
      <c r="L7605" s="3"/>
    </row>
    <row r="7606" spans="9:12" x14ac:dyDescent="0.25">
      <c r="I7606" s="3"/>
      <c r="J7606" s="3"/>
      <c r="K7606" s="3"/>
      <c r="L7606" s="3"/>
    </row>
    <row r="7607" spans="9:12" x14ac:dyDescent="0.25">
      <c r="I7607" s="3"/>
      <c r="J7607" s="3"/>
      <c r="K7607" s="3"/>
      <c r="L7607" s="3"/>
    </row>
    <row r="7608" spans="9:12" x14ac:dyDescent="0.25">
      <c r="I7608" s="3"/>
      <c r="J7608" s="3"/>
      <c r="K7608" s="3"/>
      <c r="L7608" s="3"/>
    </row>
    <row r="7609" spans="9:12" x14ac:dyDescent="0.25">
      <c r="I7609" s="3"/>
      <c r="J7609" s="3"/>
      <c r="K7609" s="3"/>
      <c r="L7609" s="3"/>
    </row>
    <row r="7610" spans="9:12" x14ac:dyDescent="0.25">
      <c r="I7610" s="3"/>
      <c r="J7610" s="3"/>
      <c r="K7610" s="3"/>
      <c r="L7610" s="3"/>
    </row>
    <row r="7611" spans="9:12" x14ac:dyDescent="0.25">
      <c r="I7611" s="3"/>
      <c r="J7611" s="3"/>
      <c r="K7611" s="3"/>
      <c r="L7611" s="3"/>
    </row>
    <row r="7612" spans="9:12" x14ac:dyDescent="0.25">
      <c r="I7612" s="3"/>
      <c r="J7612" s="3"/>
      <c r="K7612" s="3"/>
      <c r="L7612" s="3"/>
    </row>
    <row r="7613" spans="9:12" x14ac:dyDescent="0.25">
      <c r="I7613" s="3"/>
      <c r="J7613" s="3"/>
      <c r="K7613" s="3"/>
      <c r="L7613" s="3"/>
    </row>
    <row r="7614" spans="9:12" x14ac:dyDescent="0.25">
      <c r="I7614" s="3"/>
      <c r="J7614" s="3"/>
      <c r="K7614" s="3"/>
      <c r="L7614" s="3"/>
    </row>
    <row r="7615" spans="9:12" x14ac:dyDescent="0.25">
      <c r="I7615" s="3"/>
      <c r="J7615" s="3"/>
      <c r="K7615" s="3"/>
      <c r="L7615" s="3"/>
    </row>
    <row r="7616" spans="9:12" x14ac:dyDescent="0.25">
      <c r="I7616" s="3"/>
      <c r="J7616" s="3"/>
      <c r="K7616" s="3"/>
      <c r="L7616" s="3"/>
    </row>
    <row r="7617" spans="9:12" x14ac:dyDescent="0.25">
      <c r="I7617" s="3"/>
      <c r="J7617" s="3"/>
      <c r="K7617" s="3"/>
      <c r="L7617" s="3"/>
    </row>
    <row r="7618" spans="9:12" x14ac:dyDescent="0.25">
      <c r="I7618" s="3"/>
      <c r="J7618" s="3"/>
      <c r="K7618" s="3"/>
      <c r="L7618" s="3"/>
    </row>
    <row r="7619" spans="9:12" x14ac:dyDescent="0.25">
      <c r="I7619" s="3"/>
      <c r="J7619" s="3"/>
      <c r="K7619" s="3"/>
      <c r="L7619" s="3"/>
    </row>
    <row r="7620" spans="9:12" x14ac:dyDescent="0.25">
      <c r="I7620" s="3"/>
      <c r="J7620" s="3"/>
      <c r="K7620" s="3"/>
      <c r="L7620" s="3"/>
    </row>
    <row r="7621" spans="9:12" x14ac:dyDescent="0.25">
      <c r="I7621" s="3"/>
      <c r="J7621" s="3"/>
      <c r="K7621" s="3"/>
      <c r="L7621" s="3"/>
    </row>
    <row r="7622" spans="9:12" x14ac:dyDescent="0.25">
      <c r="I7622" s="3"/>
      <c r="J7622" s="3"/>
      <c r="K7622" s="3"/>
      <c r="L7622" s="3"/>
    </row>
    <row r="7623" spans="9:12" x14ac:dyDescent="0.25">
      <c r="I7623" s="3"/>
      <c r="J7623" s="3"/>
      <c r="K7623" s="3"/>
      <c r="L7623" s="3"/>
    </row>
    <row r="7624" spans="9:12" x14ac:dyDescent="0.25">
      <c r="I7624" s="3"/>
      <c r="J7624" s="3"/>
      <c r="K7624" s="3"/>
      <c r="L7624" s="3"/>
    </row>
    <row r="7625" spans="9:12" x14ac:dyDescent="0.25">
      <c r="I7625" s="3"/>
      <c r="J7625" s="3"/>
      <c r="K7625" s="3"/>
      <c r="L7625" s="3"/>
    </row>
    <row r="7626" spans="9:12" x14ac:dyDescent="0.25">
      <c r="I7626" s="3"/>
      <c r="J7626" s="3"/>
      <c r="K7626" s="3"/>
      <c r="L7626" s="3"/>
    </row>
    <row r="7627" spans="9:12" x14ac:dyDescent="0.25">
      <c r="I7627" s="3"/>
      <c r="J7627" s="3"/>
      <c r="K7627" s="3"/>
      <c r="L7627" s="3"/>
    </row>
    <row r="7628" spans="9:12" x14ac:dyDescent="0.25">
      <c r="I7628" s="3"/>
      <c r="J7628" s="3"/>
      <c r="K7628" s="3"/>
      <c r="L7628" s="3"/>
    </row>
    <row r="7629" spans="9:12" x14ac:dyDescent="0.25">
      <c r="I7629" s="3"/>
      <c r="J7629" s="3"/>
      <c r="K7629" s="3"/>
      <c r="L7629" s="3"/>
    </row>
    <row r="7630" spans="9:12" x14ac:dyDescent="0.25">
      <c r="I7630" s="3"/>
      <c r="J7630" s="3"/>
      <c r="K7630" s="3"/>
      <c r="L7630" s="3"/>
    </row>
    <row r="7631" spans="9:12" x14ac:dyDescent="0.25">
      <c r="I7631" s="3"/>
      <c r="J7631" s="3"/>
      <c r="K7631" s="3"/>
      <c r="L7631" s="3"/>
    </row>
    <row r="7632" spans="9:12" x14ac:dyDescent="0.25">
      <c r="I7632" s="3"/>
      <c r="J7632" s="3"/>
      <c r="K7632" s="3"/>
      <c r="L7632" s="3"/>
    </row>
    <row r="7633" spans="9:12" x14ac:dyDescent="0.25">
      <c r="I7633" s="3"/>
      <c r="J7633" s="3"/>
      <c r="K7633" s="3"/>
      <c r="L7633" s="3"/>
    </row>
    <row r="7634" spans="9:12" x14ac:dyDescent="0.25">
      <c r="I7634" s="3"/>
      <c r="J7634" s="3"/>
      <c r="K7634" s="3"/>
      <c r="L7634" s="3"/>
    </row>
    <row r="7635" spans="9:12" x14ac:dyDescent="0.25">
      <c r="I7635" s="3"/>
      <c r="J7635" s="3"/>
      <c r="K7635" s="3"/>
      <c r="L7635" s="3"/>
    </row>
    <row r="7636" spans="9:12" x14ac:dyDescent="0.25">
      <c r="I7636" s="3"/>
      <c r="J7636" s="3"/>
      <c r="K7636" s="3"/>
      <c r="L7636" s="3"/>
    </row>
    <row r="7637" spans="9:12" x14ac:dyDescent="0.25">
      <c r="I7637" s="3"/>
      <c r="J7637" s="3"/>
      <c r="K7637" s="3"/>
      <c r="L7637" s="3"/>
    </row>
    <row r="7638" spans="9:12" x14ac:dyDescent="0.25">
      <c r="I7638" s="3"/>
      <c r="J7638" s="3"/>
      <c r="K7638" s="3"/>
      <c r="L7638" s="3"/>
    </row>
    <row r="7639" spans="9:12" x14ac:dyDescent="0.25">
      <c r="I7639" s="3"/>
      <c r="J7639" s="3"/>
      <c r="K7639" s="3"/>
      <c r="L7639" s="3"/>
    </row>
    <row r="7640" spans="9:12" x14ac:dyDescent="0.25">
      <c r="I7640" s="3"/>
      <c r="J7640" s="3"/>
      <c r="K7640" s="3"/>
      <c r="L7640" s="3"/>
    </row>
    <row r="7641" spans="9:12" x14ac:dyDescent="0.25">
      <c r="I7641" s="3"/>
      <c r="J7641" s="3"/>
      <c r="K7641" s="3"/>
      <c r="L7641" s="3"/>
    </row>
    <row r="7642" spans="9:12" x14ac:dyDescent="0.25">
      <c r="I7642" s="3"/>
      <c r="J7642" s="3"/>
      <c r="K7642" s="3"/>
      <c r="L7642" s="3"/>
    </row>
    <row r="7643" spans="9:12" x14ac:dyDescent="0.25">
      <c r="I7643" s="3"/>
      <c r="J7643" s="3"/>
      <c r="K7643" s="3"/>
      <c r="L7643" s="3"/>
    </row>
    <row r="7644" spans="9:12" x14ac:dyDescent="0.25">
      <c r="I7644" s="3"/>
      <c r="J7644" s="3"/>
      <c r="K7644" s="3"/>
      <c r="L7644" s="3"/>
    </row>
    <row r="7645" spans="9:12" x14ac:dyDescent="0.25">
      <c r="I7645" s="3"/>
      <c r="J7645" s="3"/>
      <c r="K7645" s="3"/>
      <c r="L7645" s="3"/>
    </row>
    <row r="7646" spans="9:12" x14ac:dyDescent="0.25">
      <c r="I7646" s="3"/>
      <c r="J7646" s="3"/>
      <c r="K7646" s="3"/>
      <c r="L7646" s="3"/>
    </row>
    <row r="7647" spans="9:12" x14ac:dyDescent="0.25">
      <c r="I7647" s="3"/>
      <c r="J7647" s="3"/>
      <c r="K7647" s="3"/>
      <c r="L7647" s="3"/>
    </row>
    <row r="7648" spans="9:12" x14ac:dyDescent="0.25">
      <c r="I7648" s="3"/>
      <c r="J7648" s="3"/>
      <c r="K7648" s="3"/>
      <c r="L7648" s="3"/>
    </row>
    <row r="7649" spans="9:12" x14ac:dyDescent="0.25">
      <c r="I7649" s="3"/>
      <c r="J7649" s="3"/>
      <c r="K7649" s="3"/>
      <c r="L7649" s="3"/>
    </row>
    <row r="7650" spans="9:12" x14ac:dyDescent="0.25">
      <c r="I7650" s="3"/>
      <c r="J7650" s="3"/>
      <c r="K7650" s="3"/>
      <c r="L7650" s="3"/>
    </row>
    <row r="7651" spans="9:12" x14ac:dyDescent="0.25">
      <c r="I7651" s="3"/>
      <c r="J7651" s="3"/>
      <c r="K7651" s="3"/>
      <c r="L7651" s="3"/>
    </row>
    <row r="7652" spans="9:12" x14ac:dyDescent="0.25">
      <c r="I7652" s="3"/>
      <c r="J7652" s="3"/>
      <c r="K7652" s="3"/>
      <c r="L7652" s="3"/>
    </row>
    <row r="7653" spans="9:12" x14ac:dyDescent="0.25">
      <c r="I7653" s="3"/>
      <c r="J7653" s="3"/>
      <c r="K7653" s="3"/>
      <c r="L7653" s="3"/>
    </row>
    <row r="7654" spans="9:12" x14ac:dyDescent="0.25">
      <c r="I7654" s="3"/>
      <c r="J7654" s="3"/>
      <c r="K7654" s="3"/>
      <c r="L7654" s="3"/>
    </row>
    <row r="7655" spans="9:12" x14ac:dyDescent="0.25">
      <c r="I7655" s="3"/>
      <c r="J7655" s="3"/>
      <c r="K7655" s="3"/>
      <c r="L7655" s="3"/>
    </row>
    <row r="7656" spans="9:12" x14ac:dyDescent="0.25">
      <c r="I7656" s="3"/>
      <c r="J7656" s="3"/>
      <c r="K7656" s="3"/>
      <c r="L7656" s="3"/>
    </row>
    <row r="7657" spans="9:12" x14ac:dyDescent="0.25">
      <c r="I7657" s="3"/>
      <c r="J7657" s="3"/>
      <c r="K7657" s="3"/>
      <c r="L7657" s="3"/>
    </row>
    <row r="7658" spans="9:12" x14ac:dyDescent="0.25">
      <c r="I7658" s="3"/>
      <c r="J7658" s="3"/>
      <c r="K7658" s="3"/>
      <c r="L7658" s="3"/>
    </row>
    <row r="7659" spans="9:12" x14ac:dyDescent="0.25">
      <c r="I7659" s="3"/>
      <c r="J7659" s="3"/>
      <c r="K7659" s="3"/>
      <c r="L7659" s="3"/>
    </row>
    <row r="7660" spans="9:12" x14ac:dyDescent="0.25">
      <c r="I7660" s="3"/>
      <c r="J7660" s="3"/>
      <c r="K7660" s="3"/>
      <c r="L7660" s="3"/>
    </row>
    <row r="7661" spans="9:12" x14ac:dyDescent="0.25">
      <c r="I7661" s="3"/>
      <c r="J7661" s="3"/>
      <c r="K7661" s="3"/>
      <c r="L7661" s="3"/>
    </row>
    <row r="7662" spans="9:12" x14ac:dyDescent="0.25">
      <c r="I7662" s="3"/>
      <c r="J7662" s="3"/>
      <c r="K7662" s="3"/>
      <c r="L7662" s="3"/>
    </row>
    <row r="7663" spans="9:12" x14ac:dyDescent="0.25">
      <c r="I7663" s="3"/>
      <c r="J7663" s="3"/>
      <c r="K7663" s="3"/>
      <c r="L7663" s="3"/>
    </row>
    <row r="7664" spans="9:12" x14ac:dyDescent="0.25">
      <c r="I7664" s="3"/>
      <c r="J7664" s="3"/>
      <c r="K7664" s="3"/>
      <c r="L7664" s="3"/>
    </row>
    <row r="7665" spans="9:12" x14ac:dyDescent="0.25">
      <c r="I7665" s="3"/>
      <c r="J7665" s="3"/>
      <c r="K7665" s="3"/>
      <c r="L7665" s="3"/>
    </row>
    <row r="7666" spans="9:12" x14ac:dyDescent="0.25">
      <c r="I7666" s="3"/>
      <c r="J7666" s="3"/>
      <c r="K7666" s="3"/>
      <c r="L7666" s="3"/>
    </row>
    <row r="7667" spans="9:12" x14ac:dyDescent="0.25">
      <c r="I7667" s="3"/>
      <c r="J7667" s="3"/>
      <c r="K7667" s="3"/>
      <c r="L7667" s="3"/>
    </row>
    <row r="7668" spans="9:12" x14ac:dyDescent="0.25">
      <c r="I7668" s="3"/>
      <c r="J7668" s="3"/>
      <c r="K7668" s="3"/>
      <c r="L7668" s="3"/>
    </row>
    <row r="7669" spans="9:12" x14ac:dyDescent="0.25">
      <c r="I7669" s="3"/>
      <c r="J7669" s="3"/>
      <c r="K7669" s="3"/>
      <c r="L7669" s="3"/>
    </row>
    <row r="7670" spans="9:12" x14ac:dyDescent="0.25">
      <c r="I7670" s="3"/>
      <c r="J7670" s="3"/>
      <c r="K7670" s="3"/>
      <c r="L7670" s="3"/>
    </row>
    <row r="7671" spans="9:12" x14ac:dyDescent="0.25">
      <c r="I7671" s="3"/>
      <c r="J7671" s="3"/>
      <c r="K7671" s="3"/>
      <c r="L7671" s="3"/>
    </row>
    <row r="7672" spans="9:12" x14ac:dyDescent="0.25">
      <c r="I7672" s="3"/>
      <c r="J7672" s="3"/>
      <c r="K7672" s="3"/>
      <c r="L7672" s="3"/>
    </row>
    <row r="7673" spans="9:12" x14ac:dyDescent="0.25">
      <c r="I7673" s="3"/>
      <c r="J7673" s="3"/>
      <c r="K7673" s="3"/>
      <c r="L7673" s="3"/>
    </row>
    <row r="7674" spans="9:12" x14ac:dyDescent="0.25">
      <c r="I7674" s="3"/>
      <c r="J7674" s="3"/>
      <c r="K7674" s="3"/>
      <c r="L7674" s="3"/>
    </row>
    <row r="7675" spans="9:12" x14ac:dyDescent="0.25">
      <c r="I7675" s="3"/>
      <c r="J7675" s="3"/>
      <c r="K7675" s="3"/>
      <c r="L7675" s="3"/>
    </row>
    <row r="7676" spans="9:12" x14ac:dyDescent="0.25">
      <c r="I7676" s="3"/>
      <c r="J7676" s="3"/>
      <c r="K7676" s="3"/>
      <c r="L7676" s="3"/>
    </row>
    <row r="7677" spans="9:12" x14ac:dyDescent="0.25">
      <c r="I7677" s="3"/>
      <c r="J7677" s="3"/>
      <c r="K7677" s="3"/>
      <c r="L7677" s="3"/>
    </row>
    <row r="7678" spans="9:12" x14ac:dyDescent="0.25">
      <c r="I7678" s="3"/>
      <c r="J7678" s="3"/>
      <c r="K7678" s="3"/>
      <c r="L7678" s="3"/>
    </row>
    <row r="7679" spans="9:12" x14ac:dyDescent="0.25">
      <c r="I7679" s="3"/>
      <c r="J7679" s="3"/>
      <c r="K7679" s="3"/>
      <c r="L7679" s="3"/>
    </row>
    <row r="7680" spans="9:12" x14ac:dyDescent="0.25">
      <c r="I7680" s="3"/>
      <c r="J7680" s="3"/>
      <c r="K7680" s="3"/>
      <c r="L7680" s="3"/>
    </row>
    <row r="7681" spans="9:12" x14ac:dyDescent="0.25">
      <c r="I7681" s="4"/>
      <c r="J7681" s="4"/>
      <c r="K7681" s="4"/>
      <c r="L7681" s="4"/>
    </row>
    <row r="7682" spans="9:12" x14ac:dyDescent="0.25">
      <c r="I7682" s="3"/>
      <c r="J7682" s="3"/>
      <c r="K7682" s="3"/>
      <c r="L7682" s="3"/>
    </row>
    <row r="7683" spans="9:12" x14ac:dyDescent="0.25">
      <c r="I7683" s="3"/>
      <c r="J7683" s="3"/>
      <c r="K7683" s="3"/>
      <c r="L7683" s="3"/>
    </row>
    <row r="7684" spans="9:12" x14ac:dyDescent="0.25">
      <c r="I7684" s="3"/>
      <c r="J7684" s="3"/>
      <c r="K7684" s="3"/>
      <c r="L7684" s="3"/>
    </row>
    <row r="7685" spans="9:12" x14ac:dyDescent="0.25">
      <c r="I7685" s="3"/>
      <c r="J7685" s="3"/>
      <c r="K7685" s="3"/>
      <c r="L7685" s="3"/>
    </row>
    <row r="7686" spans="9:12" x14ac:dyDescent="0.25">
      <c r="I7686" s="3"/>
      <c r="J7686" s="3"/>
      <c r="K7686" s="3"/>
      <c r="L7686" s="3"/>
    </row>
    <row r="7687" spans="9:12" x14ac:dyDescent="0.25">
      <c r="I7687" s="3"/>
      <c r="J7687" s="3"/>
      <c r="K7687" s="3"/>
      <c r="L7687" s="3"/>
    </row>
    <row r="7688" spans="9:12" x14ac:dyDescent="0.25">
      <c r="I7688" s="3"/>
      <c r="J7688" s="3"/>
      <c r="K7688" s="3"/>
      <c r="L7688" s="3"/>
    </row>
    <row r="7689" spans="9:12" x14ac:dyDescent="0.25">
      <c r="I7689" s="3"/>
      <c r="J7689" s="3"/>
      <c r="K7689" s="3"/>
      <c r="L7689" s="3"/>
    </row>
    <row r="7690" spans="9:12" x14ac:dyDescent="0.25">
      <c r="I7690" s="3"/>
      <c r="J7690" s="3"/>
      <c r="K7690" s="3"/>
      <c r="L7690" s="3"/>
    </row>
    <row r="7691" spans="9:12" x14ac:dyDescent="0.25">
      <c r="I7691" s="3"/>
      <c r="J7691" s="3"/>
      <c r="K7691" s="3"/>
      <c r="L7691" s="3"/>
    </row>
    <row r="7692" spans="9:12" x14ac:dyDescent="0.25">
      <c r="I7692" s="3"/>
      <c r="J7692" s="3"/>
      <c r="K7692" s="3"/>
      <c r="L7692" s="3"/>
    </row>
    <row r="7693" spans="9:12" x14ac:dyDescent="0.25">
      <c r="I7693" s="3"/>
      <c r="J7693" s="3"/>
      <c r="K7693" s="3"/>
      <c r="L7693" s="3"/>
    </row>
    <row r="7694" spans="9:12" x14ac:dyDescent="0.25">
      <c r="I7694" s="3"/>
      <c r="J7694" s="3"/>
      <c r="K7694" s="3"/>
      <c r="L7694" s="3"/>
    </row>
    <row r="7695" spans="9:12" x14ac:dyDescent="0.25">
      <c r="I7695" s="3"/>
      <c r="J7695" s="3"/>
      <c r="K7695" s="3"/>
      <c r="L7695" s="3"/>
    </row>
    <row r="7696" spans="9:12" x14ac:dyDescent="0.25">
      <c r="I7696" s="3"/>
      <c r="J7696" s="3"/>
      <c r="K7696" s="3"/>
      <c r="L7696" s="3"/>
    </row>
    <row r="7697" spans="9:12" x14ac:dyDescent="0.25">
      <c r="I7697" s="3"/>
      <c r="J7697" s="3"/>
      <c r="K7697" s="3"/>
      <c r="L7697" s="3"/>
    </row>
    <row r="7698" spans="9:12" x14ac:dyDescent="0.25">
      <c r="I7698" s="3"/>
      <c r="J7698" s="3"/>
      <c r="K7698" s="3"/>
      <c r="L7698" s="3"/>
    </row>
    <row r="7699" spans="9:12" x14ac:dyDescent="0.25">
      <c r="I7699" s="3"/>
      <c r="J7699" s="3"/>
      <c r="K7699" s="3"/>
      <c r="L7699" s="3"/>
    </row>
    <row r="7700" spans="9:12" x14ac:dyDescent="0.25">
      <c r="I7700" s="3"/>
      <c r="J7700" s="3"/>
      <c r="K7700" s="3"/>
      <c r="L7700" s="3"/>
    </row>
    <row r="7701" spans="9:12" x14ac:dyDescent="0.25">
      <c r="I7701" s="3"/>
      <c r="J7701" s="3"/>
      <c r="K7701" s="3"/>
      <c r="L7701" s="3"/>
    </row>
    <row r="7702" spans="9:12" x14ac:dyDescent="0.25">
      <c r="I7702" s="3"/>
      <c r="J7702" s="3"/>
      <c r="K7702" s="3"/>
      <c r="L7702" s="3"/>
    </row>
    <row r="7703" spans="9:12" x14ac:dyDescent="0.25">
      <c r="I7703" s="3"/>
      <c r="J7703" s="3"/>
      <c r="K7703" s="3"/>
      <c r="L7703" s="3"/>
    </row>
    <row r="7704" spans="9:12" x14ac:dyDescent="0.25">
      <c r="I7704" s="3"/>
      <c r="J7704" s="3"/>
      <c r="K7704" s="3"/>
      <c r="L7704" s="3"/>
    </row>
    <row r="7705" spans="9:12" x14ac:dyDescent="0.25">
      <c r="I7705" s="3"/>
      <c r="J7705" s="3"/>
      <c r="K7705" s="3"/>
      <c r="L7705" s="3"/>
    </row>
    <row r="7706" spans="9:12" x14ac:dyDescent="0.25">
      <c r="I7706" s="3"/>
      <c r="J7706" s="3"/>
      <c r="K7706" s="3"/>
      <c r="L7706" s="3"/>
    </row>
    <row r="7707" spans="9:12" x14ac:dyDescent="0.25">
      <c r="I7707" s="3"/>
      <c r="J7707" s="3"/>
      <c r="K7707" s="3"/>
      <c r="L7707" s="3"/>
    </row>
    <row r="7708" spans="9:12" x14ac:dyDescent="0.25">
      <c r="I7708" s="3"/>
      <c r="J7708" s="3"/>
      <c r="K7708" s="3"/>
      <c r="L7708" s="3"/>
    </row>
    <row r="7709" spans="9:12" x14ac:dyDescent="0.25">
      <c r="I7709" s="3"/>
      <c r="J7709" s="3"/>
      <c r="K7709" s="3"/>
      <c r="L7709" s="3"/>
    </row>
    <row r="7710" spans="9:12" x14ac:dyDescent="0.25">
      <c r="I7710" s="3"/>
      <c r="J7710" s="3"/>
      <c r="K7710" s="3"/>
      <c r="L7710" s="3"/>
    </row>
    <row r="7711" spans="9:12" x14ac:dyDescent="0.25">
      <c r="I7711" s="3"/>
      <c r="J7711" s="3"/>
      <c r="K7711" s="3"/>
      <c r="L7711" s="3"/>
    </row>
    <row r="7712" spans="9:12" x14ac:dyDescent="0.25">
      <c r="I7712" s="3"/>
      <c r="J7712" s="3"/>
      <c r="K7712" s="3"/>
      <c r="L7712" s="3"/>
    </row>
    <row r="7713" spans="9:12" x14ac:dyDescent="0.25">
      <c r="I7713" s="3"/>
      <c r="J7713" s="3"/>
      <c r="K7713" s="3"/>
      <c r="L7713" s="3"/>
    </row>
    <row r="7714" spans="9:12" x14ac:dyDescent="0.25">
      <c r="I7714" s="4"/>
      <c r="J7714" s="4"/>
      <c r="K7714" s="4"/>
      <c r="L7714" s="4"/>
    </row>
    <row r="7715" spans="9:12" x14ac:dyDescent="0.25">
      <c r="I7715" s="4"/>
      <c r="J7715" s="4"/>
      <c r="K7715" s="4"/>
      <c r="L7715" s="4"/>
    </row>
    <row r="7716" spans="9:12" x14ac:dyDescent="0.25">
      <c r="I7716" s="4"/>
      <c r="J7716" s="4"/>
      <c r="K7716" s="4"/>
      <c r="L7716" s="4"/>
    </row>
    <row r="7717" spans="9:12" x14ac:dyDescent="0.25">
      <c r="I7717" s="3"/>
      <c r="J7717" s="3"/>
      <c r="K7717" s="3"/>
      <c r="L7717" s="3"/>
    </row>
    <row r="7718" spans="9:12" x14ac:dyDescent="0.25">
      <c r="I7718" s="3"/>
      <c r="J7718" s="3"/>
      <c r="K7718" s="3"/>
      <c r="L7718" s="3"/>
    </row>
    <row r="7719" spans="9:12" x14ac:dyDescent="0.25">
      <c r="I7719" s="3"/>
      <c r="J7719" s="3"/>
      <c r="K7719" s="3"/>
      <c r="L7719" s="3"/>
    </row>
    <row r="7720" spans="9:12" x14ac:dyDescent="0.25">
      <c r="I7720" s="3"/>
      <c r="J7720" s="3"/>
      <c r="K7720" s="3"/>
      <c r="L7720" s="3"/>
    </row>
    <row r="7721" spans="9:12" x14ac:dyDescent="0.25">
      <c r="I7721" s="3"/>
      <c r="J7721" s="3"/>
      <c r="K7721" s="3"/>
      <c r="L7721" s="3"/>
    </row>
    <row r="7722" spans="9:12" x14ac:dyDescent="0.25">
      <c r="I7722" s="3"/>
      <c r="J7722" s="3"/>
      <c r="K7722" s="3"/>
      <c r="L7722" s="3"/>
    </row>
    <row r="7723" spans="9:12" x14ac:dyDescent="0.25">
      <c r="I7723" s="3"/>
      <c r="J7723" s="3"/>
      <c r="K7723" s="3"/>
      <c r="L7723" s="3"/>
    </row>
    <row r="7724" spans="9:12" x14ac:dyDescent="0.25">
      <c r="I7724" s="3"/>
      <c r="J7724" s="3"/>
      <c r="K7724" s="3"/>
      <c r="L7724" s="3"/>
    </row>
    <row r="7725" spans="9:12" x14ac:dyDescent="0.25">
      <c r="I7725" s="3"/>
      <c r="J7725" s="3"/>
      <c r="K7725" s="3"/>
      <c r="L7725" s="3"/>
    </row>
    <row r="7726" spans="9:12" x14ac:dyDescent="0.25">
      <c r="I7726" s="3"/>
      <c r="J7726" s="3"/>
      <c r="K7726" s="3"/>
      <c r="L7726" s="3"/>
    </row>
    <row r="7727" spans="9:12" x14ac:dyDescent="0.25">
      <c r="I7727" s="3"/>
      <c r="J7727" s="3"/>
      <c r="K7727" s="3"/>
      <c r="L7727" s="3"/>
    </row>
    <row r="7728" spans="9:12" x14ac:dyDescent="0.25">
      <c r="I7728" s="3"/>
      <c r="J7728" s="3"/>
      <c r="K7728" s="3"/>
      <c r="L7728" s="3"/>
    </row>
    <row r="7729" spans="9:12" x14ac:dyDescent="0.25">
      <c r="I7729" s="3"/>
      <c r="J7729" s="3"/>
      <c r="K7729" s="3"/>
      <c r="L7729" s="3"/>
    </row>
    <row r="7730" spans="9:12" x14ac:dyDescent="0.25">
      <c r="I7730" s="3"/>
      <c r="J7730" s="3"/>
      <c r="K7730" s="3"/>
      <c r="L7730" s="3"/>
    </row>
    <row r="7731" spans="9:12" x14ac:dyDescent="0.25">
      <c r="I7731" s="3"/>
      <c r="J7731" s="3"/>
      <c r="K7731" s="3"/>
      <c r="L7731" s="3"/>
    </row>
    <row r="7732" spans="9:12" x14ac:dyDescent="0.25">
      <c r="I7732" s="3"/>
      <c r="J7732" s="3"/>
      <c r="K7732" s="3"/>
      <c r="L7732" s="3"/>
    </row>
    <row r="7733" spans="9:12" x14ac:dyDescent="0.25">
      <c r="I7733" s="3"/>
      <c r="J7733" s="3"/>
      <c r="K7733" s="3"/>
      <c r="L7733" s="3"/>
    </row>
    <row r="7734" spans="9:12" x14ac:dyDescent="0.25">
      <c r="I7734" s="3"/>
      <c r="J7734" s="3"/>
      <c r="K7734" s="3"/>
      <c r="L7734" s="3"/>
    </row>
    <row r="7735" spans="9:12" x14ac:dyDescent="0.25">
      <c r="I7735" s="3"/>
      <c r="J7735" s="3"/>
      <c r="K7735" s="3"/>
      <c r="L7735" s="3"/>
    </row>
    <row r="7736" spans="9:12" x14ac:dyDescent="0.25">
      <c r="I7736" s="3"/>
      <c r="J7736" s="3"/>
      <c r="K7736" s="3"/>
      <c r="L7736" s="3"/>
    </row>
    <row r="7737" spans="9:12" x14ac:dyDescent="0.25">
      <c r="I7737" s="3"/>
      <c r="J7737" s="3"/>
      <c r="K7737" s="3"/>
      <c r="L7737" s="3"/>
    </row>
    <row r="7738" spans="9:12" x14ac:dyDescent="0.25">
      <c r="I7738" s="3"/>
      <c r="J7738" s="3"/>
      <c r="K7738" s="3"/>
      <c r="L7738" s="3"/>
    </row>
    <row r="7739" spans="9:12" x14ac:dyDescent="0.25">
      <c r="I7739" s="3"/>
      <c r="J7739" s="3"/>
      <c r="K7739" s="3"/>
      <c r="L7739" s="3"/>
    </row>
    <row r="7740" spans="9:12" x14ac:dyDescent="0.25">
      <c r="I7740" s="3"/>
      <c r="J7740" s="3"/>
      <c r="K7740" s="3"/>
      <c r="L7740" s="3"/>
    </row>
    <row r="7741" spans="9:12" x14ac:dyDescent="0.25">
      <c r="I7741" s="3"/>
      <c r="J7741" s="3"/>
      <c r="K7741" s="3"/>
      <c r="L7741" s="3"/>
    </row>
    <row r="7742" spans="9:12" x14ac:dyDescent="0.25">
      <c r="I7742" s="3"/>
      <c r="J7742" s="3"/>
      <c r="K7742" s="3"/>
      <c r="L7742" s="3"/>
    </row>
    <row r="7743" spans="9:12" x14ac:dyDescent="0.25">
      <c r="I7743" s="3"/>
      <c r="J7743" s="3"/>
      <c r="K7743" s="3"/>
      <c r="L7743" s="3"/>
    </row>
    <row r="7744" spans="9:12" x14ac:dyDescent="0.25">
      <c r="I7744" s="3"/>
      <c r="J7744" s="3"/>
      <c r="K7744" s="3"/>
      <c r="L7744" s="3"/>
    </row>
    <row r="7745" spans="9:12" x14ac:dyDescent="0.25">
      <c r="I7745" s="3"/>
      <c r="J7745" s="3"/>
      <c r="K7745" s="3"/>
      <c r="L7745" s="3"/>
    </row>
    <row r="7746" spans="9:12" x14ac:dyDescent="0.25">
      <c r="I7746" s="3"/>
      <c r="J7746" s="3"/>
      <c r="K7746" s="3"/>
      <c r="L7746" s="3"/>
    </row>
    <row r="7747" spans="9:12" x14ac:dyDescent="0.25">
      <c r="I7747" s="3"/>
      <c r="J7747" s="3"/>
      <c r="K7747" s="3"/>
      <c r="L7747" s="3"/>
    </row>
    <row r="7748" spans="9:12" x14ac:dyDescent="0.25">
      <c r="I7748" s="3"/>
      <c r="J7748" s="3"/>
      <c r="K7748" s="3"/>
      <c r="L7748" s="3"/>
    </row>
    <row r="7749" spans="9:12" x14ac:dyDescent="0.25">
      <c r="I7749" s="3"/>
      <c r="J7749" s="3"/>
      <c r="K7749" s="3"/>
      <c r="L7749" s="3"/>
    </row>
    <row r="7750" spans="9:12" x14ac:dyDescent="0.25">
      <c r="I7750" s="3"/>
      <c r="J7750" s="3"/>
      <c r="K7750" s="3"/>
      <c r="L7750" s="3"/>
    </row>
    <row r="7751" spans="9:12" x14ac:dyDescent="0.25">
      <c r="I7751" s="3"/>
      <c r="J7751" s="3"/>
      <c r="K7751" s="3"/>
      <c r="L7751" s="3"/>
    </row>
    <row r="7752" spans="9:12" x14ac:dyDescent="0.25">
      <c r="I7752" s="3"/>
      <c r="J7752" s="3"/>
      <c r="K7752" s="3"/>
      <c r="L7752" s="3"/>
    </row>
    <row r="7753" spans="9:12" x14ac:dyDescent="0.25">
      <c r="I7753" s="3"/>
      <c r="J7753" s="3"/>
      <c r="K7753" s="3"/>
      <c r="L7753" s="3"/>
    </row>
    <row r="7754" spans="9:12" x14ac:dyDescent="0.25">
      <c r="I7754" s="3"/>
      <c r="J7754" s="3"/>
      <c r="K7754" s="3"/>
      <c r="L7754" s="3"/>
    </row>
    <row r="7755" spans="9:12" x14ac:dyDescent="0.25">
      <c r="I7755" s="3"/>
      <c r="J7755" s="3"/>
      <c r="K7755" s="3"/>
      <c r="L7755" s="3"/>
    </row>
    <row r="7756" spans="9:12" x14ac:dyDescent="0.25">
      <c r="I7756" s="3"/>
      <c r="J7756" s="3"/>
      <c r="K7756" s="3"/>
      <c r="L7756" s="3"/>
    </row>
    <row r="7757" spans="9:12" x14ac:dyDescent="0.25">
      <c r="I7757" s="3"/>
      <c r="J7757" s="3"/>
      <c r="K7757" s="3"/>
      <c r="L7757" s="3"/>
    </row>
    <row r="7758" spans="9:12" x14ac:dyDescent="0.25">
      <c r="I7758" s="3"/>
      <c r="J7758" s="3"/>
      <c r="K7758" s="3"/>
      <c r="L7758" s="3"/>
    </row>
    <row r="7759" spans="9:12" x14ac:dyDescent="0.25">
      <c r="I7759" s="3"/>
      <c r="J7759" s="3"/>
      <c r="K7759" s="3"/>
      <c r="L7759" s="3"/>
    </row>
    <row r="7760" spans="9:12" x14ac:dyDescent="0.25">
      <c r="I7760" s="3"/>
      <c r="J7760" s="3"/>
      <c r="K7760" s="3"/>
      <c r="L7760" s="3"/>
    </row>
    <row r="7761" spans="9:12" x14ac:dyDescent="0.25">
      <c r="I7761" s="3"/>
      <c r="J7761" s="3"/>
      <c r="K7761" s="3"/>
      <c r="L7761" s="3"/>
    </row>
    <row r="7762" spans="9:12" x14ac:dyDescent="0.25">
      <c r="I7762" s="3"/>
      <c r="J7762" s="3"/>
      <c r="K7762" s="3"/>
      <c r="L7762" s="3"/>
    </row>
    <row r="7763" spans="9:12" x14ac:dyDescent="0.25">
      <c r="I7763" s="3"/>
      <c r="J7763" s="3"/>
      <c r="K7763" s="3"/>
      <c r="L7763" s="3"/>
    </row>
    <row r="7764" spans="9:12" x14ac:dyDescent="0.25">
      <c r="I7764" s="3"/>
      <c r="J7764" s="3"/>
      <c r="K7764" s="3"/>
      <c r="L7764" s="3"/>
    </row>
    <row r="7765" spans="9:12" x14ac:dyDescent="0.25">
      <c r="I7765" s="3"/>
      <c r="J7765" s="3"/>
      <c r="K7765" s="3"/>
      <c r="L7765" s="3"/>
    </row>
    <row r="7766" spans="9:12" x14ac:dyDescent="0.25">
      <c r="I7766" s="3"/>
      <c r="J7766" s="3"/>
      <c r="K7766" s="3"/>
      <c r="L7766" s="3"/>
    </row>
    <row r="7767" spans="9:12" x14ac:dyDescent="0.25">
      <c r="I7767" s="3"/>
      <c r="J7767" s="3"/>
      <c r="K7767" s="3"/>
      <c r="L7767" s="3"/>
    </row>
    <row r="7768" spans="9:12" x14ac:dyDescent="0.25">
      <c r="I7768" s="3"/>
      <c r="J7768" s="3"/>
      <c r="K7768" s="3"/>
      <c r="L7768" s="3"/>
    </row>
    <row r="7769" spans="9:12" x14ac:dyDescent="0.25">
      <c r="I7769" s="3"/>
      <c r="J7769" s="3"/>
      <c r="K7769" s="3"/>
      <c r="L7769" s="3"/>
    </row>
    <row r="7770" spans="9:12" x14ac:dyDescent="0.25">
      <c r="I7770" s="3"/>
      <c r="J7770" s="3"/>
      <c r="K7770" s="3"/>
      <c r="L7770" s="3"/>
    </row>
    <row r="7771" spans="9:12" x14ac:dyDescent="0.25">
      <c r="I7771" s="3"/>
      <c r="J7771" s="3"/>
      <c r="K7771" s="3"/>
      <c r="L7771" s="3"/>
    </row>
    <row r="7772" spans="9:12" x14ac:dyDescent="0.25">
      <c r="I7772" s="3"/>
      <c r="J7772" s="3"/>
      <c r="K7772" s="3"/>
      <c r="L7772" s="3"/>
    </row>
    <row r="7773" spans="9:12" x14ac:dyDescent="0.25">
      <c r="I7773" s="3"/>
      <c r="J7773" s="3"/>
      <c r="K7773" s="3"/>
      <c r="L7773" s="3"/>
    </row>
    <row r="7774" spans="9:12" x14ac:dyDescent="0.25">
      <c r="I7774" s="3"/>
      <c r="J7774" s="3"/>
      <c r="K7774" s="3"/>
      <c r="L7774" s="3"/>
    </row>
    <row r="7775" spans="9:12" x14ac:dyDescent="0.25">
      <c r="I7775" s="3"/>
      <c r="J7775" s="3"/>
      <c r="K7775" s="3"/>
      <c r="L7775" s="3"/>
    </row>
    <row r="7776" spans="9:12" x14ac:dyDescent="0.25">
      <c r="I7776" s="3"/>
      <c r="J7776" s="3"/>
      <c r="K7776" s="3"/>
      <c r="L7776" s="3"/>
    </row>
    <row r="7777" spans="9:12" x14ac:dyDescent="0.25">
      <c r="I7777" s="3"/>
      <c r="J7777" s="3"/>
      <c r="K7777" s="3"/>
      <c r="L7777" s="3"/>
    </row>
    <row r="7778" spans="9:12" x14ac:dyDescent="0.25">
      <c r="I7778" s="3"/>
      <c r="J7778" s="3"/>
      <c r="K7778" s="3"/>
      <c r="L7778" s="3"/>
    </row>
    <row r="7779" spans="9:12" x14ac:dyDescent="0.25">
      <c r="I7779" s="3"/>
      <c r="J7779" s="3"/>
      <c r="K7779" s="3"/>
      <c r="L7779" s="3"/>
    </row>
    <row r="7780" spans="9:12" x14ac:dyDescent="0.25">
      <c r="I7780" s="3"/>
      <c r="J7780" s="3"/>
      <c r="K7780" s="3"/>
      <c r="L7780" s="3"/>
    </row>
    <row r="7781" spans="9:12" x14ac:dyDescent="0.25">
      <c r="I7781" s="3"/>
      <c r="J7781" s="3"/>
      <c r="K7781" s="3"/>
      <c r="L7781" s="3"/>
    </row>
    <row r="7782" spans="9:12" x14ac:dyDescent="0.25">
      <c r="I7782" s="3"/>
      <c r="J7782" s="3"/>
      <c r="K7782" s="3"/>
      <c r="L7782" s="3"/>
    </row>
    <row r="7783" spans="9:12" x14ac:dyDescent="0.25">
      <c r="I7783" s="3"/>
      <c r="J7783" s="3"/>
      <c r="K7783" s="3"/>
      <c r="L7783" s="3"/>
    </row>
    <row r="7784" spans="9:12" x14ac:dyDescent="0.25">
      <c r="I7784" s="3"/>
      <c r="J7784" s="3"/>
      <c r="K7784" s="3"/>
      <c r="L7784" s="3"/>
    </row>
    <row r="7785" spans="9:12" x14ac:dyDescent="0.25">
      <c r="I7785" s="3"/>
      <c r="J7785" s="3"/>
      <c r="K7785" s="3"/>
      <c r="L7785" s="3"/>
    </row>
    <row r="7786" spans="9:12" x14ac:dyDescent="0.25">
      <c r="I7786" s="3"/>
      <c r="J7786" s="3"/>
      <c r="K7786" s="3"/>
      <c r="L7786" s="3"/>
    </row>
    <row r="7787" spans="9:12" x14ac:dyDescent="0.25">
      <c r="I7787" s="3"/>
      <c r="J7787" s="3"/>
      <c r="K7787" s="3"/>
      <c r="L7787" s="3"/>
    </row>
    <row r="7788" spans="9:12" x14ac:dyDescent="0.25">
      <c r="I7788" s="3"/>
      <c r="J7788" s="3"/>
      <c r="K7788" s="3"/>
      <c r="L7788" s="3"/>
    </row>
    <row r="7789" spans="9:12" x14ac:dyDescent="0.25">
      <c r="I7789" s="3"/>
      <c r="J7789" s="3"/>
      <c r="K7789" s="3"/>
      <c r="L7789" s="3"/>
    </row>
    <row r="7790" spans="9:12" x14ac:dyDescent="0.25">
      <c r="I7790" s="3"/>
      <c r="J7790" s="3"/>
      <c r="K7790" s="3"/>
      <c r="L7790" s="3"/>
    </row>
    <row r="7791" spans="9:12" x14ac:dyDescent="0.25">
      <c r="I7791" s="3"/>
      <c r="J7791" s="3"/>
      <c r="K7791" s="3"/>
      <c r="L7791" s="3"/>
    </row>
    <row r="7792" spans="9:12" x14ac:dyDescent="0.25">
      <c r="I7792" s="3"/>
      <c r="J7792" s="3"/>
      <c r="K7792" s="3"/>
      <c r="L7792" s="3"/>
    </row>
    <row r="7793" spans="9:12" x14ac:dyDescent="0.25">
      <c r="I7793" s="3"/>
      <c r="J7793" s="3"/>
      <c r="K7793" s="3"/>
      <c r="L7793" s="3"/>
    </row>
    <row r="7794" spans="9:12" x14ac:dyDescent="0.25">
      <c r="I7794" s="3"/>
      <c r="J7794" s="3"/>
      <c r="K7794" s="3"/>
      <c r="L7794" s="3"/>
    </row>
    <row r="7795" spans="9:12" x14ac:dyDescent="0.25">
      <c r="I7795" s="3"/>
      <c r="J7795" s="3"/>
      <c r="K7795" s="3"/>
      <c r="L7795" s="3"/>
    </row>
    <row r="7796" spans="9:12" x14ac:dyDescent="0.25">
      <c r="I7796" s="3"/>
      <c r="J7796" s="3"/>
      <c r="K7796" s="3"/>
      <c r="L7796" s="3"/>
    </row>
    <row r="7797" spans="9:12" x14ac:dyDescent="0.25">
      <c r="I7797" s="3"/>
      <c r="J7797" s="3"/>
      <c r="K7797" s="3"/>
      <c r="L7797" s="3"/>
    </row>
    <row r="7798" spans="9:12" x14ac:dyDescent="0.25">
      <c r="I7798" s="3"/>
      <c r="J7798" s="3"/>
      <c r="K7798" s="3"/>
      <c r="L7798" s="3"/>
    </row>
    <row r="7799" spans="9:12" x14ac:dyDescent="0.25">
      <c r="I7799" s="3"/>
      <c r="J7799" s="3"/>
      <c r="K7799" s="3"/>
      <c r="L7799" s="3"/>
    </row>
    <row r="7800" spans="9:12" x14ac:dyDescent="0.25">
      <c r="I7800" s="3"/>
      <c r="J7800" s="3"/>
      <c r="K7800" s="3"/>
      <c r="L7800" s="3"/>
    </row>
    <row r="7801" spans="9:12" x14ac:dyDescent="0.25">
      <c r="I7801" s="3"/>
      <c r="J7801" s="3"/>
      <c r="K7801" s="3"/>
      <c r="L7801" s="3"/>
    </row>
    <row r="7802" spans="9:12" x14ac:dyDescent="0.25">
      <c r="I7802" s="3"/>
      <c r="J7802" s="3"/>
      <c r="K7802" s="3"/>
      <c r="L7802" s="3"/>
    </row>
    <row r="7803" spans="9:12" x14ac:dyDescent="0.25">
      <c r="I7803" s="3"/>
      <c r="J7803" s="3"/>
      <c r="K7803" s="3"/>
      <c r="L7803" s="3"/>
    </row>
    <row r="7804" spans="9:12" x14ac:dyDescent="0.25">
      <c r="I7804" s="3"/>
      <c r="J7804" s="3"/>
      <c r="K7804" s="3"/>
      <c r="L7804" s="3"/>
    </row>
    <row r="7805" spans="9:12" x14ac:dyDescent="0.25">
      <c r="I7805" s="3"/>
      <c r="J7805" s="3"/>
      <c r="K7805" s="3"/>
      <c r="L7805" s="3"/>
    </row>
    <row r="7806" spans="9:12" x14ac:dyDescent="0.25">
      <c r="I7806" s="3"/>
      <c r="J7806" s="3"/>
      <c r="K7806" s="3"/>
      <c r="L7806" s="3"/>
    </row>
    <row r="7807" spans="9:12" x14ac:dyDescent="0.25">
      <c r="I7807" s="3"/>
      <c r="J7807" s="3"/>
      <c r="K7807" s="3"/>
      <c r="L7807" s="3"/>
    </row>
    <row r="7808" spans="9:12" x14ac:dyDescent="0.25">
      <c r="I7808" s="3"/>
      <c r="J7808" s="3"/>
      <c r="K7808" s="3"/>
      <c r="L7808" s="3"/>
    </row>
    <row r="7809" spans="9:12" x14ac:dyDescent="0.25">
      <c r="I7809" s="3"/>
      <c r="J7809" s="3"/>
      <c r="K7809" s="3"/>
      <c r="L7809" s="3"/>
    </row>
    <row r="7810" spans="9:12" x14ac:dyDescent="0.25">
      <c r="I7810" s="3"/>
      <c r="J7810" s="3"/>
      <c r="K7810" s="3"/>
      <c r="L7810" s="3"/>
    </row>
    <row r="7811" spans="9:12" x14ac:dyDescent="0.25">
      <c r="I7811" s="3"/>
      <c r="J7811" s="3"/>
      <c r="K7811" s="3"/>
      <c r="L7811" s="3"/>
    </row>
    <row r="7812" spans="9:12" x14ac:dyDescent="0.25">
      <c r="I7812" s="3"/>
      <c r="J7812" s="3"/>
      <c r="K7812" s="3"/>
      <c r="L7812" s="3"/>
    </row>
    <row r="7813" spans="9:12" x14ac:dyDescent="0.25">
      <c r="I7813" s="3"/>
      <c r="J7813" s="3"/>
      <c r="K7813" s="3"/>
      <c r="L7813" s="3"/>
    </row>
    <row r="7814" spans="9:12" x14ac:dyDescent="0.25">
      <c r="I7814" s="3"/>
      <c r="J7814" s="3"/>
      <c r="K7814" s="3"/>
      <c r="L7814" s="3"/>
    </row>
    <row r="7815" spans="9:12" x14ac:dyDescent="0.25">
      <c r="I7815" s="3"/>
      <c r="J7815" s="3"/>
      <c r="K7815" s="3"/>
      <c r="L7815" s="3"/>
    </row>
    <row r="7816" spans="9:12" x14ac:dyDescent="0.25">
      <c r="I7816" s="3"/>
      <c r="J7816" s="3"/>
      <c r="K7816" s="3"/>
      <c r="L7816" s="3"/>
    </row>
    <row r="7817" spans="9:12" x14ac:dyDescent="0.25">
      <c r="I7817" s="3"/>
      <c r="J7817" s="3"/>
      <c r="K7817" s="3"/>
      <c r="L7817" s="3"/>
    </row>
    <row r="7818" spans="9:12" x14ac:dyDescent="0.25">
      <c r="I7818" s="3"/>
      <c r="J7818" s="3"/>
      <c r="K7818" s="3"/>
      <c r="L7818" s="3"/>
    </row>
    <row r="7819" spans="9:12" x14ac:dyDescent="0.25">
      <c r="I7819" s="3"/>
      <c r="J7819" s="3"/>
      <c r="K7819" s="3"/>
      <c r="L7819" s="3"/>
    </row>
    <row r="7820" spans="9:12" x14ac:dyDescent="0.25">
      <c r="I7820" s="3"/>
      <c r="J7820" s="3"/>
      <c r="K7820" s="3"/>
      <c r="L7820" s="3"/>
    </row>
    <row r="7821" spans="9:12" x14ac:dyDescent="0.25">
      <c r="I7821" s="3"/>
      <c r="J7821" s="3"/>
      <c r="K7821" s="3"/>
      <c r="L7821" s="3"/>
    </row>
    <row r="7822" spans="9:12" x14ac:dyDescent="0.25">
      <c r="I7822" s="3"/>
      <c r="J7822" s="3"/>
      <c r="K7822" s="3"/>
      <c r="L7822" s="3"/>
    </row>
    <row r="7823" spans="9:12" x14ac:dyDescent="0.25">
      <c r="I7823" s="3"/>
      <c r="J7823" s="3"/>
      <c r="K7823" s="3"/>
      <c r="L7823" s="3"/>
    </row>
    <row r="7824" spans="9:12" x14ac:dyDescent="0.25">
      <c r="I7824" s="3"/>
      <c r="J7824" s="3"/>
      <c r="K7824" s="3"/>
      <c r="L7824" s="3"/>
    </row>
    <row r="7825" spans="9:12" x14ac:dyDescent="0.25">
      <c r="I7825" s="3"/>
      <c r="J7825" s="3"/>
      <c r="K7825" s="3"/>
      <c r="L7825" s="3"/>
    </row>
    <row r="7826" spans="9:12" x14ac:dyDescent="0.25">
      <c r="I7826" s="3"/>
      <c r="J7826" s="3"/>
      <c r="K7826" s="3"/>
      <c r="L7826" s="3"/>
    </row>
    <row r="7827" spans="9:12" x14ac:dyDescent="0.25">
      <c r="I7827" s="3"/>
      <c r="J7827" s="3"/>
      <c r="K7827" s="3"/>
      <c r="L7827" s="3"/>
    </row>
    <row r="7828" spans="9:12" x14ac:dyDescent="0.25">
      <c r="I7828" s="3"/>
      <c r="J7828" s="3"/>
      <c r="K7828" s="3"/>
      <c r="L7828" s="3"/>
    </row>
    <row r="7829" spans="9:12" x14ac:dyDescent="0.25">
      <c r="I7829" s="3"/>
      <c r="J7829" s="3"/>
      <c r="K7829" s="3"/>
      <c r="L7829" s="3"/>
    </row>
    <row r="7830" spans="9:12" x14ac:dyDescent="0.25">
      <c r="I7830" s="3"/>
      <c r="J7830" s="3"/>
      <c r="K7830" s="3"/>
      <c r="L7830" s="3"/>
    </row>
    <row r="7831" spans="9:12" x14ac:dyDescent="0.25">
      <c r="I7831" s="3"/>
      <c r="J7831" s="3"/>
      <c r="K7831" s="3"/>
      <c r="L7831" s="3"/>
    </row>
    <row r="7832" spans="9:12" x14ac:dyDescent="0.25">
      <c r="I7832" s="3"/>
      <c r="J7832" s="3"/>
      <c r="K7832" s="3"/>
      <c r="L7832" s="3"/>
    </row>
    <row r="7833" spans="9:12" x14ac:dyDescent="0.25">
      <c r="I7833" s="3"/>
      <c r="J7833" s="3"/>
      <c r="K7833" s="3"/>
      <c r="L7833" s="3"/>
    </row>
    <row r="7834" spans="9:12" x14ac:dyDescent="0.25">
      <c r="I7834" s="3"/>
      <c r="J7834" s="3"/>
      <c r="K7834" s="3"/>
      <c r="L7834" s="3"/>
    </row>
    <row r="7835" spans="9:12" x14ac:dyDescent="0.25">
      <c r="I7835" s="3"/>
      <c r="J7835" s="3"/>
      <c r="K7835" s="3"/>
      <c r="L7835" s="3"/>
    </row>
    <row r="7836" spans="9:12" x14ac:dyDescent="0.25">
      <c r="I7836" s="3"/>
      <c r="J7836" s="3"/>
      <c r="K7836" s="3"/>
      <c r="L7836" s="3"/>
    </row>
    <row r="7837" spans="9:12" x14ac:dyDescent="0.25">
      <c r="I7837" s="3"/>
      <c r="J7837" s="3"/>
      <c r="K7837" s="3"/>
      <c r="L7837" s="3"/>
    </row>
    <row r="7838" spans="9:12" x14ac:dyDescent="0.25">
      <c r="I7838" s="3"/>
      <c r="J7838" s="3"/>
      <c r="K7838" s="3"/>
      <c r="L7838" s="3"/>
    </row>
    <row r="7839" spans="9:12" x14ac:dyDescent="0.25">
      <c r="I7839" s="3"/>
      <c r="J7839" s="3"/>
      <c r="K7839" s="3"/>
      <c r="L7839" s="3"/>
    </row>
    <row r="7840" spans="9:12" x14ac:dyDescent="0.25">
      <c r="I7840" s="3"/>
      <c r="J7840" s="3"/>
      <c r="K7840" s="3"/>
      <c r="L7840" s="3"/>
    </row>
    <row r="7841" spans="9:12" x14ac:dyDescent="0.25">
      <c r="I7841" s="3"/>
      <c r="J7841" s="3"/>
      <c r="K7841" s="3"/>
      <c r="L7841" s="3"/>
    </row>
    <row r="7842" spans="9:12" x14ac:dyDescent="0.25">
      <c r="I7842" s="3"/>
      <c r="J7842" s="3"/>
      <c r="K7842" s="3"/>
      <c r="L7842" s="3"/>
    </row>
    <row r="7843" spans="9:12" x14ac:dyDescent="0.25">
      <c r="I7843" s="3"/>
      <c r="J7843" s="3"/>
      <c r="K7843" s="3"/>
      <c r="L7843" s="3"/>
    </row>
    <row r="7844" spans="9:12" x14ac:dyDescent="0.25">
      <c r="I7844" s="3"/>
      <c r="J7844" s="3"/>
      <c r="K7844" s="3"/>
      <c r="L7844" s="3"/>
    </row>
    <row r="7845" spans="9:12" x14ac:dyDescent="0.25">
      <c r="I7845" s="3"/>
      <c r="J7845" s="3"/>
      <c r="K7845" s="3"/>
      <c r="L7845" s="3"/>
    </row>
    <row r="7846" spans="9:12" x14ac:dyDescent="0.25">
      <c r="I7846" s="3"/>
      <c r="J7846" s="3"/>
      <c r="K7846" s="3"/>
      <c r="L7846" s="3"/>
    </row>
    <row r="7847" spans="9:12" x14ac:dyDescent="0.25">
      <c r="I7847" s="3"/>
      <c r="J7847" s="3"/>
      <c r="K7847" s="3"/>
      <c r="L7847" s="3"/>
    </row>
    <row r="7848" spans="9:12" x14ac:dyDescent="0.25">
      <c r="I7848" s="3"/>
      <c r="J7848" s="3"/>
      <c r="K7848" s="3"/>
      <c r="L7848" s="3"/>
    </row>
    <row r="7849" spans="9:12" x14ac:dyDescent="0.25">
      <c r="I7849" s="3"/>
      <c r="J7849" s="3"/>
      <c r="K7849" s="3"/>
      <c r="L7849" s="3"/>
    </row>
    <row r="7850" spans="9:12" x14ac:dyDescent="0.25">
      <c r="I7850" s="3"/>
      <c r="J7850" s="3"/>
      <c r="K7850" s="3"/>
      <c r="L7850" s="3"/>
    </row>
    <row r="7851" spans="9:12" x14ac:dyDescent="0.25">
      <c r="I7851" s="3"/>
      <c r="J7851" s="3"/>
      <c r="K7851" s="3"/>
      <c r="L7851" s="3"/>
    </row>
    <row r="7852" spans="9:12" x14ac:dyDescent="0.25">
      <c r="I7852" s="3"/>
      <c r="J7852" s="3"/>
      <c r="K7852" s="3"/>
      <c r="L7852" s="3"/>
    </row>
    <row r="7853" spans="9:12" x14ac:dyDescent="0.25">
      <c r="I7853" s="3"/>
      <c r="J7853" s="3"/>
      <c r="K7853" s="3"/>
      <c r="L7853" s="3"/>
    </row>
    <row r="7854" spans="9:12" x14ac:dyDescent="0.25">
      <c r="I7854" s="3"/>
      <c r="J7854" s="3"/>
      <c r="K7854" s="3"/>
      <c r="L7854" s="3"/>
    </row>
    <row r="7855" spans="9:12" x14ac:dyDescent="0.25">
      <c r="I7855" s="3"/>
      <c r="J7855" s="3"/>
      <c r="K7855" s="3"/>
      <c r="L7855" s="3"/>
    </row>
    <row r="7856" spans="9:12" x14ac:dyDescent="0.25">
      <c r="I7856" s="3"/>
      <c r="J7856" s="3"/>
      <c r="K7856" s="3"/>
      <c r="L7856" s="3"/>
    </row>
    <row r="7857" spans="9:12" x14ac:dyDescent="0.25">
      <c r="I7857" s="3"/>
      <c r="J7857" s="3"/>
      <c r="K7857" s="3"/>
      <c r="L7857" s="3"/>
    </row>
    <row r="7858" spans="9:12" x14ac:dyDescent="0.25">
      <c r="I7858" s="3"/>
      <c r="J7858" s="3"/>
      <c r="K7858" s="3"/>
      <c r="L7858" s="3"/>
    </row>
    <row r="7859" spans="9:12" x14ac:dyDescent="0.25">
      <c r="I7859" s="3"/>
      <c r="J7859" s="3"/>
      <c r="K7859" s="3"/>
      <c r="L7859" s="3"/>
    </row>
    <row r="7860" spans="9:12" x14ac:dyDescent="0.25">
      <c r="I7860" s="3"/>
      <c r="J7860" s="3"/>
      <c r="K7860" s="3"/>
      <c r="L7860" s="3"/>
    </row>
    <row r="7861" spans="9:12" x14ac:dyDescent="0.25">
      <c r="I7861" s="3"/>
      <c r="J7861" s="3"/>
      <c r="K7861" s="3"/>
      <c r="L7861" s="3"/>
    </row>
    <row r="7862" spans="9:12" x14ac:dyDescent="0.25">
      <c r="I7862" s="3"/>
      <c r="J7862" s="3"/>
      <c r="K7862" s="3"/>
      <c r="L7862" s="3"/>
    </row>
    <row r="7863" spans="9:12" x14ac:dyDescent="0.25">
      <c r="I7863" s="3"/>
      <c r="J7863" s="3"/>
      <c r="K7863" s="3"/>
      <c r="L7863" s="3"/>
    </row>
    <row r="7864" spans="9:12" x14ac:dyDescent="0.25">
      <c r="I7864" s="3"/>
      <c r="J7864" s="3"/>
      <c r="K7864" s="3"/>
      <c r="L7864" s="3"/>
    </row>
    <row r="7865" spans="9:12" x14ac:dyDescent="0.25">
      <c r="I7865" s="3"/>
      <c r="J7865" s="3"/>
      <c r="K7865" s="3"/>
      <c r="L7865" s="3"/>
    </row>
    <row r="7866" spans="9:12" x14ac:dyDescent="0.25">
      <c r="I7866" s="3"/>
      <c r="J7866" s="3"/>
      <c r="K7866" s="3"/>
      <c r="L7866" s="3"/>
    </row>
    <row r="7867" spans="9:12" x14ac:dyDescent="0.25">
      <c r="I7867" s="3"/>
      <c r="J7867" s="3"/>
      <c r="K7867" s="3"/>
      <c r="L7867" s="3"/>
    </row>
    <row r="7868" spans="9:12" x14ac:dyDescent="0.25">
      <c r="I7868" s="3"/>
      <c r="J7868" s="3"/>
      <c r="K7868" s="3"/>
      <c r="L7868" s="3"/>
    </row>
    <row r="7869" spans="9:12" x14ac:dyDescent="0.25">
      <c r="I7869" s="3"/>
      <c r="J7869" s="3"/>
      <c r="K7869" s="3"/>
      <c r="L7869" s="3"/>
    </row>
    <row r="7870" spans="9:12" x14ac:dyDescent="0.25">
      <c r="I7870" s="3"/>
      <c r="J7870" s="3"/>
      <c r="K7870" s="3"/>
      <c r="L7870" s="3"/>
    </row>
    <row r="7871" spans="9:12" x14ac:dyDescent="0.25">
      <c r="I7871" s="3"/>
      <c r="J7871" s="3"/>
      <c r="K7871" s="3"/>
      <c r="L7871" s="3"/>
    </row>
    <row r="7872" spans="9:12" x14ac:dyDescent="0.25">
      <c r="I7872" s="3"/>
      <c r="J7872" s="3"/>
      <c r="K7872" s="3"/>
      <c r="L7872" s="3"/>
    </row>
    <row r="7873" spans="9:12" x14ac:dyDescent="0.25">
      <c r="I7873" s="3"/>
      <c r="J7873" s="3"/>
      <c r="K7873" s="3"/>
      <c r="L7873" s="3"/>
    </row>
    <row r="7874" spans="9:12" x14ac:dyDescent="0.25">
      <c r="I7874" s="3"/>
      <c r="J7874" s="3"/>
      <c r="K7874" s="3"/>
      <c r="L7874" s="3"/>
    </row>
    <row r="7875" spans="9:12" x14ac:dyDescent="0.25">
      <c r="I7875" s="3"/>
      <c r="J7875" s="3"/>
      <c r="K7875" s="3"/>
      <c r="L7875" s="3"/>
    </row>
    <row r="7876" spans="9:12" x14ac:dyDescent="0.25">
      <c r="I7876" s="3"/>
      <c r="J7876" s="3"/>
      <c r="K7876" s="3"/>
      <c r="L7876" s="3"/>
    </row>
    <row r="7877" spans="9:12" x14ac:dyDescent="0.25">
      <c r="I7877" s="3"/>
      <c r="J7877" s="3"/>
      <c r="K7877" s="3"/>
      <c r="L7877" s="3"/>
    </row>
    <row r="7878" spans="9:12" x14ac:dyDescent="0.25">
      <c r="I7878" s="3"/>
      <c r="J7878" s="3"/>
      <c r="K7878" s="3"/>
      <c r="L7878" s="3"/>
    </row>
    <row r="7879" spans="9:12" x14ac:dyDescent="0.25">
      <c r="I7879" s="3"/>
      <c r="J7879" s="3"/>
      <c r="K7879" s="3"/>
      <c r="L7879" s="3"/>
    </row>
    <row r="7880" spans="9:12" x14ac:dyDescent="0.25">
      <c r="I7880" s="3"/>
      <c r="J7880" s="3"/>
      <c r="K7880" s="3"/>
      <c r="L7880" s="3"/>
    </row>
    <row r="7881" spans="9:12" x14ac:dyDescent="0.25">
      <c r="I7881" s="3"/>
      <c r="J7881" s="3"/>
      <c r="K7881" s="3"/>
      <c r="L7881" s="3"/>
    </row>
    <row r="7882" spans="9:12" x14ac:dyDescent="0.25">
      <c r="I7882" s="3"/>
      <c r="J7882" s="3"/>
      <c r="K7882" s="3"/>
      <c r="L7882" s="3"/>
    </row>
    <row r="7883" spans="9:12" x14ac:dyDescent="0.25">
      <c r="I7883" s="3"/>
      <c r="J7883" s="3"/>
      <c r="K7883" s="3"/>
      <c r="L7883" s="3"/>
    </row>
    <row r="7884" spans="9:12" x14ac:dyDescent="0.25">
      <c r="I7884" s="3"/>
      <c r="J7884" s="3"/>
      <c r="K7884" s="3"/>
      <c r="L7884" s="3"/>
    </row>
    <row r="7885" spans="9:12" x14ac:dyDescent="0.25">
      <c r="I7885" s="3"/>
      <c r="J7885" s="3"/>
      <c r="K7885" s="3"/>
      <c r="L7885" s="3"/>
    </row>
    <row r="7886" spans="9:12" x14ac:dyDescent="0.25">
      <c r="I7886" s="3"/>
      <c r="J7886" s="3"/>
      <c r="K7886" s="3"/>
      <c r="L7886" s="3"/>
    </row>
    <row r="7887" spans="9:12" x14ac:dyDescent="0.25">
      <c r="I7887" s="3"/>
      <c r="J7887" s="3"/>
      <c r="K7887" s="3"/>
      <c r="L7887" s="3"/>
    </row>
    <row r="7888" spans="9:12" x14ac:dyDescent="0.25">
      <c r="I7888" s="3"/>
      <c r="J7888" s="3"/>
      <c r="K7888" s="3"/>
      <c r="L7888" s="3"/>
    </row>
    <row r="7889" spans="9:12" x14ac:dyDescent="0.25">
      <c r="I7889" s="3"/>
      <c r="J7889" s="3"/>
      <c r="K7889" s="3"/>
      <c r="L7889" s="3"/>
    </row>
    <row r="7890" spans="9:12" x14ac:dyDescent="0.25">
      <c r="I7890" s="3"/>
      <c r="J7890" s="3"/>
      <c r="K7890" s="3"/>
      <c r="L7890" s="3"/>
    </row>
    <row r="7891" spans="9:12" x14ac:dyDescent="0.25">
      <c r="I7891" s="3"/>
      <c r="J7891" s="3"/>
      <c r="K7891" s="3"/>
      <c r="L7891" s="3"/>
    </row>
    <row r="7892" spans="9:12" x14ac:dyDescent="0.25">
      <c r="I7892" s="3"/>
      <c r="J7892" s="3"/>
      <c r="K7892" s="3"/>
      <c r="L7892" s="3"/>
    </row>
    <row r="7893" spans="9:12" x14ac:dyDescent="0.25">
      <c r="I7893" s="3"/>
      <c r="J7893" s="3"/>
      <c r="K7893" s="3"/>
      <c r="L7893" s="3"/>
    </row>
    <row r="7894" spans="9:12" x14ac:dyDescent="0.25">
      <c r="I7894" s="3"/>
      <c r="J7894" s="3"/>
      <c r="K7894" s="3"/>
      <c r="L7894" s="3"/>
    </row>
    <row r="7895" spans="9:12" x14ac:dyDescent="0.25">
      <c r="I7895" s="3"/>
      <c r="J7895" s="3"/>
      <c r="K7895" s="3"/>
      <c r="L7895" s="3"/>
    </row>
    <row r="7896" spans="9:12" x14ac:dyDescent="0.25">
      <c r="I7896" s="3"/>
      <c r="J7896" s="3"/>
      <c r="K7896" s="3"/>
      <c r="L7896" s="3"/>
    </row>
    <row r="7897" spans="9:12" x14ac:dyDescent="0.25">
      <c r="I7897" s="3"/>
      <c r="J7897" s="3"/>
      <c r="K7897" s="3"/>
      <c r="L7897" s="3"/>
    </row>
    <row r="7898" spans="9:12" x14ac:dyDescent="0.25">
      <c r="I7898" s="3"/>
      <c r="J7898" s="3"/>
      <c r="K7898" s="3"/>
      <c r="L7898" s="3"/>
    </row>
    <row r="7899" spans="9:12" x14ac:dyDescent="0.25">
      <c r="I7899" s="3"/>
      <c r="J7899" s="3"/>
      <c r="K7899" s="3"/>
      <c r="L7899" s="3"/>
    </row>
    <row r="7900" spans="9:12" x14ac:dyDescent="0.25">
      <c r="I7900" s="3"/>
      <c r="J7900" s="3"/>
      <c r="K7900" s="3"/>
      <c r="L7900" s="3"/>
    </row>
    <row r="7901" spans="9:12" x14ac:dyDescent="0.25">
      <c r="I7901" s="3"/>
      <c r="J7901" s="3"/>
      <c r="K7901" s="3"/>
      <c r="L7901" s="3"/>
    </row>
    <row r="7902" spans="9:12" x14ac:dyDescent="0.25">
      <c r="I7902" s="3"/>
      <c r="J7902" s="3"/>
      <c r="K7902" s="3"/>
      <c r="L7902" s="3"/>
    </row>
    <row r="7903" spans="9:12" x14ac:dyDescent="0.25">
      <c r="I7903" s="3"/>
      <c r="J7903" s="3"/>
      <c r="K7903" s="3"/>
      <c r="L7903" s="3"/>
    </row>
    <row r="7904" spans="9:12" x14ac:dyDescent="0.25">
      <c r="I7904" s="3"/>
      <c r="J7904" s="3"/>
      <c r="K7904" s="3"/>
      <c r="L7904" s="3"/>
    </row>
    <row r="7905" spans="9:12" x14ac:dyDescent="0.25">
      <c r="I7905" s="3"/>
      <c r="J7905" s="3"/>
      <c r="K7905" s="3"/>
      <c r="L7905" s="3"/>
    </row>
    <row r="7906" spans="9:12" x14ac:dyDescent="0.25">
      <c r="I7906" s="3"/>
      <c r="J7906" s="3"/>
      <c r="K7906" s="3"/>
      <c r="L7906" s="3"/>
    </row>
    <row r="7907" spans="9:12" x14ac:dyDescent="0.25">
      <c r="I7907" s="3"/>
      <c r="J7907" s="3"/>
      <c r="K7907" s="3"/>
      <c r="L7907" s="3"/>
    </row>
    <row r="7908" spans="9:12" x14ac:dyDescent="0.25">
      <c r="I7908" s="3"/>
      <c r="J7908" s="3"/>
      <c r="K7908" s="3"/>
      <c r="L7908" s="3"/>
    </row>
    <row r="7909" spans="9:12" x14ac:dyDescent="0.25">
      <c r="I7909" s="3"/>
      <c r="J7909" s="3"/>
      <c r="K7909" s="3"/>
      <c r="L7909" s="3"/>
    </row>
    <row r="7910" spans="9:12" x14ac:dyDescent="0.25">
      <c r="I7910" s="3"/>
      <c r="J7910" s="3"/>
      <c r="K7910" s="3"/>
      <c r="L7910" s="3"/>
    </row>
    <row r="7911" spans="9:12" x14ac:dyDescent="0.25">
      <c r="I7911" s="3"/>
      <c r="J7911" s="3"/>
      <c r="K7911" s="3"/>
      <c r="L7911" s="3"/>
    </row>
    <row r="7912" spans="9:12" x14ac:dyDescent="0.25">
      <c r="I7912" s="3"/>
      <c r="J7912" s="3"/>
      <c r="K7912" s="3"/>
      <c r="L7912" s="3"/>
    </row>
    <row r="7913" spans="9:12" x14ac:dyDescent="0.25">
      <c r="I7913" s="3"/>
      <c r="J7913" s="3"/>
      <c r="K7913" s="3"/>
      <c r="L7913" s="3"/>
    </row>
    <row r="7914" spans="9:12" x14ac:dyDescent="0.25">
      <c r="I7914" s="3"/>
      <c r="J7914" s="3"/>
      <c r="K7914" s="3"/>
      <c r="L7914" s="3"/>
    </row>
    <row r="7915" spans="9:12" x14ac:dyDescent="0.25">
      <c r="I7915" s="3"/>
      <c r="J7915" s="3"/>
      <c r="K7915" s="3"/>
      <c r="L7915" s="3"/>
    </row>
    <row r="7916" spans="9:12" x14ac:dyDescent="0.25">
      <c r="I7916" s="3"/>
      <c r="J7916" s="3"/>
      <c r="K7916" s="3"/>
      <c r="L7916" s="3"/>
    </row>
    <row r="7917" spans="9:12" x14ac:dyDescent="0.25">
      <c r="I7917" s="3"/>
      <c r="J7917" s="3"/>
      <c r="K7917" s="3"/>
      <c r="L7917" s="3"/>
    </row>
    <row r="7918" spans="9:12" x14ac:dyDescent="0.25">
      <c r="I7918" s="3"/>
      <c r="J7918" s="3"/>
      <c r="K7918" s="3"/>
      <c r="L7918" s="3"/>
    </row>
    <row r="7919" spans="9:12" x14ac:dyDescent="0.25">
      <c r="I7919" s="3"/>
      <c r="J7919" s="3"/>
      <c r="K7919" s="3"/>
      <c r="L7919" s="3"/>
    </row>
    <row r="7920" spans="9:12" x14ac:dyDescent="0.25">
      <c r="I7920" s="3"/>
      <c r="J7920" s="3"/>
      <c r="K7920" s="3"/>
      <c r="L7920" s="3"/>
    </row>
    <row r="7921" spans="9:12" x14ac:dyDescent="0.25">
      <c r="I7921" s="3"/>
      <c r="J7921" s="3"/>
      <c r="K7921" s="3"/>
      <c r="L7921" s="3"/>
    </row>
    <row r="7922" spans="9:12" x14ac:dyDescent="0.25">
      <c r="I7922" s="3"/>
      <c r="J7922" s="3"/>
      <c r="K7922" s="3"/>
      <c r="L7922" s="3"/>
    </row>
    <row r="7923" spans="9:12" x14ac:dyDescent="0.25">
      <c r="I7923" s="3"/>
      <c r="J7923" s="3"/>
      <c r="K7923" s="3"/>
      <c r="L7923" s="3"/>
    </row>
    <row r="7924" spans="9:12" x14ac:dyDescent="0.25">
      <c r="I7924" s="3"/>
      <c r="J7924" s="3"/>
      <c r="K7924" s="3"/>
      <c r="L7924" s="3"/>
    </row>
    <row r="7925" spans="9:12" x14ac:dyDescent="0.25">
      <c r="I7925" s="3"/>
      <c r="J7925" s="3"/>
      <c r="K7925" s="3"/>
      <c r="L7925" s="3"/>
    </row>
    <row r="7926" spans="9:12" x14ac:dyDescent="0.25">
      <c r="I7926" s="3"/>
      <c r="J7926" s="3"/>
      <c r="K7926" s="3"/>
      <c r="L7926" s="3"/>
    </row>
    <row r="7927" spans="9:12" x14ac:dyDescent="0.25">
      <c r="I7927" s="5"/>
      <c r="J7927" s="5"/>
      <c r="K7927" s="5"/>
      <c r="L7927" s="5"/>
    </row>
    <row r="7928" spans="9:12" x14ac:dyDescent="0.25">
      <c r="I7928" s="3"/>
      <c r="J7928" s="3"/>
      <c r="K7928" s="3"/>
      <c r="L7928" s="3"/>
    </row>
    <row r="7929" spans="9:12" x14ac:dyDescent="0.25">
      <c r="I7929" s="3"/>
      <c r="J7929" s="3"/>
      <c r="K7929" s="3"/>
      <c r="L7929" s="3"/>
    </row>
    <row r="7930" spans="9:12" x14ac:dyDescent="0.25">
      <c r="I7930" s="3"/>
      <c r="J7930" s="3"/>
      <c r="K7930" s="3"/>
      <c r="L7930" s="3"/>
    </row>
    <row r="7931" spans="9:12" x14ac:dyDescent="0.25">
      <c r="I7931" s="3"/>
      <c r="J7931" s="3"/>
      <c r="K7931" s="3"/>
      <c r="L7931" s="3"/>
    </row>
    <row r="7932" spans="9:12" x14ac:dyDescent="0.25">
      <c r="I7932" s="3"/>
      <c r="J7932" s="3"/>
      <c r="K7932" s="3"/>
      <c r="L7932" s="3"/>
    </row>
    <row r="7933" spans="9:12" x14ac:dyDescent="0.25">
      <c r="I7933" s="3"/>
      <c r="J7933" s="3"/>
      <c r="K7933" s="3"/>
      <c r="L7933" s="3"/>
    </row>
    <row r="7934" spans="9:12" x14ac:dyDescent="0.25">
      <c r="I7934" s="3"/>
      <c r="J7934" s="3"/>
      <c r="K7934" s="3"/>
      <c r="L7934" s="3"/>
    </row>
    <row r="7935" spans="9:12" x14ac:dyDescent="0.25">
      <c r="I7935" s="3"/>
      <c r="J7935" s="3"/>
      <c r="K7935" s="3"/>
      <c r="L7935" s="3"/>
    </row>
    <row r="7936" spans="9:12" x14ac:dyDescent="0.25">
      <c r="I7936" s="3"/>
      <c r="J7936" s="3"/>
      <c r="K7936" s="3"/>
      <c r="L7936" s="3"/>
    </row>
    <row r="7937" spans="9:12" x14ac:dyDescent="0.25">
      <c r="I7937" s="3"/>
      <c r="J7937" s="3"/>
      <c r="K7937" s="3"/>
      <c r="L7937" s="3"/>
    </row>
    <row r="7938" spans="9:12" x14ac:dyDescent="0.25">
      <c r="I7938" s="3"/>
      <c r="J7938" s="3"/>
      <c r="K7938" s="3"/>
      <c r="L7938" s="3"/>
    </row>
    <row r="7939" spans="9:12" x14ac:dyDescent="0.25">
      <c r="I7939" s="3"/>
      <c r="J7939" s="3"/>
      <c r="K7939" s="3"/>
      <c r="L7939" s="3"/>
    </row>
    <row r="7940" spans="9:12" x14ac:dyDescent="0.25">
      <c r="I7940" s="3"/>
      <c r="J7940" s="3"/>
      <c r="K7940" s="3"/>
      <c r="L7940" s="3"/>
    </row>
    <row r="7941" spans="9:12" x14ac:dyDescent="0.25">
      <c r="I7941" s="3"/>
      <c r="J7941" s="3"/>
      <c r="K7941" s="3"/>
      <c r="L7941" s="3"/>
    </row>
    <row r="7942" spans="9:12" x14ac:dyDescent="0.25">
      <c r="I7942" s="3"/>
      <c r="J7942" s="3"/>
      <c r="K7942" s="3"/>
      <c r="L7942" s="3"/>
    </row>
    <row r="7943" spans="9:12" x14ac:dyDescent="0.25">
      <c r="I7943" s="3"/>
      <c r="J7943" s="3"/>
      <c r="K7943" s="3"/>
      <c r="L7943" s="3"/>
    </row>
    <row r="7944" spans="9:12" x14ac:dyDescent="0.25">
      <c r="I7944" s="3"/>
      <c r="J7944" s="3"/>
      <c r="K7944" s="3"/>
      <c r="L7944" s="3"/>
    </row>
    <row r="7945" spans="9:12" x14ac:dyDescent="0.25">
      <c r="I7945" s="3"/>
      <c r="J7945" s="3"/>
      <c r="K7945" s="3"/>
      <c r="L7945" s="3"/>
    </row>
    <row r="7946" spans="9:12" x14ac:dyDescent="0.25">
      <c r="I7946" s="3"/>
      <c r="J7946" s="3"/>
      <c r="K7946" s="3"/>
      <c r="L7946" s="3"/>
    </row>
    <row r="7947" spans="9:12" x14ac:dyDescent="0.25">
      <c r="I7947" s="3"/>
      <c r="J7947" s="3"/>
      <c r="K7947" s="3"/>
      <c r="L7947" s="3"/>
    </row>
    <row r="7948" spans="9:12" x14ac:dyDescent="0.25">
      <c r="I7948" s="3"/>
      <c r="J7948" s="3"/>
      <c r="K7948" s="3"/>
      <c r="L7948" s="3"/>
    </row>
    <row r="7949" spans="9:12" x14ac:dyDescent="0.25">
      <c r="I7949" s="3"/>
      <c r="J7949" s="3"/>
      <c r="K7949" s="3"/>
      <c r="L7949" s="3"/>
    </row>
    <row r="7950" spans="9:12" x14ac:dyDescent="0.25">
      <c r="I7950" s="3"/>
      <c r="J7950" s="3"/>
      <c r="K7950" s="3"/>
      <c r="L7950" s="3"/>
    </row>
    <row r="7951" spans="9:12" x14ac:dyDescent="0.25">
      <c r="I7951" s="3"/>
      <c r="J7951" s="3"/>
      <c r="K7951" s="3"/>
      <c r="L7951" s="3"/>
    </row>
    <row r="7952" spans="9:12" x14ac:dyDescent="0.25">
      <c r="I7952" s="3"/>
      <c r="J7952" s="3"/>
      <c r="K7952" s="3"/>
      <c r="L7952" s="3"/>
    </row>
    <row r="7953" spans="9:12" x14ac:dyDescent="0.25">
      <c r="I7953" s="3"/>
      <c r="J7953" s="3"/>
      <c r="K7953" s="3"/>
      <c r="L7953" s="3"/>
    </row>
    <row r="7954" spans="9:12" x14ac:dyDescent="0.25">
      <c r="I7954" s="3"/>
      <c r="J7954" s="3"/>
      <c r="K7954" s="3"/>
      <c r="L7954" s="3"/>
    </row>
    <row r="7955" spans="9:12" x14ac:dyDescent="0.25">
      <c r="I7955" s="3"/>
      <c r="J7955" s="3"/>
      <c r="K7955" s="3"/>
      <c r="L7955" s="3"/>
    </row>
    <row r="7956" spans="9:12" x14ac:dyDescent="0.25">
      <c r="I7956" s="3"/>
      <c r="J7956" s="3"/>
      <c r="K7956" s="3"/>
      <c r="L7956" s="3"/>
    </row>
    <row r="7957" spans="9:12" x14ac:dyDescent="0.25">
      <c r="I7957" s="3"/>
      <c r="J7957" s="3"/>
      <c r="K7957" s="3"/>
      <c r="L7957" s="3"/>
    </row>
    <row r="7958" spans="9:12" x14ac:dyDescent="0.25">
      <c r="I7958" s="3"/>
      <c r="J7958" s="3"/>
      <c r="K7958" s="3"/>
      <c r="L7958" s="3"/>
    </row>
    <row r="7959" spans="9:12" x14ac:dyDescent="0.25">
      <c r="I7959" s="3"/>
      <c r="J7959" s="3"/>
      <c r="K7959" s="3"/>
      <c r="L7959" s="3"/>
    </row>
    <row r="7960" spans="9:12" x14ac:dyDescent="0.25">
      <c r="I7960" s="3"/>
      <c r="J7960" s="3"/>
      <c r="K7960" s="3"/>
      <c r="L7960" s="3"/>
    </row>
    <row r="7961" spans="9:12" x14ac:dyDescent="0.25">
      <c r="I7961" s="3"/>
      <c r="J7961" s="3"/>
      <c r="K7961" s="3"/>
      <c r="L7961" s="3"/>
    </row>
    <row r="7962" spans="9:12" x14ac:dyDescent="0.25">
      <c r="I7962" s="3"/>
      <c r="J7962" s="3"/>
      <c r="K7962" s="3"/>
      <c r="L7962" s="3"/>
    </row>
    <row r="7963" spans="9:12" x14ac:dyDescent="0.25">
      <c r="I7963" s="3"/>
      <c r="J7963" s="3"/>
      <c r="K7963" s="3"/>
      <c r="L7963" s="3"/>
    </row>
    <row r="7964" spans="9:12" x14ac:dyDescent="0.25">
      <c r="I7964" s="3"/>
      <c r="J7964" s="3"/>
      <c r="K7964" s="3"/>
      <c r="L7964" s="3"/>
    </row>
    <row r="7965" spans="9:12" x14ac:dyDescent="0.25">
      <c r="I7965" s="3"/>
      <c r="J7965" s="3"/>
      <c r="K7965" s="3"/>
      <c r="L7965" s="3"/>
    </row>
    <row r="7966" spans="9:12" x14ac:dyDescent="0.25">
      <c r="I7966" s="3"/>
      <c r="J7966" s="3"/>
      <c r="K7966" s="3"/>
      <c r="L7966" s="3"/>
    </row>
    <row r="7967" spans="9:12" x14ac:dyDescent="0.25">
      <c r="I7967" s="3"/>
      <c r="J7967" s="3"/>
      <c r="K7967" s="3"/>
      <c r="L7967" s="3"/>
    </row>
    <row r="7968" spans="9:12" x14ac:dyDescent="0.25">
      <c r="I7968" s="3"/>
      <c r="J7968" s="3"/>
      <c r="K7968" s="3"/>
      <c r="L7968" s="3"/>
    </row>
    <row r="7969" spans="9:12" x14ac:dyDescent="0.25">
      <c r="I7969" s="3"/>
      <c r="J7969" s="3"/>
      <c r="K7969" s="3"/>
      <c r="L7969" s="3"/>
    </row>
    <row r="7970" spans="9:12" x14ac:dyDescent="0.25">
      <c r="I7970" s="3"/>
      <c r="J7970" s="3"/>
      <c r="K7970" s="3"/>
      <c r="L7970" s="3"/>
    </row>
    <row r="7971" spans="9:12" x14ac:dyDescent="0.25">
      <c r="I7971" s="3"/>
      <c r="J7971" s="3"/>
      <c r="K7971" s="3"/>
      <c r="L7971" s="3"/>
    </row>
    <row r="7972" spans="9:12" x14ac:dyDescent="0.25">
      <c r="I7972" s="3"/>
      <c r="J7972" s="3"/>
      <c r="K7972" s="3"/>
      <c r="L7972" s="3"/>
    </row>
    <row r="7973" spans="9:12" x14ac:dyDescent="0.25">
      <c r="I7973" s="3"/>
      <c r="J7973" s="3"/>
      <c r="K7973" s="3"/>
      <c r="L7973" s="3"/>
    </row>
    <row r="7974" spans="9:12" x14ac:dyDescent="0.25">
      <c r="I7974" s="3"/>
      <c r="J7974" s="3"/>
      <c r="K7974" s="3"/>
      <c r="L7974" s="3"/>
    </row>
    <row r="7975" spans="9:12" x14ac:dyDescent="0.25">
      <c r="I7975" s="3"/>
      <c r="J7975" s="3"/>
      <c r="K7975" s="3"/>
      <c r="L7975" s="3"/>
    </row>
    <row r="7976" spans="9:12" x14ac:dyDescent="0.25">
      <c r="I7976" s="3"/>
      <c r="J7976" s="3"/>
      <c r="K7976" s="3"/>
      <c r="L7976" s="3"/>
    </row>
    <row r="7977" spans="9:12" x14ac:dyDescent="0.25">
      <c r="I7977" s="3"/>
      <c r="J7977" s="3"/>
      <c r="K7977" s="3"/>
      <c r="L7977" s="3"/>
    </row>
    <row r="7978" spans="9:12" x14ac:dyDescent="0.25">
      <c r="I7978" s="3"/>
      <c r="J7978" s="3"/>
      <c r="K7978" s="3"/>
      <c r="L7978" s="3"/>
    </row>
    <row r="7979" spans="9:12" x14ac:dyDescent="0.25">
      <c r="I7979" s="3"/>
      <c r="J7979" s="3"/>
      <c r="K7979" s="3"/>
      <c r="L7979" s="3"/>
    </row>
    <row r="7980" spans="9:12" x14ac:dyDescent="0.25">
      <c r="I7980" s="3"/>
      <c r="J7980" s="3"/>
      <c r="K7980" s="3"/>
      <c r="L7980" s="3"/>
    </row>
    <row r="7981" spans="9:12" x14ac:dyDescent="0.25">
      <c r="I7981" s="3"/>
      <c r="J7981" s="3"/>
      <c r="K7981" s="3"/>
      <c r="L7981" s="3"/>
    </row>
    <row r="7982" spans="9:12" x14ac:dyDescent="0.25">
      <c r="I7982" s="3"/>
      <c r="J7982" s="3"/>
      <c r="K7982" s="3"/>
      <c r="L7982" s="3"/>
    </row>
    <row r="7983" spans="9:12" x14ac:dyDescent="0.25">
      <c r="I7983" s="3"/>
      <c r="J7983" s="3"/>
      <c r="K7983" s="3"/>
      <c r="L7983" s="3"/>
    </row>
    <row r="7984" spans="9:12" x14ac:dyDescent="0.25">
      <c r="I7984" s="3"/>
      <c r="J7984" s="3"/>
      <c r="K7984" s="3"/>
      <c r="L7984" s="3"/>
    </row>
    <row r="7985" spans="9:12" x14ac:dyDescent="0.25">
      <c r="I7985" s="3"/>
      <c r="J7985" s="3"/>
      <c r="K7985" s="3"/>
      <c r="L7985" s="3"/>
    </row>
    <row r="7986" spans="9:12" x14ac:dyDescent="0.25">
      <c r="I7986" s="3"/>
      <c r="J7986" s="3"/>
      <c r="K7986" s="3"/>
      <c r="L7986" s="3"/>
    </row>
    <row r="7987" spans="9:12" x14ac:dyDescent="0.25">
      <c r="I7987" s="3"/>
      <c r="J7987" s="3"/>
      <c r="K7987" s="3"/>
      <c r="L7987" s="3"/>
    </row>
    <row r="7988" spans="9:12" x14ac:dyDescent="0.25">
      <c r="I7988" s="3"/>
      <c r="J7988" s="3"/>
      <c r="K7988" s="3"/>
      <c r="L7988" s="3"/>
    </row>
    <row r="7989" spans="9:12" x14ac:dyDescent="0.25">
      <c r="I7989" s="3"/>
      <c r="J7989" s="3"/>
      <c r="K7989" s="3"/>
      <c r="L7989" s="3"/>
    </row>
    <row r="7990" spans="9:12" x14ac:dyDescent="0.25">
      <c r="I7990" s="3"/>
      <c r="J7990" s="3"/>
      <c r="K7990" s="3"/>
      <c r="L7990" s="3"/>
    </row>
    <row r="7991" spans="9:12" x14ac:dyDescent="0.25">
      <c r="I7991" s="3"/>
      <c r="J7991" s="3"/>
      <c r="K7991" s="3"/>
      <c r="L7991" s="3"/>
    </row>
    <row r="7992" spans="9:12" x14ac:dyDescent="0.25">
      <c r="I7992" s="3"/>
      <c r="J7992" s="3"/>
      <c r="K7992" s="3"/>
      <c r="L7992" s="3"/>
    </row>
    <row r="7993" spans="9:12" x14ac:dyDescent="0.25">
      <c r="I7993" s="3"/>
      <c r="J7993" s="3"/>
      <c r="K7993" s="3"/>
      <c r="L7993" s="3"/>
    </row>
    <row r="7994" spans="9:12" x14ac:dyDescent="0.25">
      <c r="I7994" s="3"/>
      <c r="J7994" s="3"/>
      <c r="K7994" s="3"/>
      <c r="L7994" s="3"/>
    </row>
    <row r="7995" spans="9:12" x14ac:dyDescent="0.25">
      <c r="I7995" s="3"/>
      <c r="J7995" s="3"/>
      <c r="K7995" s="3"/>
      <c r="L7995" s="3"/>
    </row>
    <row r="7996" spans="9:12" x14ac:dyDescent="0.25">
      <c r="I7996" s="3"/>
      <c r="J7996" s="3"/>
      <c r="K7996" s="3"/>
      <c r="L7996" s="3"/>
    </row>
    <row r="7997" spans="9:12" x14ac:dyDescent="0.25">
      <c r="I7997" s="3"/>
      <c r="J7997" s="3"/>
      <c r="K7997" s="3"/>
      <c r="L7997" s="3"/>
    </row>
    <row r="7998" spans="9:12" x14ac:dyDescent="0.25">
      <c r="I7998" s="3"/>
      <c r="J7998" s="3"/>
      <c r="K7998" s="3"/>
      <c r="L7998" s="3"/>
    </row>
    <row r="7999" spans="9:12" x14ac:dyDescent="0.25">
      <c r="I7999" s="3"/>
      <c r="J7999" s="3"/>
      <c r="K7999" s="3"/>
      <c r="L7999" s="3"/>
    </row>
    <row r="8000" spans="9:12" x14ac:dyDescent="0.25">
      <c r="I8000" s="3"/>
      <c r="J8000" s="3"/>
      <c r="K8000" s="3"/>
      <c r="L8000" s="3"/>
    </row>
    <row r="8001" spans="9:12" x14ac:dyDescent="0.25">
      <c r="I8001" s="3"/>
      <c r="J8001" s="3"/>
      <c r="K8001" s="3"/>
      <c r="L8001" s="3"/>
    </row>
    <row r="8002" spans="9:12" x14ac:dyDescent="0.25">
      <c r="I8002" s="3"/>
      <c r="J8002" s="3"/>
      <c r="K8002" s="3"/>
      <c r="L8002" s="3"/>
    </row>
    <row r="8003" spans="9:12" x14ac:dyDescent="0.25">
      <c r="I8003" s="3"/>
      <c r="J8003" s="3"/>
      <c r="K8003" s="3"/>
      <c r="L8003" s="3"/>
    </row>
    <row r="8004" spans="9:12" x14ac:dyDescent="0.25">
      <c r="I8004" s="3"/>
      <c r="J8004" s="3"/>
      <c r="K8004" s="3"/>
      <c r="L8004" s="3"/>
    </row>
    <row r="8005" spans="9:12" x14ac:dyDescent="0.25">
      <c r="I8005" s="3"/>
      <c r="J8005" s="3"/>
      <c r="K8005" s="3"/>
      <c r="L8005" s="3"/>
    </row>
    <row r="8006" spans="9:12" x14ac:dyDescent="0.25">
      <c r="I8006" s="3"/>
      <c r="J8006" s="3"/>
      <c r="K8006" s="3"/>
      <c r="L8006" s="3"/>
    </row>
    <row r="8007" spans="9:12" x14ac:dyDescent="0.25">
      <c r="I8007" s="3"/>
      <c r="J8007" s="3"/>
      <c r="K8007" s="3"/>
      <c r="L8007" s="3"/>
    </row>
    <row r="8008" spans="9:12" x14ac:dyDescent="0.25">
      <c r="I8008" s="3"/>
      <c r="J8008" s="3"/>
      <c r="K8008" s="3"/>
      <c r="L8008" s="3"/>
    </row>
    <row r="8009" spans="9:12" x14ac:dyDescent="0.25">
      <c r="I8009" s="3"/>
      <c r="J8009" s="3"/>
      <c r="K8009" s="3"/>
      <c r="L8009" s="3"/>
    </row>
    <row r="8010" spans="9:12" x14ac:dyDescent="0.25">
      <c r="I8010" s="3"/>
      <c r="J8010" s="3"/>
      <c r="K8010" s="3"/>
      <c r="L8010" s="3"/>
    </row>
    <row r="8011" spans="9:12" x14ac:dyDescent="0.25">
      <c r="I8011" s="3"/>
      <c r="J8011" s="3"/>
      <c r="K8011" s="3"/>
      <c r="L8011" s="3"/>
    </row>
    <row r="8012" spans="9:12" x14ac:dyDescent="0.25">
      <c r="I8012" s="3"/>
      <c r="J8012" s="3"/>
      <c r="K8012" s="3"/>
      <c r="L8012" s="3"/>
    </row>
    <row r="8013" spans="9:12" x14ac:dyDescent="0.25">
      <c r="I8013" s="3"/>
      <c r="J8013" s="3"/>
      <c r="K8013" s="3"/>
      <c r="L8013" s="3"/>
    </row>
    <row r="8014" spans="9:12" x14ac:dyDescent="0.25">
      <c r="I8014" s="3"/>
      <c r="J8014" s="3"/>
      <c r="K8014" s="3"/>
      <c r="L8014" s="3"/>
    </row>
    <row r="8015" spans="9:12" x14ac:dyDescent="0.25">
      <c r="I8015" s="3"/>
      <c r="J8015" s="3"/>
      <c r="K8015" s="3"/>
      <c r="L8015" s="3"/>
    </row>
    <row r="8016" spans="9:12" x14ac:dyDescent="0.25">
      <c r="I8016" s="3"/>
      <c r="J8016" s="3"/>
      <c r="K8016" s="3"/>
      <c r="L8016" s="3"/>
    </row>
    <row r="8017" spans="9:12" x14ac:dyDescent="0.25">
      <c r="I8017" s="3"/>
      <c r="J8017" s="3"/>
      <c r="K8017" s="3"/>
      <c r="L8017" s="3"/>
    </row>
    <row r="8018" spans="9:12" x14ac:dyDescent="0.25">
      <c r="I8018" s="3"/>
      <c r="J8018" s="3"/>
      <c r="K8018" s="3"/>
      <c r="L8018" s="3"/>
    </row>
    <row r="8019" spans="9:12" x14ac:dyDescent="0.25">
      <c r="I8019" s="3"/>
      <c r="J8019" s="3"/>
      <c r="K8019" s="3"/>
      <c r="L8019" s="3"/>
    </row>
    <row r="8020" spans="9:12" x14ac:dyDescent="0.25">
      <c r="I8020" s="3"/>
      <c r="J8020" s="3"/>
      <c r="K8020" s="3"/>
      <c r="L8020" s="3"/>
    </row>
    <row r="8021" spans="9:12" x14ac:dyDescent="0.25">
      <c r="I8021" s="3"/>
      <c r="J8021" s="3"/>
      <c r="K8021" s="3"/>
      <c r="L8021" s="3"/>
    </row>
    <row r="8022" spans="9:12" x14ac:dyDescent="0.25">
      <c r="I8022" s="3"/>
      <c r="J8022" s="3"/>
      <c r="K8022" s="3"/>
      <c r="L8022" s="3"/>
    </row>
    <row r="8023" spans="9:12" x14ac:dyDescent="0.25">
      <c r="I8023" s="3"/>
      <c r="J8023" s="3"/>
      <c r="K8023" s="3"/>
      <c r="L8023" s="3"/>
    </row>
    <row r="8024" spans="9:12" x14ac:dyDescent="0.25">
      <c r="I8024" s="3"/>
      <c r="J8024" s="3"/>
      <c r="K8024" s="3"/>
      <c r="L8024" s="3"/>
    </row>
    <row r="8025" spans="9:12" x14ac:dyDescent="0.25">
      <c r="I8025" s="3"/>
      <c r="J8025" s="3"/>
      <c r="K8025" s="3"/>
      <c r="L8025" s="3"/>
    </row>
    <row r="8026" spans="9:12" x14ac:dyDescent="0.25">
      <c r="I8026" s="3"/>
      <c r="J8026" s="3"/>
      <c r="K8026" s="3"/>
      <c r="L8026" s="3"/>
    </row>
    <row r="8027" spans="9:12" x14ac:dyDescent="0.25">
      <c r="I8027" s="3"/>
      <c r="J8027" s="3"/>
      <c r="K8027" s="3"/>
      <c r="L8027" s="3"/>
    </row>
    <row r="8028" spans="9:12" x14ac:dyDescent="0.25">
      <c r="I8028" s="3"/>
      <c r="J8028" s="3"/>
      <c r="K8028" s="3"/>
      <c r="L8028" s="3"/>
    </row>
    <row r="8029" spans="9:12" x14ac:dyDescent="0.25">
      <c r="I8029" s="3"/>
      <c r="J8029" s="3"/>
      <c r="K8029" s="3"/>
      <c r="L8029" s="3"/>
    </row>
    <row r="8030" spans="9:12" x14ac:dyDescent="0.25">
      <c r="I8030" s="3"/>
      <c r="J8030" s="3"/>
      <c r="K8030" s="3"/>
      <c r="L8030" s="3"/>
    </row>
    <row r="8031" spans="9:12" x14ac:dyDescent="0.25">
      <c r="I8031" s="3"/>
      <c r="J8031" s="3"/>
      <c r="K8031" s="3"/>
      <c r="L8031" s="3"/>
    </row>
    <row r="8032" spans="9:12" x14ac:dyDescent="0.25">
      <c r="I8032" s="3"/>
      <c r="J8032" s="3"/>
      <c r="K8032" s="3"/>
      <c r="L8032" s="3"/>
    </row>
    <row r="8033" spans="9:12" x14ac:dyDescent="0.25">
      <c r="I8033" s="3"/>
      <c r="J8033" s="3"/>
      <c r="K8033" s="3"/>
      <c r="L8033" s="3"/>
    </row>
    <row r="8034" spans="9:12" x14ac:dyDescent="0.25">
      <c r="I8034" s="3"/>
      <c r="J8034" s="3"/>
      <c r="K8034" s="3"/>
      <c r="L8034" s="3"/>
    </row>
    <row r="8035" spans="9:12" x14ac:dyDescent="0.25">
      <c r="I8035" s="3"/>
      <c r="J8035" s="3"/>
      <c r="K8035" s="3"/>
      <c r="L8035" s="3"/>
    </row>
    <row r="8036" spans="9:12" x14ac:dyDescent="0.25">
      <c r="I8036" s="3"/>
      <c r="J8036" s="3"/>
      <c r="K8036" s="3"/>
      <c r="L8036" s="3"/>
    </row>
    <row r="8037" spans="9:12" x14ac:dyDescent="0.25">
      <c r="I8037" s="3"/>
      <c r="J8037" s="3"/>
      <c r="K8037" s="3"/>
      <c r="L8037" s="3"/>
    </row>
    <row r="8038" spans="9:12" x14ac:dyDescent="0.25">
      <c r="I8038" s="3"/>
      <c r="J8038" s="3"/>
      <c r="K8038" s="3"/>
      <c r="L8038" s="3"/>
    </row>
    <row r="8039" spans="9:12" x14ac:dyDescent="0.25">
      <c r="I8039" s="3"/>
      <c r="J8039" s="3"/>
      <c r="K8039" s="3"/>
      <c r="L8039" s="3"/>
    </row>
    <row r="8040" spans="9:12" x14ac:dyDescent="0.25">
      <c r="I8040" s="3"/>
      <c r="J8040" s="3"/>
      <c r="K8040" s="3"/>
      <c r="L8040" s="3"/>
    </row>
    <row r="8041" spans="9:12" x14ac:dyDescent="0.25">
      <c r="I8041" s="3"/>
      <c r="J8041" s="3"/>
      <c r="K8041" s="3"/>
      <c r="L8041" s="3"/>
    </row>
    <row r="8042" spans="9:12" x14ac:dyDescent="0.25">
      <c r="I8042" s="3"/>
      <c r="J8042" s="3"/>
      <c r="K8042" s="3"/>
      <c r="L8042" s="3"/>
    </row>
    <row r="8043" spans="9:12" x14ac:dyDescent="0.25">
      <c r="I8043" s="3"/>
      <c r="J8043" s="3"/>
      <c r="K8043" s="3"/>
      <c r="L8043" s="3"/>
    </row>
    <row r="8044" spans="9:12" x14ac:dyDescent="0.25">
      <c r="I8044" s="3"/>
      <c r="J8044" s="3"/>
      <c r="K8044" s="3"/>
      <c r="L8044" s="3"/>
    </row>
    <row r="8045" spans="9:12" x14ac:dyDescent="0.25">
      <c r="I8045" s="3"/>
      <c r="J8045" s="3"/>
      <c r="K8045" s="3"/>
      <c r="L8045" s="3"/>
    </row>
    <row r="8046" spans="9:12" x14ac:dyDescent="0.25">
      <c r="I8046" s="3"/>
      <c r="J8046" s="3"/>
      <c r="K8046" s="3"/>
      <c r="L8046" s="3"/>
    </row>
    <row r="8047" spans="9:12" x14ac:dyDescent="0.25">
      <c r="I8047" s="3"/>
      <c r="J8047" s="3"/>
      <c r="K8047" s="3"/>
      <c r="L8047" s="3"/>
    </row>
    <row r="8048" spans="9:12" x14ac:dyDescent="0.25">
      <c r="I8048" s="3"/>
      <c r="J8048" s="3"/>
      <c r="K8048" s="3"/>
      <c r="L8048" s="3"/>
    </row>
    <row r="8049" spans="9:12" x14ac:dyDescent="0.25">
      <c r="I8049" s="3"/>
      <c r="J8049" s="3"/>
      <c r="K8049" s="3"/>
      <c r="L8049" s="3"/>
    </row>
    <row r="8050" spans="9:12" x14ac:dyDescent="0.25">
      <c r="I8050" s="3"/>
      <c r="J8050" s="3"/>
      <c r="K8050" s="3"/>
      <c r="L8050" s="3"/>
    </row>
    <row r="8051" spans="9:12" x14ac:dyDescent="0.25">
      <c r="I8051" s="3"/>
      <c r="J8051" s="3"/>
      <c r="K8051" s="3"/>
      <c r="L8051" s="3"/>
    </row>
    <row r="8052" spans="9:12" x14ac:dyDescent="0.25">
      <c r="I8052" s="3"/>
      <c r="J8052" s="3"/>
      <c r="K8052" s="3"/>
      <c r="L8052" s="3"/>
    </row>
    <row r="8053" spans="9:12" x14ac:dyDescent="0.25">
      <c r="I8053" s="3"/>
      <c r="J8053" s="3"/>
      <c r="K8053" s="3"/>
      <c r="L8053" s="3"/>
    </row>
    <row r="8054" spans="9:12" x14ac:dyDescent="0.25">
      <c r="I8054" s="3"/>
      <c r="J8054" s="3"/>
      <c r="K8054" s="3"/>
      <c r="L8054" s="3"/>
    </row>
    <row r="8055" spans="9:12" x14ac:dyDescent="0.25">
      <c r="I8055" s="3"/>
      <c r="J8055" s="3"/>
      <c r="K8055" s="3"/>
      <c r="L8055" s="3"/>
    </row>
    <row r="8056" spans="9:12" x14ac:dyDescent="0.25">
      <c r="I8056" s="3"/>
      <c r="J8056" s="3"/>
      <c r="K8056" s="3"/>
      <c r="L8056" s="3"/>
    </row>
    <row r="8057" spans="9:12" x14ac:dyDescent="0.25">
      <c r="I8057" s="3"/>
      <c r="J8057" s="3"/>
      <c r="K8057" s="3"/>
      <c r="L8057" s="3"/>
    </row>
    <row r="8058" spans="9:12" x14ac:dyDescent="0.25">
      <c r="I8058" s="3"/>
      <c r="J8058" s="3"/>
      <c r="K8058" s="3"/>
      <c r="L8058" s="3"/>
    </row>
    <row r="8059" spans="9:12" x14ac:dyDescent="0.25">
      <c r="I8059" s="3"/>
      <c r="J8059" s="3"/>
      <c r="K8059" s="3"/>
      <c r="L8059" s="3"/>
    </row>
    <row r="8060" spans="9:12" x14ac:dyDescent="0.25">
      <c r="I8060" s="3"/>
      <c r="J8060" s="3"/>
      <c r="K8060" s="3"/>
      <c r="L8060" s="3"/>
    </row>
    <row r="8061" spans="9:12" x14ac:dyDescent="0.25">
      <c r="I8061" s="3"/>
      <c r="J8061" s="3"/>
      <c r="K8061" s="3"/>
      <c r="L8061" s="3"/>
    </row>
    <row r="8062" spans="9:12" x14ac:dyDescent="0.25">
      <c r="I8062" s="3"/>
      <c r="J8062" s="3"/>
      <c r="K8062" s="3"/>
      <c r="L8062" s="3"/>
    </row>
    <row r="8063" spans="9:12" x14ac:dyDescent="0.25">
      <c r="I8063" s="3"/>
      <c r="J8063" s="3"/>
      <c r="K8063" s="3"/>
      <c r="L8063" s="3"/>
    </row>
    <row r="8064" spans="9:12" x14ac:dyDescent="0.25">
      <c r="I8064" s="3"/>
      <c r="J8064" s="3"/>
      <c r="K8064" s="3"/>
      <c r="L8064" s="3"/>
    </row>
    <row r="8065" spans="9:12" x14ac:dyDescent="0.25">
      <c r="I8065" s="3"/>
      <c r="J8065" s="3"/>
      <c r="K8065" s="3"/>
      <c r="L8065" s="3"/>
    </row>
    <row r="8066" spans="9:12" x14ac:dyDescent="0.25">
      <c r="I8066" s="3"/>
      <c r="J8066" s="3"/>
      <c r="K8066" s="3"/>
      <c r="L8066" s="3"/>
    </row>
    <row r="8067" spans="9:12" x14ac:dyDescent="0.25">
      <c r="I8067" s="3"/>
      <c r="J8067" s="3"/>
      <c r="K8067" s="3"/>
      <c r="L8067" s="3"/>
    </row>
    <row r="8068" spans="9:12" x14ac:dyDescent="0.25">
      <c r="I8068" s="3"/>
      <c r="J8068" s="3"/>
      <c r="K8068" s="3"/>
      <c r="L8068" s="3"/>
    </row>
    <row r="8069" spans="9:12" x14ac:dyDescent="0.25">
      <c r="I8069" s="3"/>
      <c r="J8069" s="3"/>
      <c r="K8069" s="3"/>
      <c r="L8069" s="3"/>
    </row>
    <row r="8070" spans="9:12" x14ac:dyDescent="0.25">
      <c r="I8070" s="3"/>
      <c r="J8070" s="3"/>
      <c r="K8070" s="3"/>
      <c r="L8070" s="3"/>
    </row>
    <row r="8071" spans="9:12" x14ac:dyDescent="0.25">
      <c r="I8071" s="3"/>
      <c r="J8071" s="3"/>
      <c r="K8071" s="3"/>
      <c r="L8071" s="3"/>
    </row>
    <row r="8072" spans="9:12" x14ac:dyDescent="0.25">
      <c r="I8072" s="3"/>
      <c r="J8072" s="3"/>
      <c r="K8072" s="3"/>
      <c r="L8072" s="3"/>
    </row>
    <row r="8073" spans="9:12" x14ac:dyDescent="0.25">
      <c r="I8073" s="3"/>
      <c r="J8073" s="3"/>
      <c r="K8073" s="3"/>
      <c r="L8073" s="3"/>
    </row>
    <row r="8074" spans="9:12" x14ac:dyDescent="0.25">
      <c r="I8074" s="3"/>
      <c r="J8074" s="3"/>
      <c r="K8074" s="3"/>
      <c r="L8074" s="3"/>
    </row>
    <row r="8075" spans="9:12" x14ac:dyDescent="0.25">
      <c r="I8075" s="3"/>
      <c r="J8075" s="3"/>
      <c r="K8075" s="3"/>
      <c r="L8075" s="3"/>
    </row>
    <row r="8076" spans="9:12" x14ac:dyDescent="0.25">
      <c r="I8076" s="3"/>
      <c r="J8076" s="3"/>
      <c r="K8076" s="3"/>
      <c r="L8076" s="3"/>
    </row>
    <row r="8077" spans="9:12" x14ac:dyDescent="0.25">
      <c r="I8077" s="3"/>
      <c r="J8077" s="3"/>
      <c r="K8077" s="3"/>
      <c r="L8077" s="3"/>
    </row>
    <row r="8078" spans="9:12" x14ac:dyDescent="0.25">
      <c r="I8078" s="3"/>
      <c r="J8078" s="3"/>
      <c r="K8078" s="3"/>
      <c r="L8078" s="3"/>
    </row>
    <row r="8079" spans="9:12" x14ac:dyDescent="0.25">
      <c r="I8079" s="3"/>
      <c r="J8079" s="3"/>
      <c r="K8079" s="3"/>
      <c r="L8079" s="3"/>
    </row>
    <row r="8080" spans="9:12" x14ac:dyDescent="0.25">
      <c r="I8080" s="3"/>
      <c r="J8080" s="3"/>
      <c r="K8080" s="3"/>
      <c r="L8080" s="3"/>
    </row>
    <row r="8081" spans="9:12" x14ac:dyDescent="0.25">
      <c r="I8081" s="3"/>
      <c r="J8081" s="3"/>
      <c r="K8081" s="3"/>
      <c r="L8081" s="3"/>
    </row>
    <row r="8082" spans="9:12" x14ac:dyDescent="0.25">
      <c r="I8082" s="3"/>
      <c r="J8082" s="3"/>
      <c r="K8082" s="3"/>
      <c r="L8082" s="3"/>
    </row>
    <row r="8083" spans="9:12" x14ac:dyDescent="0.25">
      <c r="I8083" s="3"/>
      <c r="J8083" s="3"/>
      <c r="K8083" s="3"/>
      <c r="L8083" s="3"/>
    </row>
    <row r="8084" spans="9:12" x14ac:dyDescent="0.25">
      <c r="I8084" s="3"/>
      <c r="J8084" s="3"/>
      <c r="K8084" s="3"/>
      <c r="L8084" s="3"/>
    </row>
    <row r="8085" spans="9:12" x14ac:dyDescent="0.25">
      <c r="I8085" s="3"/>
      <c r="J8085" s="3"/>
      <c r="K8085" s="3"/>
      <c r="L8085" s="3"/>
    </row>
    <row r="8086" spans="9:12" x14ac:dyDescent="0.25">
      <c r="I8086" s="3"/>
      <c r="J8086" s="3"/>
      <c r="K8086" s="3"/>
      <c r="L8086" s="3"/>
    </row>
    <row r="8087" spans="9:12" x14ac:dyDescent="0.25">
      <c r="I8087" s="3"/>
      <c r="J8087" s="3"/>
      <c r="K8087" s="3"/>
      <c r="L8087" s="3"/>
    </row>
    <row r="8088" spans="9:12" x14ac:dyDescent="0.25">
      <c r="I8088" s="3"/>
      <c r="J8088" s="3"/>
      <c r="K8088" s="3"/>
      <c r="L8088" s="3"/>
    </row>
    <row r="8089" spans="9:12" x14ac:dyDescent="0.25">
      <c r="I8089" s="3"/>
      <c r="J8089" s="3"/>
      <c r="K8089" s="3"/>
      <c r="L8089" s="3"/>
    </row>
    <row r="8090" spans="9:12" x14ac:dyDescent="0.25">
      <c r="I8090" s="4"/>
      <c r="J8090" s="4"/>
      <c r="K8090" s="4"/>
      <c r="L8090" s="4"/>
    </row>
    <row r="8091" spans="9:12" x14ac:dyDescent="0.25">
      <c r="I8091" s="4"/>
      <c r="J8091" s="4"/>
      <c r="K8091" s="4"/>
      <c r="L8091" s="4"/>
    </row>
    <row r="8092" spans="9:12" x14ac:dyDescent="0.25">
      <c r="I8092" s="4"/>
      <c r="J8092" s="4"/>
      <c r="K8092" s="4"/>
      <c r="L8092" s="4"/>
    </row>
    <row r="8093" spans="9:12" x14ac:dyDescent="0.25">
      <c r="I8093" s="4"/>
      <c r="J8093" s="4"/>
      <c r="K8093" s="4"/>
      <c r="L8093" s="4"/>
    </row>
    <row r="8094" spans="9:12" x14ac:dyDescent="0.25">
      <c r="I8094" s="3"/>
      <c r="J8094" s="3"/>
      <c r="K8094" s="3"/>
      <c r="L8094" s="3"/>
    </row>
    <row r="8095" spans="9:12" x14ac:dyDescent="0.25">
      <c r="I8095" s="3"/>
      <c r="J8095" s="3"/>
      <c r="K8095" s="3"/>
      <c r="L8095" s="3"/>
    </row>
    <row r="8096" spans="9:12" x14ac:dyDescent="0.25">
      <c r="I8096" s="3"/>
      <c r="J8096" s="3"/>
      <c r="K8096" s="3"/>
      <c r="L8096" s="3"/>
    </row>
    <row r="8097" spans="9:12" x14ac:dyDescent="0.25">
      <c r="I8097" s="3"/>
      <c r="J8097" s="3"/>
      <c r="K8097" s="3"/>
      <c r="L8097" s="3"/>
    </row>
    <row r="8098" spans="9:12" x14ac:dyDescent="0.25">
      <c r="I8098" s="3"/>
      <c r="J8098" s="3"/>
      <c r="K8098" s="3"/>
      <c r="L8098" s="3"/>
    </row>
    <row r="8099" spans="9:12" x14ac:dyDescent="0.25">
      <c r="I8099" s="3"/>
      <c r="J8099" s="3"/>
      <c r="K8099" s="3"/>
      <c r="L8099" s="3"/>
    </row>
    <row r="8100" spans="9:12" x14ac:dyDescent="0.25">
      <c r="I8100" s="3"/>
      <c r="J8100" s="3"/>
      <c r="K8100" s="3"/>
      <c r="L8100" s="3"/>
    </row>
    <row r="8101" spans="9:12" x14ac:dyDescent="0.25">
      <c r="I8101" s="3"/>
      <c r="J8101" s="3"/>
      <c r="K8101" s="3"/>
      <c r="L8101" s="3"/>
    </row>
    <row r="8102" spans="9:12" x14ac:dyDescent="0.25">
      <c r="I8102" s="3"/>
      <c r="J8102" s="3"/>
      <c r="K8102" s="3"/>
      <c r="L8102" s="3"/>
    </row>
    <row r="8103" spans="9:12" x14ac:dyDescent="0.25">
      <c r="I8103" s="3"/>
      <c r="J8103" s="3"/>
      <c r="K8103" s="3"/>
      <c r="L8103" s="3"/>
    </row>
    <row r="8104" spans="9:12" x14ac:dyDescent="0.25">
      <c r="I8104" s="3"/>
      <c r="J8104" s="3"/>
      <c r="K8104" s="3"/>
      <c r="L8104" s="3"/>
    </row>
    <row r="8105" spans="9:12" x14ac:dyDescent="0.25">
      <c r="I8105" s="3"/>
      <c r="J8105" s="3"/>
      <c r="K8105" s="3"/>
      <c r="L8105" s="3"/>
    </row>
    <row r="8106" spans="9:12" x14ac:dyDescent="0.25">
      <c r="I8106" s="3"/>
      <c r="J8106" s="3"/>
      <c r="K8106" s="3"/>
      <c r="L8106" s="3"/>
    </row>
    <row r="8107" spans="9:12" x14ac:dyDescent="0.25">
      <c r="I8107" s="3"/>
      <c r="J8107" s="3"/>
      <c r="K8107" s="3"/>
      <c r="L8107" s="3"/>
    </row>
    <row r="8108" spans="9:12" x14ac:dyDescent="0.25">
      <c r="I8108" s="3"/>
      <c r="J8108" s="3"/>
      <c r="K8108" s="3"/>
      <c r="L8108" s="3"/>
    </row>
    <row r="8109" spans="9:12" x14ac:dyDescent="0.25">
      <c r="I8109" s="3"/>
      <c r="J8109" s="3"/>
      <c r="K8109" s="3"/>
      <c r="L8109" s="3"/>
    </row>
    <row r="8110" spans="9:12" x14ac:dyDescent="0.25">
      <c r="I8110" s="3"/>
      <c r="J8110" s="3"/>
      <c r="K8110" s="3"/>
      <c r="L8110" s="3"/>
    </row>
    <row r="8111" spans="9:12" x14ac:dyDescent="0.25">
      <c r="I8111" s="3"/>
      <c r="J8111" s="3"/>
      <c r="K8111" s="3"/>
      <c r="L8111" s="3"/>
    </row>
    <row r="8112" spans="9:12" x14ac:dyDescent="0.25">
      <c r="I8112" s="3"/>
      <c r="J8112" s="3"/>
      <c r="K8112" s="3"/>
      <c r="L8112" s="3"/>
    </row>
    <row r="8113" spans="9:12" x14ac:dyDescent="0.25">
      <c r="I8113" s="3"/>
      <c r="J8113" s="3"/>
      <c r="K8113" s="3"/>
      <c r="L8113" s="3"/>
    </row>
    <row r="8114" spans="9:12" x14ac:dyDescent="0.25">
      <c r="I8114" s="3"/>
      <c r="J8114" s="3"/>
      <c r="K8114" s="3"/>
      <c r="L8114" s="3"/>
    </row>
    <row r="8115" spans="9:12" x14ac:dyDescent="0.25">
      <c r="I8115" s="3"/>
      <c r="J8115" s="3"/>
      <c r="K8115" s="3"/>
      <c r="L8115" s="3"/>
    </row>
    <row r="8116" spans="9:12" x14ac:dyDescent="0.25">
      <c r="I8116" s="3"/>
      <c r="J8116" s="3"/>
      <c r="K8116" s="3"/>
      <c r="L8116" s="3"/>
    </row>
    <row r="8117" spans="9:12" x14ac:dyDescent="0.25">
      <c r="I8117" s="3"/>
      <c r="J8117" s="3"/>
      <c r="K8117" s="3"/>
      <c r="L8117" s="3"/>
    </row>
    <row r="8118" spans="9:12" x14ac:dyDescent="0.25">
      <c r="I8118" s="3"/>
      <c r="J8118" s="3"/>
      <c r="K8118" s="3"/>
      <c r="L8118" s="3"/>
    </row>
    <row r="8119" spans="9:12" x14ac:dyDescent="0.25">
      <c r="I8119" s="3"/>
      <c r="J8119" s="3"/>
      <c r="K8119" s="3"/>
      <c r="L8119" s="3"/>
    </row>
    <row r="8120" spans="9:12" x14ac:dyDescent="0.25">
      <c r="I8120" s="3"/>
      <c r="J8120" s="3"/>
      <c r="K8120" s="3"/>
      <c r="L8120" s="3"/>
    </row>
    <row r="8121" spans="9:12" x14ac:dyDescent="0.25">
      <c r="I8121" s="3"/>
      <c r="J8121" s="3"/>
      <c r="K8121" s="3"/>
      <c r="L8121" s="3"/>
    </row>
    <row r="8122" spans="9:12" x14ac:dyDescent="0.25">
      <c r="I8122" s="3"/>
      <c r="J8122" s="3"/>
      <c r="K8122" s="3"/>
      <c r="L8122" s="3"/>
    </row>
    <row r="8123" spans="9:12" x14ac:dyDescent="0.25">
      <c r="I8123" s="3"/>
      <c r="J8123" s="3"/>
      <c r="K8123" s="3"/>
      <c r="L8123" s="3"/>
    </row>
    <row r="8124" spans="9:12" x14ac:dyDescent="0.25">
      <c r="I8124" s="3"/>
      <c r="J8124" s="3"/>
      <c r="K8124" s="3"/>
      <c r="L8124" s="3"/>
    </row>
    <row r="8125" spans="9:12" x14ac:dyDescent="0.25">
      <c r="I8125" s="3"/>
      <c r="J8125" s="3"/>
      <c r="K8125" s="3"/>
      <c r="L8125" s="3"/>
    </row>
    <row r="8126" spans="9:12" x14ac:dyDescent="0.25">
      <c r="I8126" s="3"/>
      <c r="J8126" s="3"/>
      <c r="K8126" s="3"/>
      <c r="L8126" s="3"/>
    </row>
    <row r="8127" spans="9:12" x14ac:dyDescent="0.25">
      <c r="I8127" s="3"/>
      <c r="J8127" s="3"/>
      <c r="K8127" s="3"/>
      <c r="L8127" s="3"/>
    </row>
    <row r="8128" spans="9:12" x14ac:dyDescent="0.25">
      <c r="I8128" s="3"/>
      <c r="J8128" s="3"/>
      <c r="K8128" s="3"/>
      <c r="L8128" s="3"/>
    </row>
    <row r="8129" spans="9:12" x14ac:dyDescent="0.25">
      <c r="I8129" s="3"/>
      <c r="J8129" s="3"/>
      <c r="K8129" s="3"/>
      <c r="L8129" s="3"/>
    </row>
    <row r="8130" spans="9:12" x14ac:dyDescent="0.25">
      <c r="I8130" s="3"/>
      <c r="J8130" s="3"/>
      <c r="K8130" s="3"/>
      <c r="L8130" s="3"/>
    </row>
    <row r="8131" spans="9:12" x14ac:dyDescent="0.25">
      <c r="I8131" s="3"/>
      <c r="J8131" s="3"/>
      <c r="K8131" s="3"/>
      <c r="L8131" s="3"/>
    </row>
    <row r="8132" spans="9:12" x14ac:dyDescent="0.25">
      <c r="I8132" s="3"/>
      <c r="J8132" s="3"/>
      <c r="K8132" s="3"/>
      <c r="L8132" s="3"/>
    </row>
    <row r="8133" spans="9:12" x14ac:dyDescent="0.25">
      <c r="I8133" s="3"/>
      <c r="J8133" s="3"/>
      <c r="K8133" s="3"/>
      <c r="L8133" s="3"/>
    </row>
    <row r="8134" spans="9:12" x14ac:dyDescent="0.25">
      <c r="I8134" s="3"/>
      <c r="J8134" s="3"/>
      <c r="K8134" s="3"/>
      <c r="L8134" s="3"/>
    </row>
    <row r="8135" spans="9:12" x14ac:dyDescent="0.25">
      <c r="I8135" s="3"/>
      <c r="J8135" s="3"/>
      <c r="K8135" s="3"/>
      <c r="L8135" s="3"/>
    </row>
    <row r="8136" spans="9:12" x14ac:dyDescent="0.25">
      <c r="I8136" s="3"/>
      <c r="J8136" s="3"/>
      <c r="K8136" s="3"/>
      <c r="L8136" s="3"/>
    </row>
    <row r="8137" spans="9:12" x14ac:dyDescent="0.25">
      <c r="I8137" s="3"/>
      <c r="J8137" s="3"/>
      <c r="K8137" s="3"/>
      <c r="L8137" s="3"/>
    </row>
    <row r="8138" spans="9:12" x14ac:dyDescent="0.25">
      <c r="I8138" s="3"/>
      <c r="J8138" s="3"/>
      <c r="K8138" s="3"/>
      <c r="L8138" s="3"/>
    </row>
    <row r="8139" spans="9:12" x14ac:dyDescent="0.25">
      <c r="I8139" s="3"/>
      <c r="J8139" s="3"/>
      <c r="K8139" s="3"/>
      <c r="L8139" s="3"/>
    </row>
    <row r="8140" spans="9:12" x14ac:dyDescent="0.25">
      <c r="I8140" s="3"/>
      <c r="J8140" s="3"/>
      <c r="K8140" s="3"/>
      <c r="L8140" s="3"/>
    </row>
    <row r="8141" spans="9:12" x14ac:dyDescent="0.25">
      <c r="I8141" s="3"/>
      <c r="J8141" s="3"/>
      <c r="K8141" s="3"/>
      <c r="L8141" s="3"/>
    </row>
    <row r="8142" spans="9:12" x14ac:dyDescent="0.25">
      <c r="I8142" s="3"/>
      <c r="J8142" s="3"/>
      <c r="K8142" s="3"/>
      <c r="L8142" s="3"/>
    </row>
    <row r="8143" spans="9:12" x14ac:dyDescent="0.25">
      <c r="I8143" s="3"/>
      <c r="J8143" s="3"/>
      <c r="K8143" s="3"/>
      <c r="L8143" s="3"/>
    </row>
    <row r="8144" spans="9:12" x14ac:dyDescent="0.25">
      <c r="I8144" s="3"/>
      <c r="J8144" s="3"/>
      <c r="K8144" s="3"/>
      <c r="L8144" s="3"/>
    </row>
    <row r="8145" spans="9:12" x14ac:dyDescent="0.25">
      <c r="I8145" s="3"/>
      <c r="J8145" s="3"/>
      <c r="K8145" s="3"/>
      <c r="L8145" s="3"/>
    </row>
    <row r="8146" spans="9:12" x14ac:dyDescent="0.25">
      <c r="I8146" s="3"/>
      <c r="J8146" s="3"/>
      <c r="K8146" s="3"/>
      <c r="L8146" s="3"/>
    </row>
    <row r="8147" spans="9:12" x14ac:dyDescent="0.25">
      <c r="I8147" s="3"/>
      <c r="J8147" s="3"/>
      <c r="K8147" s="3"/>
      <c r="L8147" s="3"/>
    </row>
    <row r="8148" spans="9:12" x14ac:dyDescent="0.25">
      <c r="I8148" s="3"/>
      <c r="J8148" s="3"/>
      <c r="K8148" s="3"/>
      <c r="L8148" s="3"/>
    </row>
    <row r="8149" spans="9:12" x14ac:dyDescent="0.25">
      <c r="I8149" s="3"/>
      <c r="J8149" s="3"/>
      <c r="K8149" s="3"/>
      <c r="L8149" s="3"/>
    </row>
    <row r="8150" spans="9:12" x14ac:dyDescent="0.25">
      <c r="I8150" s="3"/>
      <c r="J8150" s="3"/>
      <c r="K8150" s="3"/>
      <c r="L8150" s="3"/>
    </row>
    <row r="8151" spans="9:12" x14ac:dyDescent="0.25">
      <c r="I8151" s="3"/>
      <c r="J8151" s="3"/>
      <c r="K8151" s="3"/>
      <c r="L8151" s="3"/>
    </row>
    <row r="8152" spans="9:12" x14ac:dyDescent="0.25">
      <c r="I8152" s="3"/>
      <c r="J8152" s="3"/>
      <c r="K8152" s="3"/>
      <c r="L8152" s="3"/>
    </row>
    <row r="8153" spans="9:12" x14ac:dyDescent="0.25">
      <c r="I8153" s="3"/>
      <c r="J8153" s="3"/>
      <c r="K8153" s="3"/>
      <c r="L8153" s="3"/>
    </row>
    <row r="8154" spans="9:12" x14ac:dyDescent="0.25">
      <c r="I8154" s="3"/>
      <c r="J8154" s="3"/>
      <c r="K8154" s="3"/>
      <c r="L8154" s="3"/>
    </row>
    <row r="8155" spans="9:12" x14ac:dyDescent="0.25">
      <c r="I8155" s="3"/>
      <c r="J8155" s="3"/>
      <c r="K8155" s="3"/>
      <c r="L8155" s="3"/>
    </row>
    <row r="8156" spans="9:12" x14ac:dyDescent="0.25">
      <c r="I8156" s="3"/>
      <c r="J8156" s="3"/>
      <c r="K8156" s="3"/>
      <c r="L8156" s="3"/>
    </row>
    <row r="8157" spans="9:12" x14ac:dyDescent="0.25">
      <c r="I8157" s="3"/>
      <c r="J8157" s="3"/>
      <c r="K8157" s="3"/>
      <c r="L8157" s="3"/>
    </row>
    <row r="8158" spans="9:12" x14ac:dyDescent="0.25">
      <c r="I8158" s="3"/>
      <c r="J8158" s="3"/>
      <c r="K8158" s="3"/>
      <c r="L8158" s="3"/>
    </row>
    <row r="8159" spans="9:12" x14ac:dyDescent="0.25">
      <c r="I8159" s="3"/>
      <c r="J8159" s="3"/>
      <c r="K8159" s="3"/>
      <c r="L8159" s="3"/>
    </row>
    <row r="8160" spans="9:12" x14ac:dyDescent="0.25">
      <c r="I8160" s="3"/>
      <c r="J8160" s="3"/>
      <c r="K8160" s="3"/>
      <c r="L8160" s="3"/>
    </row>
    <row r="8161" spans="9:12" x14ac:dyDescent="0.25">
      <c r="I8161" s="3"/>
      <c r="J8161" s="3"/>
      <c r="K8161" s="3"/>
      <c r="L8161" s="3"/>
    </row>
    <row r="8162" spans="9:12" x14ac:dyDescent="0.25">
      <c r="I8162" s="3"/>
      <c r="J8162" s="3"/>
      <c r="K8162" s="3"/>
      <c r="L8162" s="3"/>
    </row>
    <row r="8163" spans="9:12" x14ac:dyDescent="0.25">
      <c r="I8163" s="3"/>
      <c r="J8163" s="3"/>
      <c r="K8163" s="3"/>
      <c r="L8163" s="3"/>
    </row>
    <row r="8164" spans="9:12" x14ac:dyDescent="0.25">
      <c r="I8164" s="3"/>
      <c r="J8164" s="3"/>
      <c r="K8164" s="3"/>
      <c r="L8164" s="3"/>
    </row>
    <row r="8165" spans="9:12" x14ac:dyDescent="0.25">
      <c r="I8165" s="3"/>
      <c r="J8165" s="3"/>
      <c r="K8165" s="3"/>
      <c r="L8165" s="3"/>
    </row>
    <row r="8166" spans="9:12" x14ac:dyDescent="0.25">
      <c r="I8166" s="3"/>
      <c r="J8166" s="3"/>
      <c r="K8166" s="3"/>
      <c r="L8166" s="3"/>
    </row>
    <row r="8167" spans="9:12" x14ac:dyDescent="0.25">
      <c r="I8167" s="3"/>
      <c r="J8167" s="3"/>
      <c r="K8167" s="3"/>
      <c r="L8167" s="3"/>
    </row>
    <row r="8168" spans="9:12" x14ac:dyDescent="0.25">
      <c r="I8168" s="3"/>
      <c r="J8168" s="3"/>
      <c r="K8168" s="3"/>
      <c r="L8168" s="3"/>
    </row>
    <row r="8169" spans="9:12" x14ac:dyDescent="0.25">
      <c r="I8169" s="3"/>
      <c r="J8169" s="3"/>
      <c r="K8169" s="3"/>
      <c r="L8169" s="3"/>
    </row>
    <row r="8170" spans="9:12" x14ac:dyDescent="0.25">
      <c r="I8170" s="3"/>
      <c r="J8170" s="3"/>
      <c r="K8170" s="3"/>
      <c r="L8170" s="3"/>
    </row>
    <row r="8171" spans="9:12" x14ac:dyDescent="0.25">
      <c r="I8171" s="3"/>
      <c r="J8171" s="3"/>
      <c r="K8171" s="3"/>
      <c r="L8171" s="3"/>
    </row>
    <row r="8172" spans="9:12" x14ac:dyDescent="0.25">
      <c r="I8172" s="3"/>
      <c r="J8172" s="3"/>
      <c r="K8172" s="3"/>
      <c r="L8172" s="3"/>
    </row>
    <row r="8173" spans="9:12" x14ac:dyDescent="0.25">
      <c r="I8173" s="3"/>
      <c r="J8173" s="3"/>
      <c r="K8173" s="3"/>
      <c r="L8173" s="3"/>
    </row>
    <row r="8174" spans="9:12" x14ac:dyDescent="0.25">
      <c r="I8174" s="3"/>
      <c r="J8174" s="3"/>
      <c r="K8174" s="3"/>
      <c r="L8174" s="3"/>
    </row>
    <row r="8175" spans="9:12" x14ac:dyDescent="0.25">
      <c r="I8175" s="3"/>
      <c r="J8175" s="3"/>
      <c r="K8175" s="3"/>
      <c r="L8175" s="3"/>
    </row>
    <row r="8176" spans="9:12" x14ac:dyDescent="0.25">
      <c r="I8176" s="3"/>
      <c r="J8176" s="3"/>
      <c r="K8176" s="3"/>
      <c r="L8176" s="3"/>
    </row>
    <row r="8177" spans="9:12" x14ac:dyDescent="0.25">
      <c r="I8177" s="3"/>
      <c r="J8177" s="3"/>
      <c r="K8177" s="3"/>
      <c r="L8177" s="3"/>
    </row>
    <row r="8178" spans="9:12" x14ac:dyDescent="0.25">
      <c r="I8178" s="3"/>
      <c r="J8178" s="3"/>
      <c r="K8178" s="3"/>
      <c r="L8178" s="3"/>
    </row>
    <row r="8179" spans="9:12" x14ac:dyDescent="0.25">
      <c r="I8179" s="3"/>
      <c r="J8179" s="3"/>
      <c r="K8179" s="3"/>
      <c r="L8179" s="3"/>
    </row>
    <row r="8180" spans="9:12" x14ac:dyDescent="0.25">
      <c r="I8180" s="3"/>
      <c r="J8180" s="3"/>
      <c r="K8180" s="3"/>
      <c r="L8180" s="3"/>
    </row>
    <row r="8181" spans="9:12" x14ac:dyDescent="0.25">
      <c r="I8181" s="3"/>
      <c r="J8181" s="3"/>
      <c r="K8181" s="3"/>
      <c r="L8181" s="3"/>
    </row>
    <row r="8182" spans="9:12" x14ac:dyDescent="0.25">
      <c r="I8182" s="3"/>
      <c r="J8182" s="3"/>
      <c r="K8182" s="3"/>
      <c r="L8182" s="3"/>
    </row>
    <row r="8183" spans="9:12" x14ac:dyDescent="0.25">
      <c r="I8183" s="3"/>
      <c r="J8183" s="3"/>
      <c r="K8183" s="3"/>
      <c r="L8183" s="3"/>
    </row>
    <row r="8184" spans="9:12" x14ac:dyDescent="0.25">
      <c r="I8184" s="3"/>
      <c r="J8184" s="3"/>
      <c r="K8184" s="3"/>
      <c r="L8184" s="3"/>
    </row>
    <row r="8185" spans="9:12" x14ac:dyDescent="0.25">
      <c r="I8185" s="3"/>
      <c r="J8185" s="3"/>
      <c r="K8185" s="3"/>
      <c r="L8185" s="3"/>
    </row>
    <row r="8186" spans="9:12" x14ac:dyDescent="0.25">
      <c r="I8186" s="3"/>
      <c r="J8186" s="3"/>
      <c r="K8186" s="3"/>
      <c r="L8186" s="3"/>
    </row>
    <row r="8187" spans="9:12" x14ac:dyDescent="0.25">
      <c r="I8187" s="3"/>
      <c r="J8187" s="3"/>
      <c r="K8187" s="3"/>
      <c r="L8187" s="3"/>
    </row>
    <row r="8188" spans="9:12" x14ac:dyDescent="0.25">
      <c r="I8188" s="3"/>
      <c r="J8188" s="3"/>
      <c r="K8188" s="3"/>
      <c r="L8188" s="3"/>
    </row>
    <row r="8189" spans="9:12" x14ac:dyDescent="0.25">
      <c r="I8189" s="3"/>
      <c r="J8189" s="3"/>
      <c r="K8189" s="3"/>
      <c r="L8189" s="3"/>
    </row>
    <row r="8190" spans="9:12" x14ac:dyDescent="0.25">
      <c r="I8190" s="3"/>
      <c r="J8190" s="3"/>
      <c r="K8190" s="3"/>
      <c r="L8190" s="3"/>
    </row>
    <row r="8191" spans="9:12" x14ac:dyDescent="0.25">
      <c r="I8191" s="3"/>
      <c r="J8191" s="3"/>
      <c r="K8191" s="3"/>
      <c r="L8191" s="3"/>
    </row>
    <row r="8192" spans="9:12" x14ac:dyDescent="0.25">
      <c r="I8192" s="3"/>
      <c r="J8192" s="3"/>
      <c r="K8192" s="3"/>
      <c r="L8192" s="3"/>
    </row>
    <row r="8193" spans="9:12" x14ac:dyDescent="0.25">
      <c r="I8193" s="3"/>
      <c r="J8193" s="3"/>
      <c r="K8193" s="3"/>
      <c r="L8193" s="3"/>
    </row>
    <row r="8194" spans="9:12" x14ac:dyDescent="0.25">
      <c r="I8194" s="3"/>
      <c r="J8194" s="3"/>
      <c r="K8194" s="3"/>
      <c r="L8194" s="3"/>
    </row>
    <row r="8195" spans="9:12" x14ac:dyDescent="0.25">
      <c r="I8195" s="3"/>
      <c r="J8195" s="3"/>
      <c r="K8195" s="3"/>
      <c r="L8195" s="3"/>
    </row>
    <row r="8196" spans="9:12" x14ac:dyDescent="0.25">
      <c r="I8196" s="3"/>
      <c r="J8196" s="3"/>
      <c r="K8196" s="3"/>
      <c r="L8196" s="3"/>
    </row>
    <row r="8197" spans="9:12" x14ac:dyDescent="0.25">
      <c r="I8197" s="3"/>
      <c r="J8197" s="3"/>
      <c r="K8197" s="3"/>
      <c r="L8197" s="3"/>
    </row>
    <row r="8198" spans="9:12" x14ac:dyDescent="0.25">
      <c r="I8198" s="3"/>
      <c r="J8198" s="3"/>
      <c r="K8198" s="3"/>
      <c r="L8198" s="3"/>
    </row>
    <row r="8199" spans="9:12" x14ac:dyDescent="0.25">
      <c r="I8199" s="3"/>
      <c r="J8199" s="3"/>
      <c r="K8199" s="3"/>
      <c r="L8199" s="3"/>
    </row>
    <row r="8200" spans="9:12" x14ac:dyDescent="0.25">
      <c r="I8200" s="3"/>
      <c r="J8200" s="3"/>
      <c r="K8200" s="3"/>
      <c r="L8200" s="3"/>
    </row>
    <row r="8201" spans="9:12" x14ac:dyDescent="0.25">
      <c r="I8201" s="3"/>
      <c r="J8201" s="3"/>
      <c r="K8201" s="3"/>
      <c r="L8201" s="3"/>
    </row>
    <row r="8202" spans="9:12" x14ac:dyDescent="0.25">
      <c r="I8202" s="3"/>
      <c r="J8202" s="3"/>
      <c r="K8202" s="3"/>
      <c r="L8202" s="3"/>
    </row>
    <row r="8203" spans="9:12" x14ac:dyDescent="0.25">
      <c r="I8203" s="3"/>
      <c r="J8203" s="3"/>
      <c r="K8203" s="3"/>
      <c r="L8203" s="3"/>
    </row>
    <row r="8204" spans="9:12" x14ac:dyDescent="0.25">
      <c r="I8204" s="3"/>
      <c r="J8204" s="3"/>
      <c r="K8204" s="3"/>
      <c r="L8204" s="3"/>
    </row>
    <row r="8205" spans="9:12" x14ac:dyDescent="0.25">
      <c r="I8205" s="3"/>
      <c r="J8205" s="3"/>
      <c r="K8205" s="3"/>
      <c r="L8205" s="3"/>
    </row>
    <row r="8206" spans="9:12" x14ac:dyDescent="0.25">
      <c r="I8206" s="3"/>
      <c r="J8206" s="3"/>
      <c r="K8206" s="3"/>
      <c r="L8206" s="3"/>
    </row>
    <row r="8207" spans="9:12" x14ac:dyDescent="0.25">
      <c r="I8207" s="3"/>
      <c r="J8207" s="3"/>
      <c r="K8207" s="3"/>
      <c r="L8207" s="3"/>
    </row>
    <row r="8208" spans="9:12" x14ac:dyDescent="0.25">
      <c r="I8208" s="3"/>
      <c r="J8208" s="3"/>
      <c r="K8208" s="3"/>
      <c r="L8208" s="3"/>
    </row>
    <row r="8209" spans="9:12" x14ac:dyDescent="0.25">
      <c r="I8209" s="3"/>
      <c r="J8209" s="3"/>
      <c r="K8209" s="3"/>
      <c r="L8209" s="3"/>
    </row>
    <row r="8210" spans="9:12" x14ac:dyDescent="0.25">
      <c r="I8210" s="3"/>
      <c r="J8210" s="3"/>
      <c r="K8210" s="3"/>
      <c r="L8210" s="3"/>
    </row>
    <row r="8211" spans="9:12" x14ac:dyDescent="0.25">
      <c r="I8211" s="3"/>
      <c r="J8211" s="3"/>
      <c r="K8211" s="3"/>
      <c r="L8211" s="3"/>
    </row>
    <row r="8212" spans="9:12" x14ac:dyDescent="0.25">
      <c r="I8212" s="3"/>
      <c r="J8212" s="3"/>
      <c r="K8212" s="3"/>
      <c r="L8212" s="3"/>
    </row>
    <row r="8213" spans="9:12" x14ac:dyDescent="0.25">
      <c r="I8213" s="3"/>
      <c r="J8213" s="3"/>
      <c r="K8213" s="3"/>
      <c r="L8213" s="3"/>
    </row>
    <row r="8214" spans="9:12" x14ac:dyDescent="0.25">
      <c r="I8214" s="3"/>
      <c r="J8214" s="3"/>
      <c r="K8214" s="3"/>
      <c r="L8214" s="3"/>
    </row>
    <row r="8215" spans="9:12" x14ac:dyDescent="0.25">
      <c r="I8215" s="3"/>
      <c r="J8215" s="3"/>
      <c r="K8215" s="3"/>
      <c r="L8215" s="3"/>
    </row>
    <row r="8216" spans="9:12" x14ac:dyDescent="0.25">
      <c r="I8216" s="3"/>
      <c r="J8216" s="3"/>
      <c r="K8216" s="3"/>
      <c r="L8216" s="3"/>
    </row>
    <row r="8217" spans="9:12" x14ac:dyDescent="0.25">
      <c r="I8217" s="3"/>
      <c r="J8217" s="3"/>
      <c r="K8217" s="3"/>
      <c r="L8217" s="3"/>
    </row>
    <row r="8218" spans="9:12" x14ac:dyDescent="0.25">
      <c r="I8218" s="3"/>
      <c r="J8218" s="3"/>
      <c r="K8218" s="3"/>
      <c r="L8218" s="3"/>
    </row>
    <row r="8219" spans="9:12" x14ac:dyDescent="0.25">
      <c r="I8219" s="3"/>
      <c r="J8219" s="3"/>
      <c r="K8219" s="3"/>
      <c r="L8219" s="3"/>
    </row>
    <row r="8220" spans="9:12" x14ac:dyDescent="0.25">
      <c r="I8220" s="3"/>
      <c r="J8220" s="3"/>
      <c r="K8220" s="3"/>
      <c r="L8220" s="3"/>
    </row>
    <row r="8221" spans="9:12" x14ac:dyDescent="0.25">
      <c r="I8221" s="3"/>
      <c r="J8221" s="3"/>
      <c r="K8221" s="3"/>
      <c r="L8221" s="3"/>
    </row>
    <row r="8222" spans="9:12" x14ac:dyDescent="0.25">
      <c r="I8222" s="3"/>
      <c r="J8222" s="3"/>
      <c r="K8222" s="3"/>
      <c r="L8222" s="3"/>
    </row>
    <row r="8223" spans="9:12" x14ac:dyDescent="0.25">
      <c r="I8223" s="3"/>
      <c r="J8223" s="3"/>
      <c r="K8223" s="3"/>
      <c r="L8223" s="3"/>
    </row>
    <row r="8224" spans="9:12" x14ac:dyDescent="0.25">
      <c r="I8224" s="3"/>
      <c r="J8224" s="3"/>
      <c r="K8224" s="3"/>
      <c r="L8224" s="3"/>
    </row>
    <row r="8225" spans="9:12" x14ac:dyDescent="0.25">
      <c r="I8225" s="3"/>
      <c r="J8225" s="3"/>
      <c r="K8225" s="3"/>
      <c r="L8225" s="3"/>
    </row>
    <row r="8226" spans="9:12" x14ac:dyDescent="0.25">
      <c r="I8226" s="3"/>
      <c r="J8226" s="3"/>
      <c r="K8226" s="3"/>
      <c r="L8226" s="3"/>
    </row>
    <row r="8227" spans="9:12" x14ac:dyDescent="0.25">
      <c r="I8227" s="3"/>
      <c r="J8227" s="3"/>
      <c r="K8227" s="3"/>
      <c r="L8227" s="3"/>
    </row>
    <row r="8228" spans="9:12" x14ac:dyDescent="0.25">
      <c r="I8228" s="3"/>
      <c r="J8228" s="3"/>
      <c r="K8228" s="3"/>
      <c r="L8228" s="3"/>
    </row>
    <row r="8229" spans="9:12" x14ac:dyDescent="0.25">
      <c r="I8229" s="3"/>
      <c r="J8229" s="3"/>
      <c r="K8229" s="3"/>
      <c r="L8229" s="3"/>
    </row>
    <row r="8230" spans="9:12" x14ac:dyDescent="0.25">
      <c r="I8230" s="3"/>
      <c r="J8230" s="3"/>
      <c r="K8230" s="3"/>
      <c r="L8230" s="3"/>
    </row>
    <row r="8231" spans="9:12" x14ac:dyDescent="0.25">
      <c r="I8231" s="3"/>
      <c r="J8231" s="3"/>
      <c r="K8231" s="3"/>
      <c r="L8231" s="3"/>
    </row>
    <row r="8232" spans="9:12" x14ac:dyDescent="0.25">
      <c r="I8232" s="3"/>
      <c r="J8232" s="3"/>
      <c r="K8232" s="3"/>
      <c r="L8232" s="3"/>
    </row>
    <row r="8233" spans="9:12" x14ac:dyDescent="0.25">
      <c r="I8233" s="3"/>
      <c r="J8233" s="3"/>
      <c r="K8233" s="3"/>
      <c r="L8233" s="3"/>
    </row>
    <row r="8234" spans="9:12" x14ac:dyDescent="0.25">
      <c r="I8234" s="3"/>
      <c r="J8234" s="3"/>
      <c r="K8234" s="3"/>
      <c r="L8234" s="3"/>
    </row>
    <row r="8235" spans="9:12" x14ac:dyDescent="0.25">
      <c r="I8235" s="3"/>
      <c r="J8235" s="3"/>
      <c r="K8235" s="3"/>
      <c r="L8235" s="3"/>
    </row>
    <row r="8236" spans="9:12" x14ac:dyDescent="0.25">
      <c r="I8236" s="3"/>
      <c r="J8236" s="3"/>
      <c r="K8236" s="3"/>
      <c r="L8236" s="3"/>
    </row>
    <row r="8237" spans="9:12" x14ac:dyDescent="0.25">
      <c r="I8237" s="3"/>
      <c r="J8237" s="3"/>
      <c r="K8237" s="3"/>
      <c r="L8237" s="3"/>
    </row>
    <row r="8238" spans="9:12" x14ac:dyDescent="0.25">
      <c r="I8238" s="3"/>
      <c r="J8238" s="3"/>
      <c r="K8238" s="3"/>
      <c r="L8238" s="3"/>
    </row>
    <row r="8239" spans="9:12" x14ac:dyDescent="0.25">
      <c r="I8239" s="3"/>
      <c r="J8239" s="3"/>
      <c r="K8239" s="3"/>
      <c r="L8239" s="3"/>
    </row>
    <row r="8240" spans="9:12" x14ac:dyDescent="0.25">
      <c r="I8240" s="3"/>
      <c r="J8240" s="3"/>
      <c r="K8240" s="3"/>
      <c r="L8240" s="3"/>
    </row>
    <row r="8241" spans="9:12" x14ac:dyDescent="0.25">
      <c r="I8241" s="3"/>
      <c r="J8241" s="3"/>
      <c r="K8241" s="3"/>
      <c r="L8241" s="3"/>
    </row>
    <row r="8242" spans="9:12" x14ac:dyDescent="0.25">
      <c r="I8242" s="3"/>
      <c r="J8242" s="3"/>
      <c r="K8242" s="3"/>
      <c r="L8242" s="3"/>
    </row>
    <row r="8243" spans="9:12" x14ac:dyDescent="0.25">
      <c r="I8243" s="3"/>
      <c r="J8243" s="3"/>
      <c r="K8243" s="3"/>
      <c r="L8243" s="3"/>
    </row>
    <row r="8244" spans="9:12" x14ac:dyDescent="0.25">
      <c r="I8244" s="3"/>
      <c r="J8244" s="3"/>
      <c r="K8244" s="3"/>
      <c r="L8244" s="3"/>
    </row>
    <row r="8245" spans="9:12" x14ac:dyDescent="0.25">
      <c r="I8245" s="3"/>
      <c r="J8245" s="3"/>
      <c r="K8245" s="3"/>
      <c r="L8245" s="3"/>
    </row>
    <row r="8246" spans="9:12" x14ac:dyDescent="0.25">
      <c r="I8246" s="3"/>
      <c r="J8246" s="3"/>
      <c r="K8246" s="3"/>
      <c r="L8246" s="3"/>
    </row>
    <row r="8247" spans="9:12" x14ac:dyDescent="0.25">
      <c r="I8247" s="3"/>
      <c r="J8247" s="3"/>
      <c r="K8247" s="3"/>
      <c r="L8247" s="3"/>
    </row>
    <row r="8248" spans="9:12" x14ac:dyDescent="0.25">
      <c r="I8248" s="3"/>
      <c r="J8248" s="3"/>
      <c r="K8248" s="3"/>
      <c r="L8248" s="3"/>
    </row>
    <row r="8249" spans="9:12" x14ac:dyDescent="0.25">
      <c r="I8249" s="3"/>
      <c r="J8249" s="3"/>
      <c r="K8249" s="3"/>
      <c r="L8249" s="3"/>
    </row>
    <row r="8250" spans="9:12" x14ac:dyDescent="0.25">
      <c r="I8250" s="3"/>
      <c r="J8250" s="3"/>
      <c r="K8250" s="3"/>
      <c r="L8250" s="3"/>
    </row>
    <row r="8251" spans="9:12" x14ac:dyDescent="0.25">
      <c r="I8251" s="3"/>
      <c r="J8251" s="3"/>
      <c r="K8251" s="3"/>
      <c r="L8251" s="3"/>
    </row>
    <row r="8252" spans="9:12" x14ac:dyDescent="0.25">
      <c r="I8252" s="3"/>
      <c r="J8252" s="3"/>
      <c r="K8252" s="3"/>
      <c r="L8252" s="3"/>
    </row>
    <row r="8253" spans="9:12" x14ac:dyDescent="0.25">
      <c r="I8253" s="3"/>
      <c r="J8253" s="3"/>
      <c r="K8253" s="3"/>
      <c r="L8253" s="3"/>
    </row>
    <row r="8254" spans="9:12" x14ac:dyDescent="0.25">
      <c r="I8254" s="3"/>
      <c r="J8254" s="3"/>
      <c r="K8254" s="3"/>
      <c r="L8254" s="3"/>
    </row>
    <row r="8255" spans="9:12" x14ac:dyDescent="0.25">
      <c r="I8255" s="3"/>
      <c r="J8255" s="3"/>
      <c r="K8255" s="3"/>
      <c r="L8255" s="3"/>
    </row>
    <row r="8256" spans="9:12" x14ac:dyDescent="0.25">
      <c r="I8256" s="3"/>
      <c r="J8256" s="3"/>
      <c r="K8256" s="3"/>
      <c r="L8256" s="3"/>
    </row>
    <row r="8257" spans="9:12" x14ac:dyDescent="0.25">
      <c r="I8257" s="3"/>
      <c r="J8257" s="3"/>
      <c r="K8257" s="3"/>
      <c r="L8257" s="3"/>
    </row>
    <row r="8258" spans="9:12" x14ac:dyDescent="0.25">
      <c r="I8258" s="3"/>
      <c r="J8258" s="3"/>
      <c r="K8258" s="3"/>
      <c r="L8258" s="3"/>
    </row>
    <row r="8259" spans="9:12" x14ac:dyDescent="0.25">
      <c r="I8259" s="3"/>
      <c r="J8259" s="3"/>
      <c r="K8259" s="3"/>
      <c r="L8259" s="3"/>
    </row>
    <row r="8260" spans="9:12" x14ac:dyDescent="0.25">
      <c r="I8260" s="3"/>
      <c r="J8260" s="3"/>
      <c r="K8260" s="3"/>
      <c r="L8260" s="3"/>
    </row>
    <row r="8261" spans="9:12" x14ac:dyDescent="0.25">
      <c r="I8261" s="3"/>
      <c r="J8261" s="3"/>
      <c r="K8261" s="3"/>
      <c r="L8261" s="3"/>
    </row>
    <row r="8262" spans="9:12" x14ac:dyDescent="0.25">
      <c r="I8262" s="3"/>
      <c r="J8262" s="3"/>
      <c r="K8262" s="3"/>
      <c r="L8262" s="3"/>
    </row>
    <row r="8263" spans="9:12" x14ac:dyDescent="0.25">
      <c r="I8263" s="3"/>
      <c r="J8263" s="3"/>
      <c r="K8263" s="3"/>
      <c r="L8263" s="3"/>
    </row>
    <row r="8264" spans="9:12" x14ac:dyDescent="0.25">
      <c r="I8264" s="3"/>
      <c r="J8264" s="3"/>
      <c r="K8264" s="3"/>
      <c r="L8264" s="3"/>
    </row>
    <row r="8265" spans="9:12" x14ac:dyDescent="0.25">
      <c r="I8265" s="3"/>
      <c r="J8265" s="3"/>
      <c r="K8265" s="3"/>
      <c r="L8265" s="3"/>
    </row>
    <row r="8266" spans="9:12" x14ac:dyDescent="0.25">
      <c r="I8266" s="3"/>
      <c r="J8266" s="3"/>
      <c r="K8266" s="3"/>
      <c r="L8266" s="3"/>
    </row>
    <row r="8267" spans="9:12" x14ac:dyDescent="0.25">
      <c r="I8267" s="3"/>
      <c r="J8267" s="3"/>
      <c r="K8267" s="3"/>
      <c r="L8267" s="3"/>
    </row>
    <row r="8268" spans="9:12" x14ac:dyDescent="0.25">
      <c r="I8268" s="3"/>
      <c r="J8268" s="3"/>
      <c r="K8268" s="3"/>
      <c r="L8268" s="3"/>
    </row>
    <row r="8269" spans="9:12" x14ac:dyDescent="0.25">
      <c r="I8269" s="3"/>
      <c r="J8269" s="3"/>
      <c r="K8269" s="3"/>
      <c r="L8269" s="3"/>
    </row>
    <row r="8270" spans="9:12" x14ac:dyDescent="0.25">
      <c r="I8270" s="3"/>
      <c r="J8270" s="3"/>
      <c r="K8270" s="3"/>
      <c r="L8270" s="3"/>
    </row>
    <row r="8271" spans="9:12" x14ac:dyDescent="0.25">
      <c r="I8271" s="3"/>
      <c r="J8271" s="3"/>
      <c r="K8271" s="3"/>
      <c r="L8271" s="3"/>
    </row>
    <row r="8272" spans="9:12" x14ac:dyDescent="0.25">
      <c r="I8272" s="3"/>
      <c r="J8272" s="3"/>
      <c r="K8272" s="3"/>
      <c r="L8272" s="3"/>
    </row>
    <row r="8273" spans="9:12" x14ac:dyDescent="0.25">
      <c r="I8273" s="3"/>
      <c r="J8273" s="3"/>
      <c r="K8273" s="3"/>
      <c r="L8273" s="3"/>
    </row>
    <row r="8274" spans="9:12" x14ac:dyDescent="0.25">
      <c r="I8274" s="3"/>
      <c r="J8274" s="3"/>
      <c r="K8274" s="3"/>
      <c r="L8274" s="3"/>
    </row>
    <row r="8275" spans="9:12" x14ac:dyDescent="0.25">
      <c r="I8275" s="3"/>
      <c r="J8275" s="3"/>
      <c r="K8275" s="3"/>
      <c r="L8275" s="3"/>
    </row>
    <row r="8276" spans="9:12" x14ac:dyDescent="0.25">
      <c r="I8276" s="3"/>
      <c r="J8276" s="3"/>
      <c r="K8276" s="3"/>
      <c r="L8276" s="3"/>
    </row>
    <row r="8277" spans="9:12" x14ac:dyDescent="0.25">
      <c r="I8277" s="3"/>
      <c r="J8277" s="3"/>
      <c r="K8277" s="3"/>
      <c r="L8277" s="3"/>
    </row>
    <row r="8278" spans="9:12" x14ac:dyDescent="0.25">
      <c r="I8278" s="3"/>
      <c r="J8278" s="3"/>
      <c r="K8278" s="3"/>
      <c r="L8278" s="3"/>
    </row>
    <row r="8279" spans="9:12" x14ac:dyDescent="0.25">
      <c r="I8279" s="3"/>
      <c r="J8279" s="3"/>
      <c r="K8279" s="3"/>
      <c r="L8279" s="3"/>
    </row>
    <row r="8280" spans="9:12" x14ac:dyDescent="0.25">
      <c r="I8280" s="3"/>
      <c r="J8280" s="3"/>
      <c r="K8280" s="3"/>
      <c r="L8280" s="3"/>
    </row>
    <row r="8281" spans="9:12" x14ac:dyDescent="0.25">
      <c r="I8281" s="3"/>
      <c r="J8281" s="3"/>
      <c r="K8281" s="3"/>
      <c r="L8281" s="3"/>
    </row>
    <row r="8282" spans="9:12" x14ac:dyDescent="0.25">
      <c r="I8282" s="3"/>
      <c r="J8282" s="3"/>
      <c r="K8282" s="3"/>
      <c r="L8282" s="3"/>
    </row>
    <row r="8283" spans="9:12" x14ac:dyDescent="0.25">
      <c r="I8283" s="3"/>
      <c r="J8283" s="3"/>
      <c r="K8283" s="3"/>
      <c r="L8283" s="3"/>
    </row>
    <row r="8284" spans="9:12" x14ac:dyDescent="0.25">
      <c r="I8284" s="3"/>
      <c r="J8284" s="3"/>
      <c r="K8284" s="3"/>
      <c r="L8284" s="3"/>
    </row>
    <row r="8285" spans="9:12" x14ac:dyDescent="0.25">
      <c r="I8285" s="3"/>
      <c r="J8285" s="3"/>
      <c r="K8285" s="3"/>
      <c r="L8285" s="3"/>
    </row>
    <row r="8286" spans="9:12" x14ac:dyDescent="0.25">
      <c r="I8286" s="3"/>
      <c r="J8286" s="3"/>
      <c r="K8286" s="3"/>
      <c r="L8286" s="3"/>
    </row>
    <row r="8287" spans="9:12" x14ac:dyDescent="0.25">
      <c r="I8287" s="3"/>
      <c r="J8287" s="3"/>
      <c r="K8287" s="3"/>
      <c r="L8287" s="3"/>
    </row>
    <row r="8288" spans="9:12" x14ac:dyDescent="0.25">
      <c r="I8288" s="3"/>
      <c r="J8288" s="3"/>
      <c r="K8288" s="3"/>
      <c r="L8288" s="3"/>
    </row>
    <row r="8289" spans="9:12" x14ac:dyDescent="0.25">
      <c r="I8289" s="3"/>
      <c r="J8289" s="3"/>
      <c r="K8289" s="3"/>
      <c r="L8289" s="3"/>
    </row>
    <row r="8290" spans="9:12" x14ac:dyDescent="0.25">
      <c r="I8290" s="3"/>
      <c r="J8290" s="3"/>
      <c r="K8290" s="3"/>
      <c r="L8290" s="3"/>
    </row>
    <row r="8291" spans="9:12" x14ac:dyDescent="0.25">
      <c r="I8291" s="3"/>
      <c r="J8291" s="3"/>
      <c r="K8291" s="3"/>
      <c r="L8291" s="3"/>
    </row>
    <row r="8292" spans="9:12" x14ac:dyDescent="0.25">
      <c r="I8292" s="3"/>
      <c r="J8292" s="3"/>
      <c r="K8292" s="3"/>
      <c r="L8292" s="3"/>
    </row>
    <row r="8293" spans="9:12" x14ac:dyDescent="0.25">
      <c r="I8293" s="3"/>
      <c r="J8293" s="3"/>
      <c r="K8293" s="3"/>
      <c r="L8293" s="3"/>
    </row>
    <row r="8294" spans="9:12" x14ac:dyDescent="0.25">
      <c r="I8294" s="3"/>
      <c r="J8294" s="3"/>
      <c r="K8294" s="3"/>
      <c r="L8294" s="3"/>
    </row>
    <row r="8295" spans="9:12" x14ac:dyDescent="0.25">
      <c r="I8295" s="3"/>
      <c r="J8295" s="3"/>
      <c r="K8295" s="3"/>
      <c r="L8295" s="3"/>
    </row>
    <row r="8296" spans="9:12" x14ac:dyDescent="0.25">
      <c r="I8296" s="3"/>
      <c r="J8296" s="3"/>
      <c r="K8296" s="3"/>
      <c r="L8296" s="3"/>
    </row>
    <row r="8297" spans="9:12" x14ac:dyDescent="0.25">
      <c r="I8297" s="3"/>
      <c r="J8297" s="3"/>
      <c r="K8297" s="3"/>
      <c r="L8297" s="3"/>
    </row>
    <row r="8298" spans="9:12" x14ac:dyDescent="0.25">
      <c r="I8298" s="3"/>
      <c r="J8298" s="3"/>
      <c r="K8298" s="3"/>
      <c r="L8298" s="3"/>
    </row>
    <row r="8299" spans="9:12" x14ac:dyDescent="0.25">
      <c r="I8299" s="3"/>
      <c r="J8299" s="3"/>
      <c r="K8299" s="3"/>
      <c r="L8299" s="3"/>
    </row>
    <row r="8300" spans="9:12" x14ac:dyDescent="0.25">
      <c r="I8300" s="3"/>
      <c r="J8300" s="3"/>
      <c r="K8300" s="3"/>
      <c r="L8300" s="3"/>
    </row>
    <row r="8301" spans="9:12" x14ac:dyDescent="0.25">
      <c r="I8301" s="3"/>
      <c r="J8301" s="3"/>
      <c r="K8301" s="3"/>
      <c r="L8301" s="3"/>
    </row>
    <row r="8302" spans="9:12" x14ac:dyDescent="0.25">
      <c r="I8302" s="4"/>
      <c r="J8302" s="4"/>
      <c r="K8302" s="4"/>
      <c r="L8302" s="4"/>
    </row>
    <row r="8303" spans="9:12" x14ac:dyDescent="0.25">
      <c r="I8303" s="4"/>
      <c r="J8303" s="4"/>
      <c r="K8303" s="4"/>
      <c r="L8303" s="4"/>
    </row>
    <row r="8304" spans="9:12" x14ac:dyDescent="0.25">
      <c r="I8304" s="4"/>
      <c r="J8304" s="4"/>
      <c r="K8304" s="4"/>
      <c r="L8304" s="4"/>
    </row>
    <row r="8305" spans="9:12" x14ac:dyDescent="0.25">
      <c r="I8305" s="3"/>
      <c r="J8305" s="3"/>
      <c r="K8305" s="3"/>
      <c r="L8305" s="3"/>
    </row>
    <row r="8306" spans="9:12" x14ac:dyDescent="0.25">
      <c r="I8306" s="3"/>
      <c r="J8306" s="3"/>
      <c r="K8306" s="3"/>
      <c r="L8306" s="3"/>
    </row>
    <row r="8307" spans="9:12" x14ac:dyDescent="0.25">
      <c r="I8307" s="3"/>
      <c r="J8307" s="3"/>
      <c r="K8307" s="3"/>
      <c r="L8307" s="3"/>
    </row>
    <row r="8308" spans="9:12" x14ac:dyDescent="0.25">
      <c r="I8308" s="3"/>
      <c r="J8308" s="3"/>
      <c r="K8308" s="3"/>
      <c r="L8308" s="3"/>
    </row>
    <row r="8309" spans="9:12" x14ac:dyDescent="0.25">
      <c r="I8309" s="3"/>
      <c r="J8309" s="3"/>
      <c r="K8309" s="3"/>
      <c r="L8309" s="3"/>
    </row>
    <row r="8310" spans="9:12" x14ac:dyDescent="0.25">
      <c r="I8310" s="3"/>
      <c r="J8310" s="3"/>
      <c r="K8310" s="3"/>
      <c r="L8310" s="3"/>
    </row>
    <row r="8311" spans="9:12" x14ac:dyDescent="0.25">
      <c r="I8311" s="3"/>
      <c r="J8311" s="3"/>
      <c r="K8311" s="3"/>
      <c r="L8311" s="3"/>
    </row>
    <row r="8312" spans="9:12" x14ac:dyDescent="0.25">
      <c r="I8312" s="3"/>
      <c r="J8312" s="3"/>
      <c r="K8312" s="3"/>
      <c r="L8312" s="3"/>
    </row>
    <row r="8313" spans="9:12" x14ac:dyDescent="0.25">
      <c r="I8313" s="3"/>
      <c r="J8313" s="3"/>
      <c r="K8313" s="3"/>
      <c r="L8313" s="3"/>
    </row>
    <row r="8314" spans="9:12" x14ac:dyDescent="0.25">
      <c r="I8314" s="3"/>
      <c r="J8314" s="3"/>
      <c r="K8314" s="3"/>
      <c r="L8314" s="3"/>
    </row>
    <row r="8315" spans="9:12" x14ac:dyDescent="0.25">
      <c r="I8315" s="3"/>
      <c r="J8315" s="3"/>
      <c r="K8315" s="3"/>
      <c r="L8315" s="3"/>
    </row>
    <row r="8316" spans="9:12" x14ac:dyDescent="0.25">
      <c r="I8316" s="3"/>
      <c r="J8316" s="3"/>
      <c r="K8316" s="3"/>
      <c r="L8316" s="3"/>
    </row>
    <row r="8317" spans="9:12" x14ac:dyDescent="0.25">
      <c r="I8317" s="3"/>
      <c r="J8317" s="3"/>
      <c r="K8317" s="3"/>
      <c r="L8317" s="3"/>
    </row>
    <row r="8318" spans="9:12" x14ac:dyDescent="0.25">
      <c r="I8318" s="3"/>
      <c r="J8318" s="3"/>
      <c r="K8318" s="3"/>
      <c r="L8318" s="3"/>
    </row>
    <row r="8319" spans="9:12" x14ac:dyDescent="0.25">
      <c r="I8319" s="3"/>
      <c r="J8319" s="3"/>
      <c r="K8319" s="3"/>
      <c r="L8319" s="3"/>
    </row>
    <row r="8320" spans="9:12" x14ac:dyDescent="0.25">
      <c r="I8320" s="3"/>
      <c r="J8320" s="3"/>
      <c r="K8320" s="3"/>
      <c r="L8320" s="3"/>
    </row>
    <row r="8321" spans="9:12" x14ac:dyDescent="0.25">
      <c r="I8321" s="3"/>
      <c r="J8321" s="3"/>
      <c r="K8321" s="3"/>
      <c r="L8321" s="3"/>
    </row>
    <row r="8322" spans="9:12" x14ac:dyDescent="0.25">
      <c r="I8322" s="3"/>
      <c r="J8322" s="3"/>
      <c r="K8322" s="3"/>
      <c r="L8322" s="3"/>
    </row>
    <row r="8323" spans="9:12" x14ac:dyDescent="0.25">
      <c r="I8323" s="3"/>
      <c r="J8323" s="3"/>
      <c r="K8323" s="3"/>
      <c r="L8323" s="3"/>
    </row>
    <row r="8324" spans="9:12" x14ac:dyDescent="0.25">
      <c r="I8324" s="3"/>
      <c r="J8324" s="3"/>
      <c r="K8324" s="3"/>
      <c r="L8324" s="3"/>
    </row>
    <row r="8325" spans="9:12" x14ac:dyDescent="0.25">
      <c r="I8325" s="3"/>
      <c r="J8325" s="3"/>
      <c r="K8325" s="3"/>
      <c r="L8325" s="3"/>
    </row>
    <row r="8326" spans="9:12" x14ac:dyDescent="0.25">
      <c r="I8326" s="3"/>
      <c r="J8326" s="3"/>
      <c r="K8326" s="3"/>
      <c r="L8326" s="3"/>
    </row>
    <row r="8327" spans="9:12" x14ac:dyDescent="0.25">
      <c r="I8327" s="3"/>
      <c r="J8327" s="3"/>
      <c r="K8327" s="3"/>
      <c r="L8327" s="3"/>
    </row>
    <row r="8328" spans="9:12" x14ac:dyDescent="0.25">
      <c r="I8328" s="3"/>
      <c r="J8328" s="3"/>
      <c r="K8328" s="3"/>
      <c r="L8328" s="3"/>
    </row>
    <row r="8329" spans="9:12" x14ac:dyDescent="0.25">
      <c r="I8329" s="3"/>
      <c r="J8329" s="3"/>
      <c r="K8329" s="3"/>
      <c r="L8329" s="3"/>
    </row>
    <row r="8330" spans="9:12" x14ac:dyDescent="0.25">
      <c r="I8330" s="3"/>
      <c r="J8330" s="3"/>
      <c r="K8330" s="3"/>
      <c r="L8330" s="3"/>
    </row>
    <row r="8331" spans="9:12" x14ac:dyDescent="0.25">
      <c r="I8331" s="3"/>
      <c r="J8331" s="3"/>
      <c r="K8331" s="3"/>
      <c r="L8331" s="3"/>
    </row>
    <row r="8332" spans="9:12" x14ac:dyDescent="0.25">
      <c r="I8332" s="3"/>
      <c r="J8332" s="3"/>
      <c r="K8332" s="3"/>
      <c r="L8332" s="3"/>
    </row>
    <row r="8333" spans="9:12" x14ac:dyDescent="0.25">
      <c r="I8333" s="3"/>
      <c r="J8333" s="3"/>
      <c r="K8333" s="3"/>
      <c r="L8333" s="3"/>
    </row>
    <row r="8334" spans="9:12" x14ac:dyDescent="0.25">
      <c r="I8334" s="3"/>
      <c r="J8334" s="3"/>
      <c r="K8334" s="3"/>
      <c r="L8334" s="3"/>
    </row>
    <row r="8335" spans="9:12" x14ac:dyDescent="0.25">
      <c r="I8335" s="3"/>
      <c r="J8335" s="3"/>
      <c r="K8335" s="3"/>
      <c r="L8335" s="3"/>
    </row>
    <row r="8336" spans="9:12" x14ac:dyDescent="0.25">
      <c r="I8336" s="3"/>
      <c r="J8336" s="3"/>
      <c r="K8336" s="3"/>
      <c r="L8336" s="3"/>
    </row>
    <row r="8337" spans="9:12" x14ac:dyDescent="0.25">
      <c r="I8337" s="3"/>
      <c r="J8337" s="3"/>
      <c r="K8337" s="3"/>
      <c r="L8337" s="3"/>
    </row>
    <row r="8338" spans="9:12" x14ac:dyDescent="0.25">
      <c r="I8338" s="3"/>
      <c r="J8338" s="3"/>
      <c r="K8338" s="3"/>
      <c r="L8338" s="3"/>
    </row>
    <row r="8339" spans="9:12" x14ac:dyDescent="0.25">
      <c r="I8339" s="3"/>
      <c r="J8339" s="3"/>
      <c r="K8339" s="3"/>
      <c r="L8339" s="3"/>
    </row>
    <row r="8340" spans="9:12" x14ac:dyDescent="0.25">
      <c r="I8340" s="3"/>
      <c r="J8340" s="3"/>
      <c r="K8340" s="3"/>
      <c r="L8340" s="3"/>
    </row>
    <row r="8341" spans="9:12" x14ac:dyDescent="0.25">
      <c r="I8341" s="3"/>
      <c r="J8341" s="3"/>
      <c r="K8341" s="3"/>
      <c r="L8341" s="3"/>
    </row>
    <row r="8342" spans="9:12" x14ac:dyDescent="0.25">
      <c r="I8342" s="3"/>
      <c r="J8342" s="3"/>
      <c r="K8342" s="3"/>
      <c r="L8342" s="3"/>
    </row>
    <row r="8343" spans="9:12" x14ac:dyDescent="0.25">
      <c r="I8343" s="3"/>
      <c r="J8343" s="3"/>
      <c r="K8343" s="3"/>
      <c r="L8343" s="3"/>
    </row>
    <row r="8344" spans="9:12" x14ac:dyDescent="0.25">
      <c r="I8344" s="3"/>
      <c r="J8344" s="3"/>
      <c r="K8344" s="3"/>
      <c r="L8344" s="3"/>
    </row>
    <row r="8345" spans="9:12" x14ac:dyDescent="0.25">
      <c r="I8345" s="3"/>
      <c r="J8345" s="3"/>
      <c r="K8345" s="3"/>
      <c r="L8345" s="3"/>
    </row>
    <row r="8346" spans="9:12" x14ac:dyDescent="0.25">
      <c r="I8346" s="3"/>
      <c r="J8346" s="3"/>
      <c r="K8346" s="3"/>
      <c r="L8346" s="3"/>
    </row>
    <row r="8347" spans="9:12" x14ac:dyDescent="0.25">
      <c r="I8347" s="3"/>
      <c r="J8347" s="3"/>
      <c r="K8347" s="3"/>
      <c r="L8347" s="3"/>
    </row>
    <row r="8348" spans="9:12" x14ac:dyDescent="0.25">
      <c r="I8348" s="3"/>
      <c r="J8348" s="3"/>
      <c r="K8348" s="3"/>
      <c r="L8348" s="3"/>
    </row>
    <row r="8349" spans="9:12" x14ac:dyDescent="0.25">
      <c r="I8349" s="3"/>
      <c r="J8349" s="3"/>
      <c r="K8349" s="3"/>
      <c r="L8349" s="3"/>
    </row>
    <row r="8350" spans="9:12" x14ac:dyDescent="0.25">
      <c r="I8350" s="3"/>
      <c r="J8350" s="3"/>
      <c r="K8350" s="3"/>
      <c r="L8350" s="3"/>
    </row>
    <row r="8351" spans="9:12" x14ac:dyDescent="0.25">
      <c r="I8351" s="3"/>
      <c r="J8351" s="3"/>
      <c r="K8351" s="3"/>
      <c r="L8351" s="3"/>
    </row>
    <row r="8352" spans="9:12" x14ac:dyDescent="0.25">
      <c r="I8352" s="3"/>
      <c r="J8352" s="3"/>
      <c r="K8352" s="3"/>
      <c r="L8352" s="3"/>
    </row>
    <row r="8353" spans="9:12" x14ac:dyDescent="0.25">
      <c r="I8353" s="3"/>
      <c r="J8353" s="3"/>
      <c r="K8353" s="3"/>
      <c r="L8353" s="3"/>
    </row>
    <row r="8354" spans="9:12" x14ac:dyDescent="0.25">
      <c r="I8354" s="3"/>
      <c r="J8354" s="3"/>
      <c r="K8354" s="3"/>
      <c r="L8354" s="3"/>
    </row>
    <row r="8355" spans="9:12" x14ac:dyDescent="0.25">
      <c r="I8355" s="3"/>
      <c r="J8355" s="3"/>
      <c r="K8355" s="3"/>
      <c r="L8355" s="3"/>
    </row>
    <row r="8356" spans="9:12" x14ac:dyDescent="0.25">
      <c r="I8356" s="3"/>
      <c r="J8356" s="3"/>
      <c r="K8356" s="3"/>
      <c r="L8356" s="3"/>
    </row>
    <row r="8357" spans="9:12" x14ac:dyDescent="0.25">
      <c r="I8357" s="3"/>
      <c r="J8357" s="3"/>
      <c r="K8357" s="3"/>
      <c r="L8357" s="3"/>
    </row>
    <row r="8358" spans="9:12" x14ac:dyDescent="0.25">
      <c r="I8358" s="3"/>
      <c r="J8358" s="3"/>
      <c r="K8358" s="3"/>
      <c r="L8358" s="3"/>
    </row>
    <row r="8359" spans="9:12" x14ac:dyDescent="0.25">
      <c r="I8359" s="3"/>
      <c r="J8359" s="3"/>
      <c r="K8359" s="3"/>
      <c r="L8359" s="3"/>
    </row>
    <row r="8360" spans="9:12" x14ac:dyDescent="0.25">
      <c r="I8360" s="3"/>
      <c r="J8360" s="3"/>
      <c r="K8360" s="3"/>
      <c r="L8360" s="3"/>
    </row>
    <row r="8361" spans="9:12" x14ac:dyDescent="0.25">
      <c r="I8361" s="3"/>
      <c r="J8361" s="3"/>
      <c r="K8361" s="3"/>
      <c r="L8361" s="3"/>
    </row>
    <row r="8362" spans="9:12" x14ac:dyDescent="0.25">
      <c r="I8362" s="3"/>
      <c r="J8362" s="3"/>
      <c r="K8362" s="3"/>
      <c r="L8362" s="3"/>
    </row>
    <row r="8363" spans="9:12" x14ac:dyDescent="0.25">
      <c r="I8363" s="3"/>
      <c r="J8363" s="3"/>
      <c r="K8363" s="3"/>
      <c r="L8363" s="3"/>
    </row>
    <row r="8364" spans="9:12" x14ac:dyDescent="0.25">
      <c r="I8364" s="3"/>
      <c r="J8364" s="3"/>
      <c r="K8364" s="3"/>
      <c r="L8364" s="3"/>
    </row>
    <row r="8365" spans="9:12" x14ac:dyDescent="0.25">
      <c r="I8365" s="3"/>
      <c r="J8365" s="3"/>
      <c r="K8365" s="3"/>
      <c r="L8365" s="3"/>
    </row>
    <row r="8366" spans="9:12" x14ac:dyDescent="0.25">
      <c r="I8366" s="3"/>
      <c r="J8366" s="3"/>
      <c r="K8366" s="3"/>
      <c r="L8366" s="3"/>
    </row>
    <row r="8367" spans="9:12" x14ac:dyDescent="0.25">
      <c r="I8367" s="3"/>
      <c r="J8367" s="3"/>
      <c r="K8367" s="3"/>
      <c r="L8367" s="3"/>
    </row>
    <row r="8368" spans="9:12" x14ac:dyDescent="0.25">
      <c r="I8368" s="3"/>
      <c r="J8368" s="3"/>
      <c r="K8368" s="3"/>
      <c r="L8368" s="3"/>
    </row>
    <row r="8369" spans="9:12" x14ac:dyDescent="0.25">
      <c r="I8369" s="3"/>
      <c r="J8369" s="3"/>
      <c r="K8369" s="3"/>
      <c r="L8369" s="3"/>
    </row>
    <row r="8370" spans="9:12" x14ac:dyDescent="0.25">
      <c r="I8370" s="3"/>
      <c r="J8370" s="3"/>
      <c r="K8370" s="3"/>
      <c r="L8370" s="3"/>
    </row>
    <row r="8371" spans="9:12" x14ac:dyDescent="0.25">
      <c r="I8371" s="3"/>
      <c r="J8371" s="3"/>
      <c r="K8371" s="3"/>
      <c r="L8371" s="3"/>
    </row>
    <row r="8372" spans="9:12" x14ac:dyDescent="0.25">
      <c r="I8372" s="3"/>
      <c r="J8372" s="3"/>
      <c r="K8372" s="3"/>
      <c r="L8372" s="3"/>
    </row>
    <row r="8373" spans="9:12" x14ac:dyDescent="0.25">
      <c r="I8373" s="3"/>
      <c r="J8373" s="3"/>
      <c r="K8373" s="3"/>
      <c r="L8373" s="3"/>
    </row>
    <row r="8374" spans="9:12" x14ac:dyDescent="0.25">
      <c r="I8374" s="3"/>
      <c r="J8374" s="3"/>
      <c r="K8374" s="3"/>
      <c r="L8374" s="3"/>
    </row>
    <row r="8375" spans="9:12" x14ac:dyDescent="0.25">
      <c r="I8375" s="3"/>
      <c r="J8375" s="3"/>
      <c r="K8375" s="3"/>
      <c r="L8375" s="3"/>
    </row>
    <row r="8376" spans="9:12" x14ac:dyDescent="0.25">
      <c r="I8376" s="3"/>
      <c r="J8376" s="3"/>
      <c r="K8376" s="3"/>
      <c r="L8376" s="3"/>
    </row>
    <row r="8377" spans="9:12" x14ac:dyDescent="0.25">
      <c r="I8377" s="3"/>
      <c r="J8377" s="3"/>
      <c r="K8377" s="3"/>
      <c r="L8377" s="3"/>
    </row>
    <row r="8378" spans="9:12" x14ac:dyDescent="0.25">
      <c r="I8378" s="3"/>
      <c r="J8378" s="3"/>
      <c r="K8378" s="3"/>
      <c r="L8378" s="3"/>
    </row>
    <row r="8379" spans="9:12" x14ac:dyDescent="0.25">
      <c r="I8379" s="3"/>
      <c r="J8379" s="3"/>
      <c r="K8379" s="3"/>
      <c r="L8379" s="3"/>
    </row>
    <row r="8380" spans="9:12" x14ac:dyDescent="0.25">
      <c r="I8380" s="3"/>
      <c r="J8380" s="3"/>
      <c r="K8380" s="3"/>
      <c r="L8380" s="3"/>
    </row>
    <row r="8381" spans="9:12" x14ac:dyDescent="0.25">
      <c r="I8381" s="3"/>
      <c r="J8381" s="3"/>
      <c r="K8381" s="3"/>
      <c r="L8381" s="3"/>
    </row>
    <row r="8382" spans="9:12" x14ac:dyDescent="0.25">
      <c r="I8382" s="3"/>
      <c r="J8382" s="3"/>
      <c r="K8382" s="3"/>
      <c r="L8382" s="3"/>
    </row>
    <row r="8383" spans="9:12" x14ac:dyDescent="0.25">
      <c r="I8383" s="3"/>
      <c r="J8383" s="3"/>
      <c r="K8383" s="3"/>
      <c r="L8383" s="3"/>
    </row>
    <row r="8384" spans="9:12" x14ac:dyDescent="0.25">
      <c r="I8384" s="3"/>
      <c r="J8384" s="3"/>
      <c r="K8384" s="3"/>
      <c r="L8384" s="3"/>
    </row>
    <row r="8385" spans="9:12" x14ac:dyDescent="0.25">
      <c r="I8385" s="3"/>
      <c r="J8385" s="3"/>
      <c r="K8385" s="3"/>
      <c r="L8385" s="3"/>
    </row>
    <row r="8386" spans="9:12" x14ac:dyDescent="0.25">
      <c r="I8386" s="4"/>
      <c r="J8386" s="4"/>
      <c r="K8386" s="4"/>
      <c r="L8386" s="4"/>
    </row>
    <row r="8387" spans="9:12" x14ac:dyDescent="0.25">
      <c r="I8387" s="4"/>
      <c r="J8387" s="4"/>
      <c r="K8387" s="4"/>
      <c r="L8387" s="4"/>
    </row>
    <row r="8388" spans="9:12" x14ac:dyDescent="0.25">
      <c r="I8388" s="3"/>
      <c r="J8388" s="3"/>
      <c r="K8388" s="3"/>
      <c r="L8388" s="3"/>
    </row>
    <row r="8389" spans="9:12" x14ac:dyDescent="0.25">
      <c r="I8389" s="3"/>
      <c r="J8389" s="3"/>
      <c r="K8389" s="3"/>
      <c r="L8389" s="3"/>
    </row>
    <row r="8390" spans="9:12" x14ac:dyDescent="0.25">
      <c r="I8390" s="3"/>
      <c r="J8390" s="3"/>
      <c r="K8390" s="3"/>
      <c r="L8390" s="3"/>
    </row>
    <row r="8391" spans="9:12" x14ac:dyDescent="0.25">
      <c r="I8391" s="3"/>
      <c r="J8391" s="3"/>
      <c r="K8391" s="3"/>
      <c r="L8391" s="3"/>
    </row>
    <row r="8392" spans="9:12" x14ac:dyDescent="0.25">
      <c r="I8392" s="3"/>
      <c r="J8392" s="3"/>
      <c r="K8392" s="3"/>
      <c r="L8392" s="3"/>
    </row>
    <row r="8393" spans="9:12" x14ac:dyDescent="0.25">
      <c r="I8393" s="3"/>
      <c r="J8393" s="3"/>
      <c r="K8393" s="3"/>
      <c r="L8393" s="3"/>
    </row>
    <row r="8394" spans="9:12" x14ac:dyDescent="0.25">
      <c r="I8394" s="3"/>
      <c r="J8394" s="3"/>
      <c r="K8394" s="3"/>
      <c r="L8394" s="3"/>
    </row>
    <row r="8395" spans="9:12" x14ac:dyDescent="0.25">
      <c r="I8395" s="3"/>
      <c r="J8395" s="3"/>
      <c r="K8395" s="3"/>
      <c r="L8395" s="3"/>
    </row>
    <row r="8396" spans="9:12" x14ac:dyDescent="0.25">
      <c r="I8396" s="3"/>
      <c r="J8396" s="3"/>
      <c r="K8396" s="3"/>
      <c r="L8396" s="3"/>
    </row>
    <row r="8397" spans="9:12" x14ac:dyDescent="0.25">
      <c r="I8397" s="3"/>
      <c r="J8397" s="3"/>
      <c r="K8397" s="3"/>
      <c r="L8397" s="3"/>
    </row>
    <row r="8398" spans="9:12" x14ac:dyDescent="0.25">
      <c r="I8398" s="3"/>
      <c r="J8398" s="3"/>
      <c r="K8398" s="3"/>
      <c r="L8398" s="3"/>
    </row>
    <row r="8399" spans="9:12" x14ac:dyDescent="0.25">
      <c r="I8399" s="3"/>
      <c r="J8399" s="3"/>
      <c r="K8399" s="3"/>
      <c r="L8399" s="3"/>
    </row>
    <row r="8400" spans="9:12" x14ac:dyDescent="0.25">
      <c r="I8400" s="3"/>
      <c r="J8400" s="3"/>
      <c r="K8400" s="3"/>
      <c r="L8400" s="3"/>
    </row>
    <row r="8401" spans="9:12" x14ac:dyDescent="0.25">
      <c r="I8401" s="3"/>
      <c r="J8401" s="3"/>
      <c r="K8401" s="3"/>
      <c r="L8401" s="3"/>
    </row>
    <row r="8402" spans="9:12" x14ac:dyDescent="0.25">
      <c r="I8402" s="3"/>
      <c r="J8402" s="3"/>
      <c r="K8402" s="3"/>
      <c r="L8402" s="3"/>
    </row>
    <row r="8403" spans="9:12" x14ac:dyDescent="0.25">
      <c r="I8403" s="3"/>
      <c r="J8403" s="3"/>
      <c r="K8403" s="3"/>
      <c r="L8403" s="3"/>
    </row>
    <row r="8404" spans="9:12" x14ac:dyDescent="0.25">
      <c r="I8404" s="3"/>
      <c r="J8404" s="3"/>
      <c r="K8404" s="3"/>
      <c r="L8404" s="3"/>
    </row>
    <row r="8405" spans="9:12" x14ac:dyDescent="0.25">
      <c r="I8405" s="3"/>
      <c r="J8405" s="3"/>
      <c r="K8405" s="3"/>
      <c r="L8405" s="3"/>
    </row>
    <row r="8406" spans="9:12" x14ac:dyDescent="0.25">
      <c r="I8406" s="3"/>
      <c r="J8406" s="3"/>
      <c r="K8406" s="3"/>
      <c r="L8406" s="3"/>
    </row>
    <row r="8407" spans="9:12" x14ac:dyDescent="0.25">
      <c r="I8407" s="3"/>
      <c r="J8407" s="3"/>
      <c r="K8407" s="3"/>
      <c r="L8407" s="3"/>
    </row>
    <row r="8408" spans="9:12" x14ac:dyDescent="0.25">
      <c r="I8408" s="3"/>
      <c r="J8408" s="3"/>
      <c r="K8408" s="3"/>
      <c r="L8408" s="3"/>
    </row>
    <row r="8409" spans="9:12" x14ac:dyDescent="0.25">
      <c r="I8409" s="3"/>
      <c r="J8409" s="3"/>
      <c r="K8409" s="3"/>
      <c r="L8409" s="3"/>
    </row>
    <row r="8410" spans="9:12" x14ac:dyDescent="0.25">
      <c r="I8410" s="3"/>
      <c r="J8410" s="3"/>
      <c r="K8410" s="3"/>
      <c r="L8410" s="3"/>
    </row>
    <row r="8411" spans="9:12" x14ac:dyDescent="0.25">
      <c r="I8411" s="3"/>
      <c r="J8411" s="3"/>
      <c r="K8411" s="3"/>
      <c r="L8411" s="3"/>
    </row>
    <row r="8412" spans="9:12" x14ac:dyDescent="0.25">
      <c r="I8412" s="3"/>
      <c r="J8412" s="3"/>
      <c r="K8412" s="3"/>
      <c r="L8412" s="3"/>
    </row>
    <row r="8413" spans="9:12" x14ac:dyDescent="0.25">
      <c r="I8413" s="3"/>
      <c r="J8413" s="3"/>
      <c r="K8413" s="3"/>
      <c r="L8413" s="3"/>
    </row>
    <row r="8414" spans="9:12" x14ac:dyDescent="0.25">
      <c r="I8414" s="3"/>
      <c r="J8414" s="3"/>
      <c r="K8414" s="3"/>
      <c r="L8414" s="3"/>
    </row>
    <row r="8415" spans="9:12" x14ac:dyDescent="0.25">
      <c r="I8415" s="3"/>
      <c r="J8415" s="3"/>
      <c r="K8415" s="3"/>
      <c r="L8415" s="3"/>
    </row>
    <row r="8416" spans="9:12" x14ac:dyDescent="0.25">
      <c r="I8416" s="3"/>
      <c r="J8416" s="3"/>
      <c r="K8416" s="3"/>
      <c r="L8416" s="3"/>
    </row>
    <row r="8417" spans="9:12" x14ac:dyDescent="0.25">
      <c r="I8417" s="3"/>
      <c r="J8417" s="3"/>
      <c r="K8417" s="3"/>
      <c r="L8417" s="3"/>
    </row>
    <row r="8418" spans="9:12" x14ac:dyDescent="0.25">
      <c r="I8418" s="3"/>
      <c r="J8418" s="3"/>
      <c r="K8418" s="3"/>
      <c r="L8418" s="3"/>
    </row>
    <row r="8419" spans="9:12" x14ac:dyDescent="0.25">
      <c r="I8419" s="3"/>
      <c r="J8419" s="3"/>
      <c r="K8419" s="3"/>
      <c r="L8419" s="3"/>
    </row>
    <row r="8420" spans="9:12" x14ac:dyDescent="0.25">
      <c r="I8420" s="3"/>
      <c r="J8420" s="3"/>
      <c r="K8420" s="3"/>
      <c r="L8420" s="3"/>
    </row>
    <row r="8421" spans="9:12" x14ac:dyDescent="0.25">
      <c r="I8421" s="3"/>
      <c r="J8421" s="3"/>
      <c r="K8421" s="3"/>
      <c r="L8421" s="3"/>
    </row>
    <row r="8422" spans="9:12" x14ac:dyDescent="0.25">
      <c r="I8422" s="3"/>
      <c r="J8422" s="3"/>
      <c r="K8422" s="3"/>
      <c r="L8422" s="3"/>
    </row>
    <row r="8423" spans="9:12" x14ac:dyDescent="0.25">
      <c r="I8423" s="3"/>
      <c r="J8423" s="3"/>
      <c r="K8423" s="3"/>
      <c r="L8423" s="3"/>
    </row>
    <row r="8424" spans="9:12" x14ac:dyDescent="0.25">
      <c r="I8424" s="3"/>
      <c r="J8424" s="3"/>
      <c r="K8424" s="3"/>
      <c r="L8424" s="3"/>
    </row>
    <row r="8425" spans="9:12" x14ac:dyDescent="0.25">
      <c r="I8425" s="3"/>
      <c r="J8425" s="3"/>
      <c r="K8425" s="3"/>
      <c r="L8425" s="3"/>
    </row>
    <row r="8426" spans="9:12" x14ac:dyDescent="0.25">
      <c r="I8426" s="3"/>
      <c r="J8426" s="3"/>
      <c r="K8426" s="3"/>
      <c r="L8426" s="3"/>
    </row>
    <row r="8427" spans="9:12" x14ac:dyDescent="0.25">
      <c r="I8427" s="3"/>
      <c r="J8427" s="3"/>
      <c r="K8427" s="3"/>
      <c r="L8427" s="3"/>
    </row>
    <row r="8428" spans="9:12" x14ac:dyDescent="0.25">
      <c r="I8428" s="3"/>
      <c r="J8428" s="3"/>
      <c r="K8428" s="3"/>
      <c r="L8428" s="3"/>
    </row>
    <row r="8429" spans="9:12" x14ac:dyDescent="0.25">
      <c r="I8429" s="3"/>
      <c r="J8429" s="3"/>
      <c r="K8429" s="3"/>
      <c r="L8429" s="3"/>
    </row>
    <row r="8430" spans="9:12" x14ac:dyDescent="0.25">
      <c r="I8430" s="3"/>
      <c r="J8430" s="3"/>
      <c r="K8430" s="3"/>
      <c r="L8430" s="3"/>
    </row>
    <row r="8431" spans="9:12" x14ac:dyDescent="0.25">
      <c r="I8431" s="3"/>
      <c r="J8431" s="3"/>
      <c r="K8431" s="3"/>
      <c r="L8431" s="3"/>
    </row>
    <row r="8432" spans="9:12" x14ac:dyDescent="0.25">
      <c r="I8432" s="3"/>
      <c r="J8432" s="3"/>
      <c r="K8432" s="3"/>
      <c r="L8432" s="3"/>
    </row>
    <row r="8433" spans="9:12" x14ac:dyDescent="0.25">
      <c r="I8433" s="3"/>
      <c r="J8433" s="3"/>
      <c r="K8433" s="3"/>
      <c r="L8433" s="3"/>
    </row>
    <row r="8434" spans="9:12" x14ac:dyDescent="0.25">
      <c r="I8434" s="3"/>
      <c r="J8434" s="3"/>
      <c r="K8434" s="3"/>
      <c r="L8434" s="3"/>
    </row>
    <row r="8435" spans="9:12" x14ac:dyDescent="0.25">
      <c r="I8435" s="3"/>
      <c r="J8435" s="3"/>
      <c r="K8435" s="3"/>
      <c r="L8435" s="3"/>
    </row>
    <row r="8436" spans="9:12" x14ac:dyDescent="0.25">
      <c r="I8436" s="3"/>
      <c r="J8436" s="3"/>
      <c r="K8436" s="3"/>
      <c r="L8436" s="3"/>
    </row>
    <row r="8437" spans="9:12" x14ac:dyDescent="0.25">
      <c r="I8437" s="3"/>
      <c r="J8437" s="3"/>
      <c r="K8437" s="3"/>
      <c r="L8437" s="3"/>
    </row>
    <row r="8438" spans="9:12" x14ac:dyDescent="0.25">
      <c r="I8438" s="3"/>
      <c r="J8438" s="3"/>
      <c r="K8438" s="3"/>
      <c r="L8438" s="3"/>
    </row>
    <row r="8439" spans="9:12" x14ac:dyDescent="0.25">
      <c r="I8439" s="3"/>
      <c r="J8439" s="3"/>
      <c r="K8439" s="3"/>
      <c r="L8439" s="3"/>
    </row>
    <row r="8440" spans="9:12" x14ac:dyDescent="0.25">
      <c r="I8440" s="3"/>
      <c r="J8440" s="3"/>
      <c r="K8440" s="3"/>
      <c r="L8440" s="3"/>
    </row>
    <row r="8441" spans="9:12" x14ac:dyDescent="0.25">
      <c r="I8441" s="3"/>
      <c r="J8441" s="3"/>
      <c r="K8441" s="3"/>
      <c r="L8441" s="3"/>
    </row>
    <row r="8442" spans="9:12" x14ac:dyDescent="0.25">
      <c r="I8442" s="3"/>
      <c r="J8442" s="3"/>
      <c r="K8442" s="3"/>
      <c r="L8442" s="3"/>
    </row>
    <row r="8443" spans="9:12" x14ac:dyDescent="0.25">
      <c r="I8443" s="3"/>
      <c r="J8443" s="3"/>
      <c r="K8443" s="3"/>
      <c r="L8443" s="3"/>
    </row>
    <row r="8444" spans="9:12" x14ac:dyDescent="0.25">
      <c r="I8444" s="3"/>
      <c r="J8444" s="3"/>
      <c r="K8444" s="3"/>
      <c r="L8444" s="3"/>
    </row>
    <row r="8445" spans="9:12" x14ac:dyDescent="0.25">
      <c r="I8445" s="3"/>
      <c r="J8445" s="3"/>
      <c r="K8445" s="3"/>
      <c r="L8445" s="3"/>
    </row>
    <row r="8446" spans="9:12" x14ac:dyDescent="0.25">
      <c r="I8446" s="3"/>
      <c r="J8446" s="3"/>
      <c r="K8446" s="3"/>
      <c r="L8446" s="3"/>
    </row>
    <row r="8447" spans="9:12" x14ac:dyDescent="0.25">
      <c r="I8447" s="3"/>
      <c r="J8447" s="3"/>
      <c r="K8447" s="3"/>
      <c r="L8447" s="3"/>
    </row>
    <row r="8448" spans="9:12" x14ac:dyDescent="0.25">
      <c r="I8448" s="3"/>
      <c r="J8448" s="3"/>
      <c r="K8448" s="3"/>
      <c r="L8448" s="3"/>
    </row>
    <row r="8449" spans="9:12" x14ac:dyDescent="0.25">
      <c r="I8449" s="3"/>
      <c r="J8449" s="3"/>
      <c r="K8449" s="3"/>
      <c r="L8449" s="3"/>
    </row>
    <row r="8450" spans="9:12" x14ac:dyDescent="0.25">
      <c r="I8450" s="3"/>
      <c r="J8450" s="3"/>
      <c r="K8450" s="3"/>
      <c r="L8450" s="3"/>
    </row>
    <row r="8451" spans="9:12" x14ac:dyDescent="0.25">
      <c r="I8451" s="3"/>
      <c r="J8451" s="3"/>
      <c r="K8451" s="3"/>
      <c r="L8451" s="3"/>
    </row>
    <row r="8452" spans="9:12" x14ac:dyDescent="0.25">
      <c r="I8452" s="3"/>
      <c r="J8452" s="3"/>
      <c r="K8452" s="3"/>
      <c r="L8452" s="3"/>
    </row>
    <row r="8453" spans="9:12" x14ac:dyDescent="0.25">
      <c r="I8453" s="3"/>
      <c r="J8453" s="3"/>
      <c r="K8453" s="3"/>
      <c r="L8453" s="3"/>
    </row>
    <row r="8454" spans="9:12" x14ac:dyDescent="0.25">
      <c r="I8454" s="3"/>
      <c r="J8454" s="3"/>
      <c r="K8454" s="3"/>
      <c r="L8454" s="3"/>
    </row>
    <row r="8455" spans="9:12" x14ac:dyDescent="0.25">
      <c r="I8455" s="3"/>
      <c r="J8455" s="3"/>
      <c r="K8455" s="3"/>
      <c r="L8455" s="3"/>
    </row>
    <row r="8456" spans="9:12" x14ac:dyDescent="0.25">
      <c r="I8456" s="3"/>
      <c r="J8456" s="3"/>
      <c r="K8456" s="3"/>
      <c r="L8456" s="3"/>
    </row>
    <row r="8457" spans="9:12" x14ac:dyDescent="0.25">
      <c r="I8457" s="3"/>
      <c r="J8457" s="3"/>
      <c r="K8457" s="3"/>
      <c r="L8457" s="3"/>
    </row>
    <row r="8458" spans="9:12" x14ac:dyDescent="0.25">
      <c r="I8458" s="3"/>
      <c r="J8458" s="3"/>
      <c r="K8458" s="3"/>
      <c r="L8458" s="3"/>
    </row>
    <row r="8459" spans="9:12" x14ac:dyDescent="0.25">
      <c r="I8459" s="3"/>
      <c r="J8459" s="3"/>
      <c r="K8459" s="3"/>
      <c r="L8459" s="3"/>
    </row>
    <row r="8460" spans="9:12" x14ac:dyDescent="0.25">
      <c r="I8460" s="3"/>
      <c r="J8460" s="3"/>
      <c r="K8460" s="3"/>
      <c r="L8460" s="3"/>
    </row>
    <row r="8461" spans="9:12" x14ac:dyDescent="0.25">
      <c r="I8461" s="3"/>
      <c r="J8461" s="3"/>
      <c r="K8461" s="3"/>
      <c r="L8461" s="3"/>
    </row>
    <row r="8462" spans="9:12" x14ac:dyDescent="0.25">
      <c r="I8462" s="3"/>
      <c r="J8462" s="3"/>
      <c r="K8462" s="3"/>
      <c r="L8462" s="3"/>
    </row>
    <row r="8463" spans="9:12" x14ac:dyDescent="0.25">
      <c r="I8463" s="3"/>
      <c r="J8463" s="3"/>
      <c r="K8463" s="3"/>
      <c r="L8463" s="3"/>
    </row>
    <row r="8464" spans="9:12" x14ac:dyDescent="0.25">
      <c r="I8464" s="3"/>
      <c r="J8464" s="3"/>
      <c r="K8464" s="3"/>
      <c r="L8464" s="3"/>
    </row>
    <row r="8465" spans="9:12" x14ac:dyDescent="0.25">
      <c r="I8465" s="3"/>
      <c r="J8465" s="3"/>
      <c r="K8465" s="3"/>
      <c r="L8465" s="3"/>
    </row>
    <row r="8466" spans="9:12" x14ac:dyDescent="0.25">
      <c r="I8466" s="3"/>
      <c r="J8466" s="3"/>
      <c r="K8466" s="3"/>
      <c r="L8466" s="3"/>
    </row>
    <row r="8467" spans="9:12" x14ac:dyDescent="0.25">
      <c r="I8467" s="3"/>
      <c r="J8467" s="3"/>
      <c r="K8467" s="3"/>
      <c r="L8467" s="3"/>
    </row>
    <row r="8468" spans="9:12" x14ac:dyDescent="0.25">
      <c r="I8468" s="3"/>
      <c r="J8468" s="3"/>
      <c r="K8468" s="3"/>
      <c r="L8468" s="3"/>
    </row>
    <row r="8469" spans="9:12" x14ac:dyDescent="0.25">
      <c r="I8469" s="3"/>
      <c r="J8469" s="3"/>
      <c r="K8469" s="3"/>
      <c r="L8469" s="3"/>
    </row>
    <row r="8470" spans="9:12" x14ac:dyDescent="0.25">
      <c r="I8470" s="3"/>
      <c r="J8470" s="3"/>
      <c r="K8470" s="3"/>
      <c r="L8470" s="3"/>
    </row>
    <row r="8471" spans="9:12" x14ac:dyDescent="0.25">
      <c r="I8471" s="3"/>
      <c r="J8471" s="3"/>
      <c r="K8471" s="3"/>
      <c r="L8471" s="3"/>
    </row>
    <row r="8472" spans="9:12" x14ac:dyDescent="0.25">
      <c r="I8472" s="3"/>
      <c r="J8472" s="3"/>
      <c r="K8472" s="3"/>
      <c r="L8472" s="3"/>
    </row>
    <row r="8473" spans="9:12" x14ac:dyDescent="0.25">
      <c r="I8473" s="3"/>
      <c r="J8473" s="3"/>
      <c r="K8473" s="3"/>
      <c r="L8473" s="3"/>
    </row>
    <row r="8474" spans="9:12" x14ac:dyDescent="0.25">
      <c r="I8474" s="3"/>
      <c r="J8474" s="3"/>
      <c r="K8474" s="3"/>
      <c r="L8474" s="3"/>
    </row>
    <row r="8475" spans="9:12" x14ac:dyDescent="0.25">
      <c r="I8475" s="3"/>
      <c r="J8475" s="3"/>
      <c r="K8475" s="3"/>
      <c r="L8475" s="3"/>
    </row>
    <row r="8476" spans="9:12" x14ac:dyDescent="0.25">
      <c r="I8476" s="3"/>
      <c r="J8476" s="3"/>
      <c r="K8476" s="3"/>
      <c r="L8476" s="3"/>
    </row>
    <row r="8477" spans="9:12" x14ac:dyDescent="0.25">
      <c r="I8477" s="3"/>
      <c r="J8477" s="3"/>
      <c r="K8477" s="3"/>
      <c r="L8477" s="3"/>
    </row>
    <row r="8478" spans="9:12" x14ac:dyDescent="0.25">
      <c r="I8478" s="3"/>
      <c r="J8478" s="3"/>
      <c r="K8478" s="3"/>
      <c r="L8478" s="3"/>
    </row>
    <row r="8479" spans="9:12" x14ac:dyDescent="0.25">
      <c r="I8479" s="3"/>
      <c r="J8479" s="3"/>
      <c r="K8479" s="3"/>
      <c r="L8479" s="3"/>
    </row>
    <row r="8480" spans="9:12" x14ac:dyDescent="0.25">
      <c r="I8480" s="3"/>
      <c r="J8480" s="3"/>
      <c r="K8480" s="3"/>
      <c r="L8480" s="3"/>
    </row>
    <row r="8481" spans="9:12" x14ac:dyDescent="0.25">
      <c r="I8481" s="3"/>
      <c r="J8481" s="3"/>
      <c r="K8481" s="3"/>
      <c r="L8481" s="3"/>
    </row>
    <row r="8482" spans="9:12" x14ac:dyDescent="0.25">
      <c r="I8482" s="3"/>
      <c r="J8482" s="3"/>
      <c r="K8482" s="3"/>
      <c r="L8482" s="3"/>
    </row>
    <row r="8483" spans="9:12" x14ac:dyDescent="0.25">
      <c r="I8483" s="3"/>
      <c r="J8483" s="3"/>
      <c r="K8483" s="3"/>
      <c r="L8483" s="3"/>
    </row>
    <row r="8484" spans="9:12" x14ac:dyDescent="0.25">
      <c r="I8484" s="3"/>
      <c r="J8484" s="3"/>
      <c r="K8484" s="3"/>
      <c r="L8484" s="3"/>
    </row>
    <row r="8485" spans="9:12" x14ac:dyDescent="0.25">
      <c r="I8485" s="3"/>
      <c r="J8485" s="3"/>
      <c r="K8485" s="3"/>
      <c r="L8485" s="3"/>
    </row>
    <row r="8486" spans="9:12" x14ac:dyDescent="0.25">
      <c r="I8486" s="3"/>
      <c r="J8486" s="3"/>
      <c r="K8486" s="3"/>
      <c r="L8486" s="3"/>
    </row>
    <row r="8487" spans="9:12" x14ac:dyDescent="0.25">
      <c r="I8487" s="3"/>
      <c r="J8487" s="3"/>
      <c r="K8487" s="3"/>
      <c r="L8487" s="3"/>
    </row>
    <row r="8488" spans="9:12" x14ac:dyDescent="0.25">
      <c r="I8488" s="3"/>
      <c r="J8488" s="3"/>
      <c r="K8488" s="3"/>
      <c r="L8488" s="3"/>
    </row>
    <row r="8489" spans="9:12" x14ac:dyDescent="0.25">
      <c r="I8489" s="3"/>
      <c r="J8489" s="3"/>
      <c r="K8489" s="3"/>
      <c r="L8489" s="3"/>
    </row>
    <row r="8490" spans="9:12" x14ac:dyDescent="0.25">
      <c r="I8490" s="3"/>
      <c r="J8490" s="3"/>
      <c r="K8490" s="3"/>
      <c r="L8490" s="3"/>
    </row>
    <row r="8491" spans="9:12" x14ac:dyDescent="0.25">
      <c r="I8491" s="3"/>
      <c r="J8491" s="3"/>
      <c r="K8491" s="3"/>
      <c r="L8491" s="3"/>
    </row>
    <row r="8492" spans="9:12" x14ac:dyDescent="0.25">
      <c r="I8492" s="3"/>
      <c r="J8492" s="3"/>
      <c r="K8492" s="3"/>
      <c r="L8492" s="3"/>
    </row>
    <row r="8493" spans="9:12" x14ac:dyDescent="0.25">
      <c r="I8493" s="3"/>
      <c r="J8493" s="3"/>
      <c r="K8493" s="3"/>
      <c r="L8493" s="3"/>
    </row>
    <row r="8494" spans="9:12" x14ac:dyDescent="0.25">
      <c r="I8494" s="3"/>
      <c r="J8494" s="3"/>
      <c r="K8494" s="3"/>
      <c r="L8494" s="3"/>
    </row>
    <row r="8495" spans="9:12" x14ac:dyDescent="0.25">
      <c r="I8495" s="3"/>
      <c r="J8495" s="3"/>
      <c r="K8495" s="3"/>
      <c r="L8495" s="3"/>
    </row>
    <row r="8496" spans="9:12" x14ac:dyDescent="0.25">
      <c r="I8496" s="3"/>
      <c r="J8496" s="3"/>
      <c r="K8496" s="3"/>
      <c r="L8496" s="3"/>
    </row>
    <row r="8497" spans="9:12" x14ac:dyDescent="0.25">
      <c r="I8497" s="3"/>
      <c r="J8497" s="3"/>
      <c r="K8497" s="3"/>
      <c r="L8497" s="3"/>
    </row>
    <row r="8498" spans="9:12" x14ac:dyDescent="0.25">
      <c r="I8498" s="3"/>
      <c r="J8498" s="3"/>
      <c r="K8498" s="3"/>
      <c r="L8498" s="3"/>
    </row>
    <row r="8499" spans="9:12" x14ac:dyDescent="0.25">
      <c r="I8499" s="3"/>
      <c r="J8499" s="3"/>
      <c r="K8499" s="3"/>
      <c r="L8499" s="3"/>
    </row>
    <row r="8500" spans="9:12" x14ac:dyDescent="0.25">
      <c r="I8500" s="3"/>
      <c r="J8500" s="3"/>
      <c r="K8500" s="3"/>
      <c r="L8500" s="3"/>
    </row>
    <row r="8501" spans="9:12" x14ac:dyDescent="0.25">
      <c r="I8501" s="3"/>
      <c r="J8501" s="3"/>
      <c r="K8501" s="3"/>
      <c r="L8501" s="3"/>
    </row>
    <row r="8502" spans="9:12" x14ac:dyDescent="0.25">
      <c r="I8502" s="3"/>
      <c r="J8502" s="3"/>
      <c r="K8502" s="3"/>
      <c r="L8502" s="3"/>
    </row>
    <row r="8503" spans="9:12" x14ac:dyDescent="0.25">
      <c r="I8503" s="3"/>
      <c r="J8503" s="3"/>
      <c r="K8503" s="3"/>
      <c r="L8503" s="3"/>
    </row>
    <row r="8504" spans="9:12" x14ac:dyDescent="0.25">
      <c r="I8504" s="3"/>
      <c r="J8504" s="3"/>
      <c r="K8504" s="3"/>
      <c r="L8504" s="3"/>
    </row>
    <row r="8505" spans="9:12" x14ac:dyDescent="0.25">
      <c r="I8505" s="3"/>
      <c r="J8505" s="3"/>
      <c r="K8505" s="3"/>
      <c r="L8505" s="3"/>
    </row>
    <row r="8506" spans="9:12" x14ac:dyDescent="0.25">
      <c r="I8506" s="3"/>
      <c r="J8506" s="3"/>
      <c r="K8506" s="3"/>
      <c r="L8506" s="3"/>
    </row>
    <row r="8507" spans="9:12" x14ac:dyDescent="0.25">
      <c r="I8507" s="3"/>
      <c r="J8507" s="3"/>
      <c r="K8507" s="3"/>
      <c r="L8507" s="3"/>
    </row>
    <row r="8508" spans="9:12" x14ac:dyDescent="0.25">
      <c r="I8508" s="3"/>
      <c r="J8508" s="3"/>
      <c r="K8508" s="3"/>
      <c r="L8508" s="3"/>
    </row>
    <row r="8509" spans="9:12" x14ac:dyDescent="0.25">
      <c r="I8509" s="3"/>
      <c r="J8509" s="3"/>
      <c r="K8509" s="3"/>
      <c r="L8509" s="3"/>
    </row>
    <row r="8510" spans="9:12" x14ac:dyDescent="0.25">
      <c r="I8510" s="3"/>
      <c r="J8510" s="3"/>
      <c r="K8510" s="3"/>
      <c r="L8510" s="3"/>
    </row>
    <row r="8511" spans="9:12" x14ac:dyDescent="0.25">
      <c r="I8511" s="3"/>
      <c r="J8511" s="3"/>
      <c r="K8511" s="3"/>
      <c r="L8511" s="3"/>
    </row>
    <row r="8512" spans="9:12" x14ac:dyDescent="0.25">
      <c r="I8512" s="3"/>
      <c r="J8512" s="3"/>
      <c r="K8512" s="3"/>
      <c r="L8512" s="3"/>
    </row>
    <row r="8513" spans="9:12" x14ac:dyDescent="0.25">
      <c r="I8513" s="3"/>
      <c r="J8513" s="3"/>
      <c r="K8513" s="3"/>
      <c r="L8513" s="3"/>
    </row>
    <row r="8514" spans="9:12" x14ac:dyDescent="0.25">
      <c r="I8514" s="3"/>
      <c r="J8514" s="3"/>
      <c r="K8514" s="3"/>
      <c r="L8514" s="3"/>
    </row>
    <row r="8515" spans="9:12" x14ac:dyDescent="0.25">
      <c r="I8515" s="3"/>
      <c r="J8515" s="3"/>
      <c r="K8515" s="3"/>
      <c r="L8515" s="3"/>
    </row>
    <row r="8516" spans="9:12" x14ac:dyDescent="0.25">
      <c r="I8516" s="3"/>
      <c r="J8516" s="3"/>
      <c r="K8516" s="3"/>
      <c r="L8516" s="3"/>
    </row>
    <row r="8517" spans="9:12" x14ac:dyDescent="0.25">
      <c r="I8517" s="3"/>
      <c r="J8517" s="3"/>
      <c r="K8517" s="3"/>
      <c r="L8517" s="3"/>
    </row>
    <row r="8518" spans="9:12" x14ac:dyDescent="0.25">
      <c r="I8518" s="3"/>
      <c r="J8518" s="3"/>
      <c r="K8518" s="3"/>
      <c r="L8518" s="3"/>
    </row>
    <row r="8519" spans="9:12" x14ac:dyDescent="0.25">
      <c r="I8519" s="3"/>
      <c r="J8519" s="3"/>
      <c r="K8519" s="3"/>
      <c r="L8519" s="3"/>
    </row>
    <row r="8520" spans="9:12" x14ac:dyDescent="0.25">
      <c r="I8520" s="3"/>
      <c r="J8520" s="3"/>
      <c r="K8520" s="3"/>
      <c r="L8520" s="3"/>
    </row>
    <row r="8521" spans="9:12" x14ac:dyDescent="0.25">
      <c r="I8521" s="3"/>
      <c r="J8521" s="3"/>
      <c r="K8521" s="3"/>
      <c r="L8521" s="3"/>
    </row>
    <row r="8522" spans="9:12" x14ac:dyDescent="0.25">
      <c r="I8522" s="3"/>
      <c r="J8522" s="3"/>
      <c r="K8522" s="3"/>
      <c r="L8522" s="3"/>
    </row>
    <row r="8523" spans="9:12" x14ac:dyDescent="0.25">
      <c r="I8523" s="3"/>
      <c r="J8523" s="3"/>
      <c r="K8523" s="3"/>
      <c r="L8523" s="3"/>
    </row>
    <row r="8524" spans="9:12" x14ac:dyDescent="0.25">
      <c r="I8524" s="3"/>
      <c r="J8524" s="3"/>
      <c r="K8524" s="3"/>
      <c r="L8524" s="3"/>
    </row>
    <row r="8525" spans="9:12" x14ac:dyDescent="0.25">
      <c r="I8525" s="3"/>
      <c r="J8525" s="3"/>
      <c r="K8525" s="3"/>
      <c r="L8525" s="3"/>
    </row>
    <row r="8526" spans="9:12" x14ac:dyDescent="0.25">
      <c r="I8526" s="3"/>
      <c r="J8526" s="3"/>
      <c r="K8526" s="3"/>
      <c r="L8526" s="3"/>
    </row>
    <row r="8527" spans="9:12" x14ac:dyDescent="0.25">
      <c r="I8527" s="3"/>
      <c r="J8527" s="3"/>
      <c r="K8527" s="3"/>
      <c r="L8527" s="3"/>
    </row>
    <row r="8528" spans="9:12" x14ac:dyDescent="0.25">
      <c r="I8528" s="3"/>
      <c r="J8528" s="3"/>
      <c r="K8528" s="3"/>
      <c r="L8528" s="3"/>
    </row>
    <row r="8529" spans="9:12" x14ac:dyDescent="0.25">
      <c r="I8529" s="3"/>
      <c r="J8529" s="3"/>
      <c r="K8529" s="3"/>
      <c r="L8529" s="3"/>
    </row>
    <row r="8530" spans="9:12" x14ac:dyDescent="0.25">
      <c r="I8530" s="3"/>
      <c r="J8530" s="3"/>
      <c r="K8530" s="3"/>
      <c r="L8530" s="3"/>
    </row>
    <row r="8531" spans="9:12" x14ac:dyDescent="0.25">
      <c r="I8531" s="3"/>
      <c r="J8531" s="3"/>
      <c r="K8531" s="3"/>
      <c r="L8531" s="3"/>
    </row>
    <row r="8532" spans="9:12" x14ac:dyDescent="0.25">
      <c r="I8532" s="3"/>
      <c r="J8532" s="3"/>
      <c r="K8532" s="3"/>
      <c r="L8532" s="3"/>
    </row>
    <row r="8533" spans="9:12" x14ac:dyDescent="0.25">
      <c r="I8533" s="3"/>
      <c r="J8533" s="3"/>
      <c r="K8533" s="3"/>
      <c r="L8533" s="3"/>
    </row>
    <row r="8534" spans="9:12" x14ac:dyDescent="0.25">
      <c r="I8534" s="3"/>
      <c r="J8534" s="3"/>
      <c r="K8534" s="3"/>
      <c r="L8534" s="3"/>
    </row>
    <row r="8535" spans="9:12" x14ac:dyDescent="0.25">
      <c r="I8535" s="3"/>
      <c r="J8535" s="3"/>
      <c r="K8535" s="3"/>
      <c r="L8535" s="3"/>
    </row>
    <row r="8536" spans="9:12" x14ac:dyDescent="0.25">
      <c r="I8536" s="3"/>
      <c r="J8536" s="3"/>
      <c r="K8536" s="3"/>
      <c r="L8536" s="3"/>
    </row>
    <row r="8537" spans="9:12" x14ac:dyDescent="0.25">
      <c r="I8537" s="3"/>
      <c r="J8537" s="3"/>
      <c r="K8537" s="3"/>
      <c r="L8537" s="3"/>
    </row>
    <row r="8538" spans="9:12" x14ac:dyDescent="0.25">
      <c r="I8538" s="3"/>
      <c r="J8538" s="3"/>
      <c r="K8538" s="3"/>
      <c r="L8538" s="3"/>
    </row>
    <row r="8539" spans="9:12" x14ac:dyDescent="0.25">
      <c r="I8539" s="3"/>
      <c r="J8539" s="3"/>
      <c r="K8539" s="3"/>
      <c r="L8539" s="3"/>
    </row>
    <row r="8540" spans="9:12" x14ac:dyDescent="0.25">
      <c r="I8540" s="3"/>
      <c r="J8540" s="3"/>
      <c r="K8540" s="3"/>
      <c r="L8540" s="3"/>
    </row>
    <row r="8541" spans="9:12" x14ac:dyDescent="0.25">
      <c r="I8541" s="3"/>
      <c r="J8541" s="3"/>
      <c r="K8541" s="3"/>
      <c r="L8541" s="3"/>
    </row>
    <row r="8542" spans="9:12" x14ac:dyDescent="0.25">
      <c r="I8542" s="3"/>
      <c r="J8542" s="3"/>
      <c r="K8542" s="3"/>
      <c r="L8542" s="3"/>
    </row>
    <row r="8543" spans="9:12" x14ac:dyDescent="0.25">
      <c r="I8543" s="3"/>
      <c r="J8543" s="3"/>
      <c r="K8543" s="3"/>
      <c r="L8543" s="3"/>
    </row>
    <row r="8544" spans="9:12" x14ac:dyDescent="0.25">
      <c r="I8544" s="3"/>
      <c r="J8544" s="3"/>
      <c r="K8544" s="3"/>
      <c r="L8544" s="3"/>
    </row>
    <row r="8545" spans="9:12" x14ac:dyDescent="0.25">
      <c r="I8545" s="3"/>
      <c r="J8545" s="3"/>
      <c r="K8545" s="3"/>
      <c r="L8545" s="3"/>
    </row>
    <row r="8546" spans="9:12" x14ac:dyDescent="0.25">
      <c r="I8546" s="3"/>
      <c r="J8546" s="3"/>
      <c r="K8546" s="3"/>
      <c r="L8546" s="3"/>
    </row>
    <row r="8547" spans="9:12" x14ac:dyDescent="0.25">
      <c r="I8547" s="3"/>
      <c r="J8547" s="3"/>
      <c r="K8547" s="3"/>
      <c r="L8547" s="3"/>
    </row>
    <row r="8548" spans="9:12" x14ac:dyDescent="0.25">
      <c r="I8548" s="3"/>
      <c r="J8548" s="3"/>
      <c r="K8548" s="3"/>
      <c r="L8548" s="3"/>
    </row>
    <row r="8549" spans="9:12" x14ac:dyDescent="0.25">
      <c r="I8549" s="3"/>
      <c r="J8549" s="3"/>
      <c r="K8549" s="3"/>
      <c r="L8549" s="3"/>
    </row>
    <row r="8550" spans="9:12" x14ac:dyDescent="0.25">
      <c r="I8550" s="3"/>
      <c r="J8550" s="3"/>
      <c r="K8550" s="3"/>
      <c r="L8550" s="3"/>
    </row>
    <row r="8551" spans="9:12" x14ac:dyDescent="0.25">
      <c r="I8551" s="3"/>
      <c r="J8551" s="3"/>
      <c r="K8551" s="3"/>
      <c r="L8551" s="3"/>
    </row>
    <row r="8552" spans="9:12" x14ac:dyDescent="0.25">
      <c r="I8552" s="3"/>
      <c r="J8552" s="3"/>
      <c r="K8552" s="3"/>
      <c r="L8552" s="3"/>
    </row>
    <row r="8553" spans="9:12" x14ac:dyDescent="0.25">
      <c r="I8553" s="3"/>
      <c r="J8553" s="3"/>
      <c r="K8553" s="3"/>
      <c r="L8553" s="3"/>
    </row>
    <row r="8554" spans="9:12" x14ac:dyDescent="0.25">
      <c r="I8554" s="3"/>
      <c r="J8554" s="3"/>
      <c r="K8554" s="3"/>
      <c r="L8554" s="3"/>
    </row>
    <row r="8555" spans="9:12" x14ac:dyDescent="0.25">
      <c r="I8555" s="3"/>
      <c r="J8555" s="3"/>
      <c r="K8555" s="3"/>
      <c r="L8555" s="3"/>
    </row>
    <row r="8556" spans="9:12" x14ac:dyDescent="0.25">
      <c r="I8556" s="3"/>
      <c r="J8556" s="3"/>
      <c r="K8556" s="3"/>
      <c r="L8556" s="3"/>
    </row>
    <row r="8557" spans="9:12" x14ac:dyDescent="0.25">
      <c r="I8557" s="3"/>
      <c r="J8557" s="3"/>
      <c r="K8557" s="3"/>
      <c r="L8557" s="3"/>
    </row>
    <row r="8558" spans="9:12" x14ac:dyDescent="0.25">
      <c r="I8558" s="3"/>
      <c r="J8558" s="3"/>
      <c r="K8558" s="3"/>
      <c r="L8558" s="3"/>
    </row>
    <row r="8559" spans="9:12" x14ac:dyDescent="0.25">
      <c r="I8559" s="3"/>
      <c r="J8559" s="3"/>
      <c r="K8559" s="3"/>
      <c r="L8559" s="3"/>
    </row>
    <row r="8560" spans="9:12" x14ac:dyDescent="0.25">
      <c r="I8560" s="3"/>
      <c r="J8560" s="3"/>
      <c r="K8560" s="3"/>
      <c r="L8560" s="3"/>
    </row>
    <row r="8561" spans="9:12" x14ac:dyDescent="0.25">
      <c r="I8561" s="3"/>
      <c r="J8561" s="3"/>
      <c r="K8561" s="3"/>
      <c r="L8561" s="3"/>
    </row>
    <row r="8562" spans="9:12" x14ac:dyDescent="0.25">
      <c r="I8562" s="3"/>
      <c r="J8562" s="3"/>
      <c r="K8562" s="3"/>
      <c r="L8562" s="3"/>
    </row>
    <row r="8563" spans="9:12" x14ac:dyDescent="0.25">
      <c r="I8563" s="3"/>
      <c r="J8563" s="3"/>
      <c r="K8563" s="3"/>
      <c r="L8563" s="3"/>
    </row>
    <row r="8564" spans="9:12" x14ac:dyDescent="0.25">
      <c r="I8564" s="3"/>
      <c r="J8564" s="3"/>
      <c r="K8564" s="3"/>
      <c r="L8564" s="3"/>
    </row>
    <row r="8565" spans="9:12" x14ac:dyDescent="0.25">
      <c r="I8565" s="3"/>
      <c r="J8565" s="3"/>
      <c r="K8565" s="3"/>
      <c r="L8565" s="3"/>
    </row>
    <row r="8566" spans="9:12" x14ac:dyDescent="0.25">
      <c r="I8566" s="3"/>
      <c r="J8566" s="3"/>
      <c r="K8566" s="3"/>
      <c r="L8566" s="3"/>
    </row>
    <row r="8567" spans="9:12" x14ac:dyDescent="0.25">
      <c r="I8567" s="3"/>
      <c r="J8567" s="3"/>
      <c r="K8567" s="3"/>
      <c r="L8567" s="3"/>
    </row>
    <row r="8568" spans="9:12" x14ac:dyDescent="0.25">
      <c r="I8568" s="3"/>
      <c r="J8568" s="3"/>
      <c r="K8568" s="3"/>
      <c r="L8568" s="3"/>
    </row>
    <row r="8569" spans="9:12" x14ac:dyDescent="0.25">
      <c r="I8569" s="3"/>
      <c r="J8569" s="3"/>
      <c r="K8569" s="3"/>
      <c r="L8569" s="3"/>
    </row>
    <row r="8570" spans="9:12" x14ac:dyDescent="0.25">
      <c r="I8570" s="3"/>
      <c r="J8570" s="3"/>
      <c r="K8570" s="3"/>
      <c r="L8570" s="3"/>
    </row>
    <row r="8571" spans="9:12" x14ac:dyDescent="0.25">
      <c r="I8571" s="3"/>
      <c r="J8571" s="3"/>
      <c r="K8571" s="3"/>
      <c r="L8571" s="3"/>
    </row>
    <row r="8572" spans="9:12" x14ac:dyDescent="0.25">
      <c r="I8572" s="3"/>
      <c r="J8572" s="3"/>
      <c r="K8572" s="3"/>
      <c r="L8572" s="3"/>
    </row>
    <row r="8573" spans="9:12" x14ac:dyDescent="0.25">
      <c r="I8573" s="3"/>
      <c r="J8573" s="3"/>
      <c r="K8573" s="3"/>
      <c r="L8573" s="3"/>
    </row>
    <row r="8574" spans="9:12" x14ac:dyDescent="0.25">
      <c r="I8574" s="3"/>
      <c r="J8574" s="3"/>
      <c r="K8574" s="3"/>
      <c r="L8574" s="3"/>
    </row>
    <row r="8575" spans="9:12" x14ac:dyDescent="0.25">
      <c r="I8575" s="3"/>
      <c r="J8575" s="3"/>
      <c r="K8575" s="3"/>
      <c r="L8575" s="3"/>
    </row>
    <row r="8576" spans="9:12" x14ac:dyDescent="0.25">
      <c r="I8576" s="3"/>
      <c r="J8576" s="3"/>
      <c r="K8576" s="3"/>
      <c r="L8576" s="3"/>
    </row>
    <row r="8577" spans="9:12" x14ac:dyDescent="0.25">
      <c r="I8577" s="3"/>
      <c r="J8577" s="3"/>
      <c r="K8577" s="3"/>
      <c r="L8577" s="3"/>
    </row>
    <row r="8578" spans="9:12" x14ac:dyDescent="0.25">
      <c r="I8578" s="3"/>
      <c r="J8578" s="3"/>
      <c r="K8578" s="3"/>
      <c r="L8578" s="3"/>
    </row>
    <row r="8579" spans="9:12" x14ac:dyDescent="0.25">
      <c r="I8579" s="3"/>
      <c r="J8579" s="3"/>
      <c r="K8579" s="3"/>
      <c r="L8579" s="3"/>
    </row>
    <row r="8580" spans="9:12" x14ac:dyDescent="0.25">
      <c r="I8580" s="3"/>
      <c r="J8580" s="3"/>
      <c r="K8580" s="3"/>
      <c r="L8580" s="3"/>
    </row>
    <row r="8581" spans="9:12" x14ac:dyDescent="0.25">
      <c r="I8581" s="3"/>
      <c r="J8581" s="3"/>
      <c r="K8581" s="3"/>
      <c r="L8581" s="3"/>
    </row>
    <row r="8582" spans="9:12" x14ac:dyDescent="0.25">
      <c r="I8582" s="3"/>
      <c r="J8582" s="3"/>
      <c r="K8582" s="3"/>
      <c r="L8582" s="3"/>
    </row>
    <row r="8583" spans="9:12" x14ac:dyDescent="0.25">
      <c r="I8583" s="3"/>
      <c r="J8583" s="3"/>
      <c r="K8583" s="3"/>
      <c r="L8583" s="3"/>
    </row>
    <row r="8584" spans="9:12" x14ac:dyDescent="0.25">
      <c r="I8584" s="3"/>
      <c r="J8584" s="3"/>
      <c r="K8584" s="3"/>
      <c r="L8584" s="3"/>
    </row>
    <row r="8585" spans="9:12" x14ac:dyDescent="0.25">
      <c r="I8585" s="3"/>
      <c r="J8585" s="3"/>
      <c r="K8585" s="3"/>
      <c r="L8585" s="3"/>
    </row>
    <row r="8586" spans="9:12" x14ac:dyDescent="0.25">
      <c r="I8586" s="3"/>
      <c r="J8586" s="3"/>
      <c r="K8586" s="3"/>
      <c r="L8586" s="3"/>
    </row>
    <row r="8587" spans="9:12" x14ac:dyDescent="0.25">
      <c r="I8587" s="3"/>
      <c r="J8587" s="3"/>
      <c r="K8587" s="3"/>
      <c r="L8587" s="3"/>
    </row>
    <row r="8588" spans="9:12" x14ac:dyDescent="0.25">
      <c r="I8588" s="3"/>
      <c r="J8588" s="3"/>
      <c r="K8588" s="3"/>
      <c r="L8588" s="3"/>
    </row>
    <row r="8589" spans="9:12" x14ac:dyDescent="0.25">
      <c r="I8589" s="3"/>
      <c r="J8589" s="3"/>
      <c r="K8589" s="3"/>
      <c r="L8589" s="3"/>
    </row>
    <row r="8590" spans="9:12" x14ac:dyDescent="0.25">
      <c r="I8590" s="3"/>
      <c r="J8590" s="3"/>
      <c r="K8590" s="3"/>
      <c r="L8590" s="3"/>
    </row>
    <row r="8591" spans="9:12" x14ac:dyDescent="0.25">
      <c r="I8591" s="3"/>
      <c r="J8591" s="3"/>
      <c r="K8591" s="3"/>
      <c r="L8591" s="3"/>
    </row>
    <row r="8592" spans="9:12" x14ac:dyDescent="0.25">
      <c r="I8592" s="3"/>
      <c r="J8592" s="3"/>
      <c r="K8592" s="3"/>
      <c r="L8592" s="3"/>
    </row>
    <row r="8593" spans="9:12" x14ac:dyDescent="0.25">
      <c r="I8593" s="3"/>
      <c r="J8593" s="3"/>
      <c r="K8593" s="3"/>
      <c r="L8593" s="3"/>
    </row>
    <row r="8594" spans="9:12" x14ac:dyDescent="0.25">
      <c r="I8594" s="3"/>
      <c r="J8594" s="3"/>
      <c r="K8594" s="3"/>
      <c r="L8594" s="3"/>
    </row>
    <row r="8595" spans="9:12" x14ac:dyDescent="0.25">
      <c r="I8595" s="3"/>
      <c r="J8595" s="3"/>
      <c r="K8595" s="3"/>
      <c r="L8595" s="3"/>
    </row>
    <row r="8596" spans="9:12" x14ac:dyDescent="0.25">
      <c r="I8596" s="3"/>
      <c r="J8596" s="3"/>
      <c r="K8596" s="3"/>
      <c r="L8596" s="3"/>
    </row>
    <row r="8597" spans="9:12" x14ac:dyDescent="0.25">
      <c r="I8597" s="3"/>
      <c r="J8597" s="3"/>
      <c r="K8597" s="3"/>
      <c r="L8597" s="3"/>
    </row>
    <row r="8598" spans="9:12" x14ac:dyDescent="0.25">
      <c r="I8598" s="3"/>
      <c r="J8598" s="3"/>
      <c r="K8598" s="3"/>
      <c r="L8598" s="3"/>
    </row>
    <row r="8599" spans="9:12" x14ac:dyDescent="0.25">
      <c r="I8599" s="3"/>
      <c r="J8599" s="3"/>
      <c r="K8599" s="3"/>
      <c r="L8599" s="3"/>
    </row>
    <row r="8600" spans="9:12" x14ac:dyDescent="0.25">
      <c r="I8600" s="3"/>
      <c r="J8600" s="3"/>
      <c r="K8600" s="3"/>
      <c r="L8600" s="3"/>
    </row>
    <row r="8601" spans="9:12" x14ac:dyDescent="0.25">
      <c r="I8601" s="3"/>
      <c r="J8601" s="3"/>
      <c r="K8601" s="3"/>
      <c r="L8601" s="3"/>
    </row>
    <row r="8602" spans="9:12" x14ac:dyDescent="0.25">
      <c r="I8602" s="3"/>
      <c r="J8602" s="3"/>
      <c r="K8602" s="3"/>
      <c r="L8602" s="3"/>
    </row>
    <row r="8603" spans="9:12" x14ac:dyDescent="0.25">
      <c r="I8603" s="3"/>
      <c r="J8603" s="3"/>
      <c r="K8603" s="3"/>
      <c r="L8603" s="3"/>
    </row>
    <row r="8604" spans="9:12" x14ac:dyDescent="0.25">
      <c r="I8604" s="3"/>
      <c r="J8604" s="3"/>
      <c r="K8604" s="3"/>
      <c r="L8604" s="3"/>
    </row>
    <row r="8605" spans="9:12" x14ac:dyDescent="0.25">
      <c r="I8605" s="3"/>
      <c r="J8605" s="3"/>
      <c r="K8605" s="3"/>
      <c r="L8605" s="3"/>
    </row>
    <row r="8606" spans="9:12" x14ac:dyDescent="0.25">
      <c r="I8606" s="3"/>
      <c r="J8606" s="3"/>
      <c r="K8606" s="3"/>
      <c r="L8606" s="3"/>
    </row>
    <row r="8607" spans="9:12" x14ac:dyDescent="0.25">
      <c r="I8607" s="3"/>
      <c r="J8607" s="3"/>
      <c r="K8607" s="3"/>
      <c r="L8607" s="3"/>
    </row>
    <row r="8608" spans="9:12" x14ac:dyDescent="0.25">
      <c r="I8608" s="3"/>
      <c r="J8608" s="3"/>
      <c r="K8608" s="3"/>
      <c r="L8608" s="3"/>
    </row>
    <row r="8609" spans="9:12" x14ac:dyDescent="0.25">
      <c r="I8609" s="3"/>
      <c r="J8609" s="3"/>
      <c r="K8609" s="3"/>
      <c r="L8609" s="3"/>
    </row>
    <row r="8610" spans="9:12" x14ac:dyDescent="0.25">
      <c r="I8610" s="3"/>
      <c r="J8610" s="3"/>
      <c r="K8610" s="3"/>
      <c r="L8610" s="3"/>
    </row>
    <row r="8611" spans="9:12" x14ac:dyDescent="0.25">
      <c r="I8611" s="3"/>
      <c r="J8611" s="3"/>
      <c r="K8611" s="3"/>
      <c r="L8611" s="3"/>
    </row>
    <row r="8612" spans="9:12" x14ac:dyDescent="0.25">
      <c r="I8612" s="3"/>
      <c r="J8612" s="3"/>
      <c r="K8612" s="3"/>
      <c r="L8612" s="3"/>
    </row>
    <row r="8613" spans="9:12" x14ac:dyDescent="0.25">
      <c r="I8613" s="3"/>
      <c r="J8613" s="3"/>
      <c r="K8613" s="3"/>
      <c r="L8613" s="3"/>
    </row>
    <row r="8614" spans="9:12" x14ac:dyDescent="0.25">
      <c r="I8614" s="3"/>
      <c r="J8614" s="3"/>
      <c r="K8614" s="3"/>
      <c r="L8614" s="3"/>
    </row>
    <row r="8615" spans="9:12" x14ac:dyDescent="0.25">
      <c r="I8615" s="3"/>
      <c r="J8615" s="3"/>
      <c r="K8615" s="3"/>
      <c r="L8615" s="3"/>
    </row>
    <row r="8616" spans="9:12" x14ac:dyDescent="0.25">
      <c r="I8616" s="3"/>
      <c r="J8616" s="3"/>
      <c r="K8616" s="3"/>
      <c r="L8616" s="3"/>
    </row>
    <row r="8617" spans="9:12" x14ac:dyDescent="0.25">
      <c r="I8617" s="3"/>
      <c r="J8617" s="3"/>
      <c r="K8617" s="3"/>
      <c r="L8617" s="3"/>
    </row>
    <row r="8618" spans="9:12" x14ac:dyDescent="0.25">
      <c r="I8618" s="3"/>
      <c r="J8618" s="3"/>
      <c r="K8618" s="3"/>
      <c r="L8618" s="3"/>
    </row>
    <row r="8619" spans="9:12" x14ac:dyDescent="0.25">
      <c r="I8619" s="3"/>
      <c r="J8619" s="3"/>
      <c r="K8619" s="3"/>
      <c r="L8619" s="3"/>
    </row>
    <row r="8620" spans="9:12" x14ac:dyDescent="0.25">
      <c r="I8620" s="3"/>
      <c r="J8620" s="3"/>
      <c r="K8620" s="3"/>
      <c r="L8620" s="3"/>
    </row>
    <row r="8621" spans="9:12" x14ac:dyDescent="0.25">
      <c r="I8621" s="3"/>
      <c r="J8621" s="3"/>
      <c r="K8621" s="3"/>
      <c r="L8621" s="3"/>
    </row>
    <row r="8622" spans="9:12" x14ac:dyDescent="0.25">
      <c r="I8622" s="3"/>
      <c r="J8622" s="3"/>
      <c r="K8622" s="3"/>
      <c r="L8622" s="3"/>
    </row>
    <row r="8623" spans="9:12" x14ac:dyDescent="0.25">
      <c r="I8623" s="3"/>
      <c r="J8623" s="3"/>
      <c r="K8623" s="3"/>
      <c r="L8623" s="3"/>
    </row>
    <row r="8624" spans="9:12" x14ac:dyDescent="0.25">
      <c r="I8624" s="3"/>
      <c r="J8624" s="3"/>
      <c r="K8624" s="3"/>
      <c r="L8624" s="3"/>
    </row>
    <row r="8625" spans="9:12" x14ac:dyDescent="0.25">
      <c r="I8625" s="3"/>
      <c r="J8625" s="3"/>
      <c r="K8625" s="3"/>
      <c r="L8625" s="3"/>
    </row>
    <row r="8626" spans="9:12" x14ac:dyDescent="0.25">
      <c r="I8626" s="3"/>
      <c r="J8626" s="3"/>
      <c r="K8626" s="3"/>
      <c r="L8626" s="3"/>
    </row>
    <row r="8627" spans="9:12" x14ac:dyDescent="0.25">
      <c r="I8627" s="3"/>
      <c r="J8627" s="3"/>
      <c r="K8627" s="3"/>
      <c r="L8627" s="3"/>
    </row>
    <row r="8628" spans="9:12" x14ac:dyDescent="0.25">
      <c r="I8628" s="3"/>
      <c r="J8628" s="3"/>
      <c r="K8628" s="3"/>
      <c r="L8628" s="3"/>
    </row>
    <row r="8629" spans="9:12" x14ac:dyDescent="0.25">
      <c r="I8629" s="3"/>
      <c r="J8629" s="3"/>
      <c r="K8629" s="3"/>
      <c r="L8629" s="3"/>
    </row>
    <row r="8630" spans="9:12" x14ac:dyDescent="0.25">
      <c r="I8630" s="3"/>
      <c r="J8630" s="3"/>
      <c r="K8630" s="3"/>
      <c r="L8630" s="3"/>
    </row>
    <row r="8631" spans="9:12" x14ac:dyDescent="0.25">
      <c r="I8631" s="3"/>
      <c r="J8631" s="3"/>
      <c r="K8631" s="3"/>
      <c r="L8631" s="3"/>
    </row>
    <row r="8632" spans="9:12" x14ac:dyDescent="0.25">
      <c r="I8632" s="3"/>
      <c r="J8632" s="3"/>
      <c r="K8632" s="3"/>
      <c r="L8632" s="3"/>
    </row>
    <row r="8633" spans="9:12" x14ac:dyDescent="0.25">
      <c r="I8633" s="3"/>
      <c r="J8633" s="3"/>
      <c r="K8633" s="3"/>
      <c r="L8633" s="3"/>
    </row>
    <row r="8634" spans="9:12" x14ac:dyDescent="0.25">
      <c r="I8634" s="3"/>
      <c r="J8634" s="3"/>
      <c r="K8634" s="3"/>
      <c r="L8634" s="3"/>
    </row>
    <row r="8635" spans="9:12" x14ac:dyDescent="0.25">
      <c r="I8635" s="3"/>
      <c r="J8635" s="3"/>
      <c r="K8635" s="3"/>
      <c r="L8635" s="3"/>
    </row>
    <row r="8636" spans="9:12" x14ac:dyDescent="0.25">
      <c r="I8636" s="3"/>
      <c r="J8636" s="3"/>
      <c r="K8636" s="3"/>
      <c r="L8636" s="3"/>
    </row>
    <row r="8637" spans="9:12" x14ac:dyDescent="0.25">
      <c r="I8637" s="3"/>
      <c r="J8637" s="3"/>
      <c r="K8637" s="3"/>
      <c r="L8637" s="3"/>
    </row>
    <row r="8638" spans="9:12" x14ac:dyDescent="0.25">
      <c r="I8638" s="3"/>
      <c r="J8638" s="3"/>
      <c r="K8638" s="3"/>
      <c r="L8638" s="3"/>
    </row>
    <row r="8639" spans="9:12" x14ac:dyDescent="0.25">
      <c r="I8639" s="3"/>
      <c r="J8639" s="3"/>
      <c r="K8639" s="3"/>
      <c r="L8639" s="3"/>
    </row>
    <row r="8640" spans="9:12" x14ac:dyDescent="0.25">
      <c r="I8640" s="3"/>
      <c r="J8640" s="3"/>
      <c r="K8640" s="3"/>
      <c r="L8640" s="3"/>
    </row>
    <row r="8641" spans="9:12" x14ac:dyDescent="0.25">
      <c r="I8641" s="3"/>
      <c r="J8641" s="3"/>
      <c r="K8641" s="3"/>
      <c r="L8641" s="3"/>
    </row>
    <row r="8642" spans="9:12" x14ac:dyDescent="0.25">
      <c r="I8642" s="3"/>
      <c r="J8642" s="3"/>
      <c r="K8642" s="3"/>
      <c r="L8642" s="3"/>
    </row>
    <row r="8643" spans="9:12" x14ac:dyDescent="0.25">
      <c r="I8643" s="3"/>
      <c r="J8643" s="3"/>
      <c r="K8643" s="3"/>
      <c r="L8643" s="3"/>
    </row>
    <row r="8644" spans="9:12" x14ac:dyDescent="0.25">
      <c r="I8644" s="3"/>
      <c r="J8644" s="3"/>
      <c r="K8644" s="3"/>
      <c r="L8644" s="3"/>
    </row>
    <row r="8645" spans="9:12" x14ac:dyDescent="0.25">
      <c r="I8645" s="3"/>
      <c r="J8645" s="3"/>
      <c r="K8645" s="3"/>
      <c r="L8645" s="3"/>
    </row>
    <row r="8646" spans="9:12" x14ac:dyDescent="0.25">
      <c r="I8646" s="3"/>
      <c r="J8646" s="3"/>
      <c r="K8646" s="3"/>
      <c r="L8646" s="3"/>
    </row>
    <row r="8647" spans="9:12" x14ac:dyDescent="0.25">
      <c r="I8647" s="3"/>
      <c r="J8647" s="3"/>
      <c r="K8647" s="3"/>
      <c r="L8647" s="3"/>
    </row>
    <row r="8648" spans="9:12" x14ac:dyDescent="0.25">
      <c r="I8648" s="3"/>
      <c r="J8648" s="3"/>
      <c r="K8648" s="3"/>
      <c r="L8648" s="3"/>
    </row>
    <row r="8649" spans="9:12" x14ac:dyDescent="0.25">
      <c r="I8649" s="3"/>
      <c r="J8649" s="3"/>
      <c r="K8649" s="3"/>
      <c r="L8649" s="3"/>
    </row>
    <row r="8650" spans="9:12" x14ac:dyDescent="0.25">
      <c r="I8650" s="3"/>
      <c r="J8650" s="3"/>
      <c r="K8650" s="3"/>
      <c r="L8650" s="3"/>
    </row>
    <row r="8651" spans="9:12" x14ac:dyDescent="0.25">
      <c r="I8651" s="3"/>
      <c r="J8651" s="3"/>
      <c r="K8651" s="3"/>
      <c r="L8651" s="3"/>
    </row>
    <row r="8652" spans="9:12" x14ac:dyDescent="0.25">
      <c r="I8652" s="3"/>
      <c r="J8652" s="3"/>
      <c r="K8652" s="3"/>
      <c r="L8652" s="3"/>
    </row>
    <row r="8653" spans="9:12" x14ac:dyDescent="0.25">
      <c r="I8653" s="4"/>
      <c r="J8653" s="4"/>
      <c r="K8653" s="4"/>
      <c r="L8653" s="4"/>
    </row>
    <row r="8654" spans="9:12" x14ac:dyDescent="0.25">
      <c r="I8654" s="3"/>
      <c r="J8654" s="3"/>
      <c r="K8654" s="3"/>
      <c r="L8654" s="3"/>
    </row>
    <row r="8655" spans="9:12" x14ac:dyDescent="0.25">
      <c r="I8655" s="3"/>
      <c r="J8655" s="3"/>
      <c r="K8655" s="3"/>
      <c r="L8655" s="3"/>
    </row>
    <row r="8656" spans="9:12" x14ac:dyDescent="0.25">
      <c r="I8656" s="3"/>
      <c r="J8656" s="3"/>
      <c r="K8656" s="3"/>
      <c r="L8656" s="3"/>
    </row>
    <row r="8657" spans="9:12" x14ac:dyDescent="0.25">
      <c r="I8657" s="3"/>
      <c r="J8657" s="3"/>
      <c r="K8657" s="3"/>
      <c r="L8657" s="3"/>
    </row>
    <row r="8658" spans="9:12" x14ac:dyDescent="0.25">
      <c r="I8658" s="3"/>
      <c r="J8658" s="3"/>
      <c r="K8658" s="3"/>
      <c r="L8658" s="3"/>
    </row>
    <row r="8659" spans="9:12" x14ac:dyDescent="0.25">
      <c r="I8659" s="3"/>
      <c r="J8659" s="3"/>
      <c r="K8659" s="3"/>
      <c r="L8659" s="3"/>
    </row>
    <row r="8660" spans="9:12" x14ac:dyDescent="0.25">
      <c r="I8660" s="3"/>
      <c r="J8660" s="3"/>
      <c r="K8660" s="3"/>
      <c r="L8660" s="3"/>
    </row>
    <row r="8661" spans="9:12" x14ac:dyDescent="0.25">
      <c r="I8661" s="3"/>
      <c r="J8661" s="3"/>
      <c r="K8661" s="3"/>
      <c r="L8661" s="3"/>
    </row>
    <row r="8662" spans="9:12" x14ac:dyDescent="0.25">
      <c r="I8662" s="3"/>
      <c r="J8662" s="3"/>
      <c r="K8662" s="3"/>
      <c r="L8662" s="3"/>
    </row>
    <row r="8663" spans="9:12" x14ac:dyDescent="0.25">
      <c r="I8663" s="3"/>
      <c r="J8663" s="3"/>
      <c r="K8663" s="3"/>
      <c r="L8663" s="3"/>
    </row>
    <row r="8664" spans="9:12" x14ac:dyDescent="0.25">
      <c r="I8664" s="3"/>
      <c r="J8664" s="3"/>
      <c r="K8664" s="3"/>
      <c r="L8664" s="3"/>
    </row>
    <row r="8665" spans="9:12" x14ac:dyDescent="0.25">
      <c r="I8665" s="3"/>
      <c r="J8665" s="3"/>
      <c r="K8665" s="3"/>
      <c r="L8665" s="3"/>
    </row>
    <row r="8666" spans="9:12" x14ac:dyDescent="0.25">
      <c r="I8666" s="3"/>
      <c r="J8666" s="3"/>
      <c r="K8666" s="3"/>
      <c r="L8666" s="3"/>
    </row>
    <row r="8667" spans="9:12" x14ac:dyDescent="0.25">
      <c r="I8667" s="3"/>
      <c r="J8667" s="3"/>
      <c r="K8667" s="3"/>
      <c r="L8667" s="3"/>
    </row>
    <row r="8668" spans="9:12" x14ac:dyDescent="0.25">
      <c r="I8668" s="3"/>
      <c r="J8668" s="3"/>
      <c r="K8668" s="3"/>
      <c r="L8668" s="3"/>
    </row>
    <row r="8669" spans="9:12" x14ac:dyDescent="0.25">
      <c r="I8669" s="3"/>
      <c r="J8669" s="3"/>
      <c r="K8669" s="3"/>
      <c r="L8669" s="3"/>
    </row>
    <row r="8670" spans="9:12" x14ac:dyDescent="0.25">
      <c r="I8670" s="3"/>
      <c r="J8670" s="3"/>
      <c r="K8670" s="3"/>
      <c r="L8670" s="3"/>
    </row>
    <row r="8671" spans="9:12" x14ac:dyDescent="0.25">
      <c r="I8671" s="3"/>
      <c r="J8671" s="3"/>
      <c r="K8671" s="3"/>
      <c r="L8671" s="3"/>
    </row>
    <row r="8672" spans="9:12" x14ac:dyDescent="0.25">
      <c r="I8672" s="3"/>
      <c r="J8672" s="3"/>
      <c r="K8672" s="3"/>
      <c r="L8672" s="3"/>
    </row>
    <row r="8673" spans="9:12" x14ac:dyDescent="0.25">
      <c r="I8673" s="3"/>
      <c r="J8673" s="3"/>
      <c r="K8673" s="3"/>
      <c r="L8673" s="3"/>
    </row>
    <row r="8674" spans="9:12" x14ac:dyDescent="0.25">
      <c r="I8674" s="3"/>
      <c r="J8674" s="3"/>
      <c r="K8674" s="3"/>
      <c r="L8674" s="3"/>
    </row>
    <row r="8675" spans="9:12" x14ac:dyDescent="0.25">
      <c r="I8675" s="3"/>
      <c r="J8675" s="3"/>
      <c r="K8675" s="3"/>
      <c r="L8675" s="3"/>
    </row>
    <row r="8676" spans="9:12" x14ac:dyDescent="0.25">
      <c r="I8676" s="3"/>
      <c r="J8676" s="3"/>
      <c r="K8676" s="3"/>
      <c r="L8676" s="3"/>
    </row>
    <row r="8677" spans="9:12" x14ac:dyDescent="0.25">
      <c r="I8677" s="3"/>
      <c r="J8677" s="3"/>
      <c r="K8677" s="3"/>
      <c r="L8677" s="3"/>
    </row>
    <row r="8678" spans="9:12" x14ac:dyDescent="0.25">
      <c r="I8678" s="3"/>
      <c r="J8678" s="3"/>
      <c r="K8678" s="3"/>
      <c r="L8678" s="3"/>
    </row>
    <row r="8679" spans="9:12" x14ac:dyDescent="0.25">
      <c r="I8679" s="3"/>
      <c r="J8679" s="3"/>
      <c r="K8679" s="3"/>
      <c r="L8679" s="3"/>
    </row>
    <row r="8680" spans="9:12" x14ac:dyDescent="0.25">
      <c r="I8680" s="3"/>
      <c r="J8680" s="3"/>
      <c r="K8680" s="3"/>
      <c r="L8680" s="3"/>
    </row>
    <row r="8681" spans="9:12" x14ac:dyDescent="0.25">
      <c r="I8681" s="3"/>
      <c r="J8681" s="3"/>
      <c r="K8681" s="3"/>
      <c r="L8681" s="3"/>
    </row>
    <row r="8682" spans="9:12" x14ac:dyDescent="0.25">
      <c r="I8682" s="3"/>
      <c r="J8682" s="3"/>
      <c r="K8682" s="3"/>
      <c r="L8682" s="3"/>
    </row>
    <row r="8683" spans="9:12" x14ac:dyDescent="0.25">
      <c r="I8683" s="3"/>
      <c r="J8683" s="3"/>
      <c r="K8683" s="3"/>
      <c r="L8683" s="3"/>
    </row>
    <row r="8684" spans="9:12" x14ac:dyDescent="0.25">
      <c r="I8684" s="3"/>
      <c r="J8684" s="3"/>
      <c r="K8684" s="3"/>
      <c r="L8684" s="3"/>
    </row>
    <row r="8685" spans="9:12" x14ac:dyDescent="0.25">
      <c r="I8685" s="3"/>
      <c r="J8685" s="3"/>
      <c r="K8685" s="3"/>
      <c r="L8685" s="3"/>
    </row>
    <row r="8686" spans="9:12" x14ac:dyDescent="0.25">
      <c r="I8686" s="3"/>
      <c r="J8686" s="3"/>
      <c r="K8686" s="3"/>
      <c r="L8686" s="3"/>
    </row>
    <row r="8687" spans="9:12" x14ac:dyDescent="0.25">
      <c r="I8687" s="3"/>
      <c r="J8687" s="3"/>
      <c r="K8687" s="3"/>
      <c r="L8687" s="3"/>
    </row>
    <row r="8688" spans="9:12" x14ac:dyDescent="0.25">
      <c r="I8688" s="3"/>
      <c r="J8688" s="3"/>
      <c r="K8688" s="3"/>
      <c r="L8688" s="3"/>
    </row>
    <row r="8689" spans="9:12" x14ac:dyDescent="0.25">
      <c r="I8689" s="3"/>
      <c r="J8689" s="3"/>
      <c r="K8689" s="3"/>
      <c r="L8689" s="3"/>
    </row>
    <row r="8690" spans="9:12" x14ac:dyDescent="0.25">
      <c r="I8690" s="3"/>
      <c r="J8690" s="3"/>
      <c r="K8690" s="3"/>
      <c r="L8690" s="3"/>
    </row>
    <row r="8691" spans="9:12" x14ac:dyDescent="0.25">
      <c r="I8691" s="3"/>
      <c r="J8691" s="3"/>
      <c r="K8691" s="3"/>
      <c r="L8691" s="3"/>
    </row>
    <row r="8692" spans="9:12" x14ac:dyDescent="0.25">
      <c r="I8692" s="3"/>
      <c r="J8692" s="3"/>
      <c r="K8692" s="3"/>
      <c r="L8692" s="3"/>
    </row>
    <row r="8693" spans="9:12" x14ac:dyDescent="0.25">
      <c r="I8693" s="3"/>
      <c r="J8693" s="3"/>
      <c r="K8693" s="3"/>
      <c r="L8693" s="3"/>
    </row>
    <row r="8694" spans="9:12" x14ac:dyDescent="0.25">
      <c r="I8694" s="3"/>
      <c r="J8694" s="3"/>
      <c r="K8694" s="3"/>
      <c r="L8694" s="3"/>
    </row>
    <row r="8695" spans="9:12" x14ac:dyDescent="0.25">
      <c r="I8695" s="3"/>
      <c r="J8695" s="3"/>
      <c r="K8695" s="3"/>
      <c r="L8695" s="3"/>
    </row>
    <row r="8696" spans="9:12" x14ac:dyDescent="0.25">
      <c r="I8696" s="3"/>
      <c r="J8696" s="3"/>
      <c r="K8696" s="3"/>
      <c r="L8696" s="3"/>
    </row>
    <row r="8697" spans="9:12" x14ac:dyDescent="0.25">
      <c r="I8697" s="3"/>
      <c r="J8697" s="3"/>
      <c r="K8697" s="3"/>
      <c r="L8697" s="3"/>
    </row>
    <row r="8698" spans="9:12" x14ac:dyDescent="0.25">
      <c r="I8698" s="3"/>
      <c r="J8698" s="3"/>
      <c r="K8698" s="3"/>
      <c r="L8698" s="3"/>
    </row>
    <row r="8699" spans="9:12" x14ac:dyDescent="0.25">
      <c r="I8699" s="3"/>
      <c r="J8699" s="3"/>
      <c r="K8699" s="3"/>
      <c r="L8699" s="3"/>
    </row>
    <row r="8700" spans="9:12" x14ac:dyDescent="0.25">
      <c r="I8700" s="3"/>
      <c r="J8700" s="3"/>
      <c r="K8700" s="3"/>
      <c r="L8700" s="3"/>
    </row>
    <row r="8701" spans="9:12" x14ac:dyDescent="0.25">
      <c r="I8701" s="3"/>
      <c r="J8701" s="3"/>
      <c r="K8701" s="3"/>
      <c r="L8701" s="3"/>
    </row>
    <row r="8702" spans="9:12" x14ac:dyDescent="0.25">
      <c r="I8702" s="3"/>
      <c r="J8702" s="3"/>
      <c r="K8702" s="3"/>
      <c r="L8702" s="3"/>
    </row>
    <row r="8703" spans="9:12" x14ac:dyDescent="0.25">
      <c r="I8703" s="3"/>
      <c r="J8703" s="3"/>
      <c r="K8703" s="3"/>
      <c r="L8703" s="3"/>
    </row>
    <row r="8704" spans="9:12" x14ac:dyDescent="0.25">
      <c r="I8704" s="3"/>
      <c r="J8704" s="3"/>
      <c r="K8704" s="3"/>
      <c r="L8704" s="3"/>
    </row>
    <row r="8705" spans="9:12" x14ac:dyDescent="0.25">
      <c r="I8705" s="3"/>
      <c r="J8705" s="3"/>
      <c r="K8705" s="3"/>
      <c r="L8705" s="3"/>
    </row>
    <row r="8706" spans="9:12" x14ac:dyDescent="0.25">
      <c r="I8706" s="3"/>
      <c r="J8706" s="3"/>
      <c r="K8706" s="3"/>
      <c r="L8706" s="3"/>
    </row>
    <row r="8707" spans="9:12" x14ac:dyDescent="0.25">
      <c r="I8707" s="3"/>
      <c r="J8707" s="3"/>
      <c r="K8707" s="3"/>
      <c r="L8707" s="3"/>
    </row>
    <row r="8708" spans="9:12" x14ac:dyDescent="0.25">
      <c r="I8708" s="3"/>
      <c r="J8708" s="3"/>
      <c r="K8708" s="3"/>
      <c r="L8708" s="3"/>
    </row>
    <row r="8709" spans="9:12" x14ac:dyDescent="0.25">
      <c r="I8709" s="3"/>
      <c r="J8709" s="3"/>
      <c r="K8709" s="3"/>
      <c r="L8709" s="3"/>
    </row>
    <row r="8710" spans="9:12" x14ac:dyDescent="0.25">
      <c r="I8710" s="3"/>
      <c r="J8710" s="3"/>
      <c r="K8710" s="3"/>
      <c r="L8710" s="3"/>
    </row>
    <row r="8711" spans="9:12" x14ac:dyDescent="0.25">
      <c r="I8711" s="3"/>
      <c r="J8711" s="3"/>
      <c r="K8711" s="3"/>
      <c r="L8711" s="3"/>
    </row>
    <row r="8712" spans="9:12" x14ac:dyDescent="0.25">
      <c r="I8712" s="3"/>
      <c r="J8712" s="3"/>
      <c r="K8712" s="3"/>
      <c r="L8712" s="3"/>
    </row>
    <row r="8713" spans="9:12" x14ac:dyDescent="0.25">
      <c r="I8713" s="3"/>
      <c r="J8713" s="3"/>
      <c r="K8713" s="3"/>
      <c r="L8713" s="3"/>
    </row>
    <row r="8714" spans="9:12" x14ac:dyDescent="0.25">
      <c r="I8714" s="3"/>
      <c r="J8714" s="3"/>
      <c r="K8714" s="3"/>
      <c r="L8714" s="3"/>
    </row>
    <row r="8715" spans="9:12" x14ac:dyDescent="0.25">
      <c r="I8715" s="3"/>
      <c r="J8715" s="3"/>
      <c r="K8715" s="3"/>
      <c r="L8715" s="3"/>
    </row>
    <row r="8716" spans="9:12" x14ac:dyDescent="0.25">
      <c r="I8716" s="3"/>
      <c r="J8716" s="3"/>
      <c r="K8716" s="3"/>
      <c r="L8716" s="3"/>
    </row>
    <row r="8717" spans="9:12" x14ac:dyDescent="0.25">
      <c r="I8717" s="3"/>
      <c r="J8717" s="3"/>
      <c r="K8717" s="3"/>
      <c r="L8717" s="3"/>
    </row>
    <row r="8718" spans="9:12" x14ac:dyDescent="0.25">
      <c r="I8718" s="3"/>
      <c r="J8718" s="3"/>
      <c r="K8718" s="3"/>
      <c r="L8718" s="3"/>
    </row>
    <row r="8719" spans="9:12" x14ac:dyDescent="0.25">
      <c r="I8719" s="3"/>
      <c r="J8719" s="3"/>
      <c r="K8719" s="3"/>
      <c r="L8719" s="3"/>
    </row>
    <row r="8720" spans="9:12" x14ac:dyDescent="0.25">
      <c r="I8720" s="3"/>
      <c r="J8720" s="3"/>
      <c r="K8720" s="3"/>
      <c r="L8720" s="3"/>
    </row>
    <row r="8721" spans="9:12" x14ac:dyDescent="0.25">
      <c r="I8721" s="3"/>
      <c r="J8721" s="3"/>
      <c r="K8721" s="3"/>
      <c r="L8721" s="3"/>
    </row>
    <row r="8722" spans="9:12" x14ac:dyDescent="0.25">
      <c r="I8722" s="3"/>
      <c r="J8722" s="3"/>
      <c r="K8722" s="3"/>
      <c r="L8722" s="3"/>
    </row>
    <row r="8723" spans="9:12" x14ac:dyDescent="0.25">
      <c r="I8723" s="3"/>
      <c r="J8723" s="3"/>
      <c r="K8723" s="3"/>
      <c r="L8723" s="3"/>
    </row>
    <row r="8724" spans="9:12" x14ac:dyDescent="0.25">
      <c r="I8724" s="3"/>
      <c r="J8724" s="3"/>
      <c r="K8724" s="3"/>
      <c r="L8724" s="3"/>
    </row>
    <row r="8725" spans="9:12" x14ac:dyDescent="0.25">
      <c r="I8725" s="3"/>
      <c r="J8725" s="3"/>
      <c r="K8725" s="3"/>
      <c r="L8725" s="3"/>
    </row>
    <row r="8726" spans="9:12" x14ac:dyDescent="0.25">
      <c r="I8726" s="3"/>
      <c r="J8726" s="3"/>
      <c r="K8726" s="3"/>
      <c r="L8726" s="3"/>
    </row>
    <row r="8727" spans="9:12" x14ac:dyDescent="0.25">
      <c r="I8727" s="3"/>
      <c r="J8727" s="3"/>
      <c r="K8727" s="3"/>
      <c r="L8727" s="3"/>
    </row>
    <row r="8728" spans="9:12" x14ac:dyDescent="0.25">
      <c r="I8728" s="3"/>
      <c r="J8728" s="3"/>
      <c r="K8728" s="3"/>
      <c r="L8728" s="3"/>
    </row>
    <row r="8729" spans="9:12" x14ac:dyDescent="0.25">
      <c r="I8729" s="3"/>
      <c r="J8729" s="3"/>
      <c r="K8729" s="3"/>
      <c r="L8729" s="3"/>
    </row>
    <row r="8730" spans="9:12" x14ac:dyDescent="0.25">
      <c r="I8730" s="3"/>
      <c r="J8730" s="3"/>
      <c r="K8730" s="3"/>
      <c r="L8730" s="3"/>
    </row>
    <row r="8731" spans="9:12" x14ac:dyDescent="0.25">
      <c r="I8731" s="3"/>
      <c r="J8731" s="3"/>
      <c r="K8731" s="3"/>
      <c r="L8731" s="3"/>
    </row>
    <row r="8732" spans="9:12" x14ac:dyDescent="0.25">
      <c r="I8732" s="3"/>
      <c r="J8732" s="3"/>
      <c r="K8732" s="3"/>
      <c r="L8732" s="3"/>
    </row>
    <row r="8733" spans="9:12" x14ac:dyDescent="0.25">
      <c r="I8733" s="3"/>
      <c r="J8733" s="3"/>
      <c r="K8733" s="3"/>
      <c r="L8733" s="3"/>
    </row>
    <row r="8734" spans="9:12" x14ac:dyDescent="0.25">
      <c r="I8734" s="3"/>
      <c r="J8734" s="3"/>
      <c r="K8734" s="3"/>
      <c r="L8734" s="3"/>
    </row>
    <row r="8735" spans="9:12" x14ac:dyDescent="0.25">
      <c r="I8735" s="3"/>
      <c r="J8735" s="3"/>
      <c r="K8735" s="3"/>
      <c r="L8735" s="3"/>
    </row>
    <row r="8736" spans="9:12" x14ac:dyDescent="0.25">
      <c r="I8736" s="3"/>
      <c r="J8736" s="3"/>
      <c r="K8736" s="3"/>
      <c r="L8736" s="3"/>
    </row>
    <row r="8737" spans="9:12" x14ac:dyDescent="0.25">
      <c r="I8737" s="3"/>
      <c r="J8737" s="3"/>
      <c r="K8737" s="3"/>
      <c r="L8737" s="3"/>
    </row>
    <row r="8738" spans="9:12" x14ac:dyDescent="0.25">
      <c r="I8738" s="3"/>
      <c r="J8738" s="3"/>
      <c r="K8738" s="3"/>
      <c r="L8738" s="3"/>
    </row>
    <row r="8739" spans="9:12" x14ac:dyDescent="0.25">
      <c r="I8739" s="3"/>
      <c r="J8739" s="3"/>
      <c r="K8739" s="3"/>
      <c r="L8739" s="3"/>
    </row>
    <row r="8740" spans="9:12" x14ac:dyDescent="0.25">
      <c r="I8740" s="3"/>
      <c r="J8740" s="3"/>
      <c r="K8740" s="3"/>
      <c r="L8740" s="3"/>
    </row>
    <row r="8741" spans="9:12" x14ac:dyDescent="0.25">
      <c r="I8741" s="3"/>
      <c r="J8741" s="3"/>
      <c r="K8741" s="3"/>
      <c r="L8741" s="3"/>
    </row>
    <row r="8742" spans="9:12" x14ac:dyDescent="0.25">
      <c r="I8742" s="3"/>
      <c r="J8742" s="3"/>
      <c r="K8742" s="3"/>
      <c r="L8742" s="3"/>
    </row>
    <row r="8743" spans="9:12" x14ac:dyDescent="0.25">
      <c r="I8743" s="3"/>
      <c r="J8743" s="3"/>
      <c r="K8743" s="3"/>
      <c r="L8743" s="3"/>
    </row>
    <row r="8744" spans="9:12" x14ac:dyDescent="0.25">
      <c r="I8744" s="3"/>
      <c r="J8744" s="3"/>
      <c r="K8744" s="3"/>
      <c r="L8744" s="3"/>
    </row>
    <row r="8745" spans="9:12" x14ac:dyDescent="0.25">
      <c r="I8745" s="3"/>
      <c r="J8745" s="3"/>
      <c r="K8745" s="3"/>
      <c r="L8745" s="3"/>
    </row>
    <row r="8746" spans="9:12" x14ac:dyDescent="0.25">
      <c r="I8746" s="3"/>
      <c r="J8746" s="3"/>
      <c r="K8746" s="3"/>
      <c r="L8746" s="3"/>
    </row>
    <row r="8747" spans="9:12" x14ac:dyDescent="0.25">
      <c r="I8747" s="3"/>
      <c r="J8747" s="3"/>
      <c r="K8747" s="3"/>
      <c r="L8747" s="3"/>
    </row>
    <row r="8748" spans="9:12" x14ac:dyDescent="0.25">
      <c r="I8748" s="3"/>
      <c r="J8748" s="3"/>
      <c r="K8748" s="3"/>
      <c r="L8748" s="3"/>
    </row>
    <row r="8749" spans="9:12" x14ac:dyDescent="0.25">
      <c r="I8749" s="3"/>
      <c r="J8749" s="3"/>
      <c r="K8749" s="3"/>
      <c r="L8749" s="3"/>
    </row>
    <row r="8750" spans="9:12" x14ac:dyDescent="0.25">
      <c r="I8750" s="3"/>
      <c r="J8750" s="3"/>
      <c r="K8750" s="3"/>
      <c r="L8750" s="3"/>
    </row>
    <row r="8751" spans="9:12" x14ac:dyDescent="0.25">
      <c r="I8751" s="3"/>
      <c r="J8751" s="3"/>
      <c r="K8751" s="3"/>
      <c r="L8751" s="3"/>
    </row>
    <row r="8752" spans="9:12" x14ac:dyDescent="0.25">
      <c r="I8752" s="3"/>
      <c r="J8752" s="3"/>
      <c r="K8752" s="3"/>
      <c r="L8752" s="3"/>
    </row>
    <row r="8753" spans="9:12" x14ac:dyDescent="0.25">
      <c r="I8753" s="3"/>
      <c r="J8753" s="3"/>
      <c r="K8753" s="3"/>
      <c r="L8753" s="3"/>
    </row>
    <row r="8754" spans="9:12" x14ac:dyDescent="0.25">
      <c r="I8754" s="3"/>
      <c r="J8754" s="3"/>
      <c r="K8754" s="3"/>
      <c r="L8754" s="3"/>
    </row>
    <row r="8755" spans="9:12" x14ac:dyDescent="0.25">
      <c r="I8755" s="3"/>
      <c r="J8755" s="3"/>
      <c r="K8755" s="3"/>
      <c r="L8755" s="3"/>
    </row>
    <row r="8756" spans="9:12" x14ac:dyDescent="0.25">
      <c r="I8756" s="3"/>
      <c r="J8756" s="3"/>
      <c r="K8756" s="3"/>
      <c r="L8756" s="3"/>
    </row>
    <row r="8757" spans="9:12" x14ac:dyDescent="0.25">
      <c r="I8757" s="3"/>
      <c r="J8757" s="3"/>
      <c r="K8757" s="3"/>
      <c r="L8757" s="3"/>
    </row>
    <row r="8758" spans="9:12" x14ac:dyDescent="0.25">
      <c r="I8758" s="3"/>
      <c r="J8758" s="3"/>
      <c r="K8758" s="3"/>
      <c r="L8758" s="3"/>
    </row>
    <row r="8759" spans="9:12" x14ac:dyDescent="0.25">
      <c r="I8759" s="3"/>
      <c r="J8759" s="3"/>
      <c r="K8759" s="3"/>
      <c r="L8759" s="3"/>
    </row>
    <row r="8760" spans="9:12" x14ac:dyDescent="0.25">
      <c r="I8760" s="3"/>
      <c r="J8760" s="3"/>
      <c r="K8760" s="3"/>
      <c r="L8760" s="3"/>
    </row>
    <row r="8761" spans="9:12" x14ac:dyDescent="0.25">
      <c r="I8761" s="3"/>
      <c r="J8761" s="3"/>
      <c r="K8761" s="3"/>
      <c r="L8761" s="3"/>
    </row>
    <row r="8762" spans="9:12" x14ac:dyDescent="0.25">
      <c r="I8762" s="3"/>
      <c r="J8762" s="3"/>
      <c r="K8762" s="3"/>
      <c r="L8762" s="3"/>
    </row>
    <row r="8763" spans="9:12" x14ac:dyDescent="0.25">
      <c r="I8763" s="3"/>
      <c r="J8763" s="3"/>
      <c r="K8763" s="3"/>
      <c r="L8763" s="3"/>
    </row>
    <row r="8764" spans="9:12" x14ac:dyDescent="0.25">
      <c r="I8764" s="3"/>
      <c r="J8764" s="3"/>
      <c r="K8764" s="3"/>
      <c r="L8764" s="3"/>
    </row>
    <row r="8765" spans="9:12" x14ac:dyDescent="0.25">
      <c r="I8765" s="3"/>
      <c r="J8765" s="3"/>
      <c r="K8765" s="3"/>
      <c r="L8765" s="3"/>
    </row>
    <row r="8766" spans="9:12" x14ac:dyDescent="0.25">
      <c r="I8766" s="3"/>
      <c r="J8766" s="3"/>
      <c r="K8766" s="3"/>
      <c r="L8766" s="3"/>
    </row>
    <row r="8767" spans="9:12" x14ac:dyDescent="0.25">
      <c r="I8767" s="3"/>
      <c r="J8767" s="3"/>
      <c r="K8767" s="3"/>
      <c r="L8767" s="3"/>
    </row>
    <row r="8768" spans="9:12" x14ac:dyDescent="0.25">
      <c r="I8768" s="3"/>
      <c r="J8768" s="3"/>
      <c r="K8768" s="3"/>
      <c r="L8768" s="3"/>
    </row>
    <row r="8769" spans="9:12" x14ac:dyDescent="0.25">
      <c r="I8769" s="3"/>
      <c r="J8769" s="3"/>
      <c r="K8769" s="3"/>
      <c r="L8769" s="3"/>
    </row>
    <row r="8770" spans="9:12" x14ac:dyDescent="0.25">
      <c r="I8770" s="3"/>
      <c r="J8770" s="3"/>
      <c r="K8770" s="3"/>
      <c r="L8770" s="3"/>
    </row>
    <row r="8771" spans="9:12" x14ac:dyDescent="0.25">
      <c r="I8771" s="3"/>
      <c r="J8771" s="3"/>
      <c r="K8771" s="3"/>
      <c r="L8771" s="3"/>
    </row>
    <row r="8772" spans="9:12" x14ac:dyDescent="0.25">
      <c r="I8772" s="3"/>
      <c r="J8772" s="3"/>
      <c r="K8772" s="3"/>
      <c r="L8772" s="3"/>
    </row>
    <row r="8773" spans="9:12" x14ac:dyDescent="0.25">
      <c r="I8773" s="3"/>
      <c r="J8773" s="3"/>
      <c r="K8773" s="3"/>
      <c r="L8773" s="3"/>
    </row>
    <row r="8774" spans="9:12" x14ac:dyDescent="0.25">
      <c r="I8774" s="3"/>
      <c r="J8774" s="3"/>
      <c r="K8774" s="3"/>
      <c r="L8774" s="3"/>
    </row>
    <row r="8775" spans="9:12" x14ac:dyDescent="0.25">
      <c r="I8775" s="3"/>
      <c r="J8775" s="3"/>
      <c r="K8775" s="3"/>
      <c r="L8775" s="3"/>
    </row>
    <row r="8776" spans="9:12" x14ac:dyDescent="0.25">
      <c r="I8776" s="3"/>
      <c r="J8776" s="3"/>
      <c r="K8776" s="3"/>
      <c r="L8776" s="3"/>
    </row>
    <row r="8777" spans="9:12" x14ac:dyDescent="0.25">
      <c r="I8777" s="3"/>
      <c r="J8777" s="3"/>
      <c r="K8777" s="3"/>
      <c r="L8777" s="3"/>
    </row>
    <row r="8778" spans="9:12" x14ac:dyDescent="0.25">
      <c r="I8778" s="3"/>
      <c r="J8778" s="3"/>
      <c r="K8778" s="3"/>
      <c r="L8778" s="3"/>
    </row>
    <row r="8779" spans="9:12" x14ac:dyDescent="0.25">
      <c r="I8779" s="3"/>
      <c r="J8779" s="3"/>
      <c r="K8779" s="3"/>
      <c r="L8779" s="3"/>
    </row>
    <row r="8780" spans="9:12" x14ac:dyDescent="0.25">
      <c r="I8780" s="3"/>
      <c r="J8780" s="3"/>
      <c r="K8780" s="3"/>
      <c r="L8780" s="3"/>
    </row>
    <row r="8781" spans="9:12" x14ac:dyDescent="0.25">
      <c r="I8781" s="3"/>
      <c r="J8781" s="3"/>
      <c r="K8781" s="3"/>
      <c r="L8781" s="3"/>
    </row>
    <row r="8782" spans="9:12" x14ac:dyDescent="0.25">
      <c r="I8782" s="3"/>
      <c r="J8782" s="3"/>
      <c r="K8782" s="3"/>
      <c r="L8782" s="3"/>
    </row>
    <row r="8783" spans="9:12" x14ac:dyDescent="0.25">
      <c r="I8783" s="3"/>
      <c r="J8783" s="3"/>
      <c r="K8783" s="3"/>
      <c r="L8783" s="3"/>
    </row>
    <row r="8784" spans="9:12" x14ac:dyDescent="0.25">
      <c r="I8784" s="3"/>
      <c r="J8784" s="3"/>
      <c r="K8784" s="3"/>
      <c r="L8784" s="3"/>
    </row>
    <row r="8785" spans="9:12" x14ac:dyDescent="0.25">
      <c r="I8785" s="3"/>
      <c r="J8785" s="3"/>
      <c r="K8785" s="3"/>
      <c r="L8785" s="3"/>
    </row>
    <row r="8786" spans="9:12" x14ac:dyDescent="0.25">
      <c r="I8786" s="3"/>
      <c r="J8786" s="3"/>
      <c r="K8786" s="3"/>
      <c r="L8786" s="3"/>
    </row>
    <row r="8787" spans="9:12" x14ac:dyDescent="0.25">
      <c r="I8787" s="3"/>
      <c r="J8787" s="3"/>
      <c r="K8787" s="3"/>
      <c r="L8787" s="3"/>
    </row>
    <row r="8788" spans="9:12" x14ac:dyDescent="0.25">
      <c r="I8788" s="3"/>
      <c r="J8788" s="3"/>
      <c r="K8788" s="3"/>
      <c r="L8788" s="3"/>
    </row>
    <row r="8789" spans="9:12" x14ac:dyDescent="0.25">
      <c r="I8789" s="3"/>
      <c r="J8789" s="3"/>
      <c r="K8789" s="3"/>
      <c r="L8789" s="3"/>
    </row>
    <row r="8790" spans="9:12" x14ac:dyDescent="0.25">
      <c r="I8790" s="3"/>
      <c r="J8790" s="3"/>
      <c r="K8790" s="3"/>
      <c r="L8790" s="3"/>
    </row>
    <row r="8791" spans="9:12" x14ac:dyDescent="0.25">
      <c r="I8791" s="3"/>
      <c r="J8791" s="3"/>
      <c r="K8791" s="3"/>
      <c r="L8791" s="3"/>
    </row>
    <row r="8792" spans="9:12" x14ac:dyDescent="0.25">
      <c r="I8792" s="3"/>
      <c r="J8792" s="3"/>
      <c r="K8792" s="3"/>
      <c r="L8792" s="3"/>
    </row>
    <row r="8793" spans="9:12" x14ac:dyDescent="0.25">
      <c r="I8793" s="3"/>
      <c r="J8793" s="3"/>
      <c r="K8793" s="3"/>
      <c r="L8793" s="3"/>
    </row>
    <row r="8794" spans="9:12" x14ac:dyDescent="0.25">
      <c r="I8794" s="3"/>
      <c r="J8794" s="3"/>
      <c r="K8794" s="3"/>
      <c r="L8794" s="3"/>
    </row>
    <row r="8795" spans="9:12" x14ac:dyDescent="0.25">
      <c r="I8795" s="3"/>
      <c r="J8795" s="3"/>
      <c r="K8795" s="3"/>
      <c r="L8795" s="3"/>
    </row>
    <row r="8796" spans="9:12" x14ac:dyDescent="0.25">
      <c r="I8796" s="3"/>
      <c r="J8796" s="3"/>
      <c r="K8796" s="3"/>
      <c r="L8796" s="3"/>
    </row>
    <row r="8797" spans="9:12" x14ac:dyDescent="0.25">
      <c r="I8797" s="3"/>
      <c r="J8797" s="3"/>
      <c r="K8797" s="3"/>
      <c r="L8797" s="3"/>
    </row>
    <row r="8798" spans="9:12" x14ac:dyDescent="0.25">
      <c r="I8798" s="3"/>
      <c r="J8798" s="3"/>
      <c r="K8798" s="3"/>
      <c r="L8798" s="3"/>
    </row>
    <row r="8799" spans="9:12" x14ac:dyDescent="0.25">
      <c r="I8799" s="3"/>
      <c r="J8799" s="3"/>
      <c r="K8799" s="3"/>
      <c r="L8799" s="3"/>
    </row>
    <row r="8800" spans="9:12" x14ac:dyDescent="0.25">
      <c r="I8800" s="3"/>
      <c r="J8800" s="3"/>
      <c r="K8800" s="3"/>
      <c r="L8800" s="3"/>
    </row>
    <row r="8801" spans="9:12" x14ac:dyDescent="0.25">
      <c r="I8801" s="3"/>
      <c r="J8801" s="3"/>
      <c r="K8801" s="3"/>
      <c r="L8801" s="3"/>
    </row>
    <row r="8802" spans="9:12" x14ac:dyDescent="0.25">
      <c r="I8802" s="3"/>
      <c r="J8802" s="3"/>
      <c r="K8802" s="3"/>
      <c r="L8802" s="3"/>
    </row>
    <row r="8803" spans="9:12" x14ac:dyDescent="0.25">
      <c r="I8803" s="3"/>
      <c r="J8803" s="3"/>
      <c r="K8803" s="3"/>
      <c r="L8803" s="3"/>
    </row>
    <row r="8804" spans="9:12" x14ac:dyDescent="0.25">
      <c r="I8804" s="3"/>
      <c r="J8804" s="3"/>
      <c r="K8804" s="3"/>
      <c r="L8804" s="3"/>
    </row>
    <row r="8805" spans="9:12" x14ac:dyDescent="0.25">
      <c r="I8805" s="3"/>
      <c r="J8805" s="3"/>
      <c r="K8805" s="3"/>
      <c r="L8805" s="3"/>
    </row>
    <row r="8806" spans="9:12" x14ac:dyDescent="0.25">
      <c r="I8806" s="3"/>
      <c r="J8806" s="3"/>
      <c r="K8806" s="3"/>
      <c r="L8806" s="3"/>
    </row>
    <row r="8807" spans="9:12" x14ac:dyDescent="0.25">
      <c r="I8807" s="4"/>
      <c r="J8807" s="4"/>
      <c r="K8807" s="4"/>
      <c r="L8807" s="4"/>
    </row>
    <row r="8808" spans="9:12" x14ac:dyDescent="0.25">
      <c r="I8808" s="3"/>
      <c r="J8808" s="3"/>
      <c r="K8808" s="3"/>
      <c r="L8808" s="3"/>
    </row>
    <row r="8809" spans="9:12" x14ac:dyDescent="0.25">
      <c r="I8809" s="3"/>
      <c r="J8809" s="3"/>
      <c r="K8809" s="3"/>
      <c r="L8809" s="3"/>
    </row>
    <row r="8810" spans="9:12" x14ac:dyDescent="0.25">
      <c r="I8810" s="3"/>
      <c r="J8810" s="3"/>
      <c r="K8810" s="3"/>
      <c r="L8810" s="3"/>
    </row>
    <row r="8811" spans="9:12" x14ac:dyDescent="0.25">
      <c r="I8811" s="3"/>
      <c r="J8811" s="3"/>
      <c r="K8811" s="3"/>
      <c r="L8811" s="3"/>
    </row>
    <row r="8812" spans="9:12" x14ac:dyDescent="0.25">
      <c r="I8812" s="3"/>
      <c r="J8812" s="3"/>
      <c r="K8812" s="3"/>
      <c r="L8812" s="3"/>
    </row>
    <row r="8813" spans="9:12" x14ac:dyDescent="0.25">
      <c r="I8813" s="3"/>
      <c r="J8813" s="3"/>
      <c r="K8813" s="3"/>
      <c r="L8813" s="3"/>
    </row>
    <row r="8814" spans="9:12" x14ac:dyDescent="0.25">
      <c r="I8814" s="3"/>
      <c r="J8814" s="3"/>
      <c r="K8814" s="3"/>
      <c r="L8814" s="3"/>
    </row>
    <row r="8815" spans="9:12" x14ac:dyDescent="0.25">
      <c r="I8815" s="3"/>
      <c r="J8815" s="3"/>
      <c r="K8815" s="3"/>
      <c r="L8815" s="3"/>
    </row>
    <row r="8816" spans="9:12" x14ac:dyDescent="0.25">
      <c r="I8816" s="3"/>
      <c r="J8816" s="3"/>
      <c r="K8816" s="3"/>
      <c r="L8816" s="3"/>
    </row>
    <row r="8817" spans="9:12" x14ac:dyDescent="0.25">
      <c r="I8817" s="3"/>
      <c r="J8817" s="3"/>
      <c r="K8817" s="3"/>
      <c r="L8817" s="3"/>
    </row>
    <row r="8818" spans="9:12" x14ac:dyDescent="0.25">
      <c r="I8818" s="3"/>
      <c r="J8818" s="3"/>
      <c r="K8818" s="3"/>
      <c r="L8818" s="3"/>
    </row>
    <row r="8819" spans="9:12" x14ac:dyDescent="0.25">
      <c r="I8819" s="3"/>
      <c r="J8819" s="3"/>
      <c r="K8819" s="3"/>
      <c r="L8819" s="3"/>
    </row>
    <row r="8820" spans="9:12" x14ac:dyDescent="0.25">
      <c r="I8820" s="3"/>
      <c r="J8820" s="3"/>
      <c r="K8820" s="3"/>
      <c r="L8820" s="3"/>
    </row>
    <row r="8821" spans="9:12" x14ac:dyDescent="0.25">
      <c r="I8821" s="3"/>
      <c r="J8821" s="3"/>
      <c r="K8821" s="3"/>
      <c r="L8821" s="3"/>
    </row>
    <row r="8822" spans="9:12" x14ac:dyDescent="0.25">
      <c r="I8822" s="3"/>
      <c r="J8822" s="3"/>
      <c r="K8822" s="3"/>
      <c r="L8822" s="3"/>
    </row>
    <row r="8823" spans="9:12" x14ac:dyDescent="0.25">
      <c r="I8823" s="3"/>
      <c r="J8823" s="3"/>
      <c r="K8823" s="3"/>
      <c r="L8823" s="3"/>
    </row>
    <row r="8824" spans="9:12" x14ac:dyDescent="0.25">
      <c r="I8824" s="3"/>
      <c r="J8824" s="3"/>
      <c r="K8824" s="3"/>
      <c r="L8824" s="3"/>
    </row>
    <row r="8825" spans="9:12" x14ac:dyDescent="0.25">
      <c r="I8825" s="3"/>
      <c r="J8825" s="3"/>
      <c r="K8825" s="3"/>
      <c r="L8825" s="3"/>
    </row>
    <row r="8826" spans="9:12" x14ac:dyDescent="0.25">
      <c r="I8826" s="3"/>
      <c r="J8826" s="3"/>
      <c r="K8826" s="3"/>
      <c r="L8826" s="3"/>
    </row>
    <row r="8827" spans="9:12" x14ac:dyDescent="0.25">
      <c r="I8827" s="3"/>
      <c r="J8827" s="3"/>
      <c r="K8827" s="3"/>
      <c r="L8827" s="3"/>
    </row>
    <row r="8828" spans="9:12" x14ac:dyDescent="0.25">
      <c r="I8828" s="3"/>
      <c r="J8828" s="3"/>
      <c r="K8828" s="3"/>
      <c r="L8828" s="3"/>
    </row>
    <row r="8829" spans="9:12" x14ac:dyDescent="0.25">
      <c r="I8829" s="3"/>
      <c r="J8829" s="3"/>
      <c r="K8829" s="3"/>
      <c r="L8829" s="3"/>
    </row>
    <row r="8830" spans="9:12" x14ac:dyDescent="0.25">
      <c r="I8830" s="3"/>
      <c r="J8830" s="3"/>
      <c r="K8830" s="3"/>
      <c r="L8830" s="3"/>
    </row>
    <row r="8831" spans="9:12" x14ac:dyDescent="0.25">
      <c r="I8831" s="3"/>
      <c r="J8831" s="3"/>
      <c r="K8831" s="3"/>
      <c r="L8831" s="3"/>
    </row>
    <row r="8832" spans="9:12" x14ac:dyDescent="0.25">
      <c r="I8832" s="3"/>
      <c r="J8832" s="3"/>
      <c r="K8832" s="3"/>
      <c r="L8832" s="3"/>
    </row>
    <row r="8833" spans="9:12" x14ac:dyDescent="0.25">
      <c r="I8833" s="3"/>
      <c r="J8833" s="3"/>
      <c r="K8833" s="3"/>
      <c r="L8833" s="3"/>
    </row>
    <row r="8834" spans="9:12" x14ac:dyDescent="0.25">
      <c r="I8834" s="3"/>
      <c r="J8834" s="3"/>
      <c r="K8834" s="3"/>
      <c r="L8834" s="3"/>
    </row>
    <row r="8835" spans="9:12" x14ac:dyDescent="0.25">
      <c r="I8835" s="3"/>
      <c r="J8835" s="3"/>
      <c r="K8835" s="3"/>
      <c r="L8835" s="3"/>
    </row>
    <row r="8836" spans="9:12" x14ac:dyDescent="0.25">
      <c r="I8836" s="3"/>
      <c r="J8836" s="3"/>
      <c r="K8836" s="3"/>
      <c r="L8836" s="3"/>
    </row>
    <row r="8837" spans="9:12" x14ac:dyDescent="0.25">
      <c r="I8837" s="3"/>
      <c r="J8837" s="3"/>
      <c r="K8837" s="3"/>
      <c r="L8837" s="3"/>
    </row>
    <row r="8838" spans="9:12" x14ac:dyDescent="0.25">
      <c r="I8838" s="4"/>
      <c r="J8838" s="4"/>
      <c r="K8838" s="4"/>
      <c r="L8838" s="4"/>
    </row>
    <row r="8839" spans="9:12" x14ac:dyDescent="0.25">
      <c r="I8839" s="3"/>
      <c r="J8839" s="3"/>
      <c r="K8839" s="3"/>
      <c r="L8839" s="3"/>
    </row>
    <row r="8840" spans="9:12" x14ac:dyDescent="0.25">
      <c r="I8840" s="3"/>
      <c r="J8840" s="3"/>
      <c r="K8840" s="3"/>
      <c r="L8840" s="3"/>
    </row>
    <row r="8841" spans="9:12" x14ac:dyDescent="0.25">
      <c r="I8841" s="3"/>
      <c r="J8841" s="3"/>
      <c r="K8841" s="3"/>
      <c r="L8841" s="3"/>
    </row>
    <row r="8842" spans="9:12" x14ac:dyDescent="0.25">
      <c r="I8842" s="3"/>
      <c r="J8842" s="3"/>
      <c r="K8842" s="3"/>
      <c r="L8842" s="3"/>
    </row>
    <row r="8843" spans="9:12" x14ac:dyDescent="0.25">
      <c r="I8843" s="3"/>
      <c r="J8843" s="3"/>
      <c r="K8843" s="3"/>
      <c r="L8843" s="3"/>
    </row>
    <row r="8844" spans="9:12" x14ac:dyDescent="0.25">
      <c r="I8844" s="3"/>
      <c r="J8844" s="3"/>
      <c r="K8844" s="3"/>
      <c r="L8844" s="3"/>
    </row>
    <row r="8845" spans="9:12" x14ac:dyDescent="0.25">
      <c r="I8845" s="3"/>
      <c r="J8845" s="3"/>
      <c r="K8845" s="3"/>
      <c r="L8845" s="3"/>
    </row>
    <row r="8846" spans="9:12" x14ac:dyDescent="0.25">
      <c r="I8846" s="3"/>
      <c r="J8846" s="3"/>
      <c r="K8846" s="3"/>
      <c r="L8846" s="3"/>
    </row>
    <row r="8847" spans="9:12" x14ac:dyDescent="0.25">
      <c r="I8847" s="3"/>
      <c r="J8847" s="3"/>
      <c r="K8847" s="3"/>
      <c r="L8847" s="3"/>
    </row>
    <row r="8848" spans="9:12" x14ac:dyDescent="0.25">
      <c r="I8848" s="3"/>
      <c r="J8848" s="3"/>
      <c r="K8848" s="3"/>
      <c r="L8848" s="3"/>
    </row>
    <row r="8849" spans="9:12" x14ac:dyDescent="0.25">
      <c r="I8849" s="3"/>
      <c r="J8849" s="3"/>
      <c r="K8849" s="3"/>
      <c r="L8849" s="3"/>
    </row>
    <row r="8850" spans="9:12" x14ac:dyDescent="0.25">
      <c r="I8850" s="3"/>
      <c r="J8850" s="3"/>
      <c r="K8850" s="3"/>
      <c r="L8850" s="3"/>
    </row>
    <row r="8851" spans="9:12" x14ac:dyDescent="0.25">
      <c r="I8851" s="3"/>
      <c r="J8851" s="3"/>
      <c r="K8851" s="3"/>
      <c r="L8851" s="3"/>
    </row>
    <row r="8852" spans="9:12" x14ac:dyDescent="0.25">
      <c r="I8852" s="3"/>
      <c r="J8852" s="3"/>
      <c r="K8852" s="3"/>
      <c r="L8852" s="3"/>
    </row>
    <row r="8853" spans="9:12" x14ac:dyDescent="0.25">
      <c r="I8853" s="3"/>
      <c r="J8853" s="3"/>
      <c r="K8853" s="3"/>
      <c r="L8853" s="3"/>
    </row>
    <row r="8854" spans="9:12" x14ac:dyDescent="0.25">
      <c r="I8854" s="3"/>
      <c r="J8854" s="3"/>
      <c r="K8854" s="3"/>
      <c r="L8854" s="3"/>
    </row>
    <row r="8855" spans="9:12" x14ac:dyDescent="0.25">
      <c r="I8855" s="3"/>
      <c r="J8855" s="3"/>
      <c r="K8855" s="3"/>
      <c r="L8855" s="3"/>
    </row>
    <row r="8856" spans="9:12" x14ac:dyDescent="0.25">
      <c r="I8856" s="3"/>
      <c r="J8856" s="3"/>
      <c r="K8856" s="3"/>
      <c r="L8856" s="3"/>
    </row>
    <row r="8857" spans="9:12" x14ac:dyDescent="0.25">
      <c r="I8857" s="3"/>
      <c r="J8857" s="3"/>
      <c r="K8857" s="3"/>
      <c r="L8857" s="3"/>
    </row>
    <row r="8858" spans="9:12" x14ac:dyDescent="0.25">
      <c r="I8858" s="3"/>
      <c r="J8858" s="3"/>
      <c r="K8858" s="3"/>
      <c r="L8858" s="3"/>
    </row>
    <row r="8859" spans="9:12" x14ac:dyDescent="0.25">
      <c r="I8859" s="3"/>
      <c r="J8859" s="3"/>
      <c r="K8859" s="3"/>
      <c r="L8859" s="3"/>
    </row>
    <row r="8860" spans="9:12" x14ac:dyDescent="0.25">
      <c r="I8860" s="3"/>
      <c r="J8860" s="3"/>
      <c r="K8860" s="3"/>
      <c r="L8860" s="3"/>
    </row>
    <row r="8861" spans="9:12" x14ac:dyDescent="0.25">
      <c r="I8861" s="3"/>
      <c r="J8861" s="3"/>
      <c r="K8861" s="3"/>
      <c r="L8861" s="3"/>
    </row>
    <row r="8862" spans="9:12" x14ac:dyDescent="0.25">
      <c r="I8862" s="3"/>
      <c r="J8862" s="3"/>
      <c r="K8862" s="3"/>
      <c r="L8862" s="3"/>
    </row>
    <row r="8863" spans="9:12" x14ac:dyDescent="0.25">
      <c r="I8863" s="3"/>
      <c r="J8863" s="3"/>
      <c r="K8863" s="3"/>
      <c r="L8863" s="3"/>
    </row>
    <row r="8864" spans="9:12" x14ac:dyDescent="0.25">
      <c r="I8864" s="3"/>
      <c r="J8864" s="3"/>
      <c r="K8864" s="3"/>
      <c r="L8864" s="3"/>
    </row>
    <row r="8865" spans="9:12" x14ac:dyDescent="0.25">
      <c r="I8865" s="3"/>
      <c r="J8865" s="3"/>
      <c r="K8865" s="3"/>
      <c r="L8865" s="3"/>
    </row>
    <row r="8866" spans="9:12" x14ac:dyDescent="0.25">
      <c r="I8866" s="3"/>
      <c r="J8866" s="3"/>
      <c r="K8866" s="3"/>
      <c r="L8866" s="3"/>
    </row>
    <row r="8867" spans="9:12" x14ac:dyDescent="0.25">
      <c r="I8867" s="3"/>
      <c r="J8867" s="3"/>
      <c r="K8867" s="3"/>
      <c r="L8867" s="3"/>
    </row>
    <row r="8868" spans="9:12" x14ac:dyDescent="0.25">
      <c r="I8868" s="3"/>
      <c r="J8868" s="3"/>
      <c r="K8868" s="3"/>
      <c r="L8868" s="3"/>
    </row>
    <row r="8869" spans="9:12" x14ac:dyDescent="0.25">
      <c r="I8869" s="3"/>
      <c r="J8869" s="3"/>
      <c r="K8869" s="3"/>
      <c r="L8869" s="3"/>
    </row>
    <row r="8870" spans="9:12" x14ac:dyDescent="0.25">
      <c r="I8870" s="3"/>
      <c r="J8870" s="3"/>
      <c r="K8870" s="3"/>
      <c r="L8870" s="3"/>
    </row>
    <row r="8871" spans="9:12" x14ac:dyDescent="0.25">
      <c r="I8871" s="3"/>
      <c r="J8871" s="3"/>
      <c r="K8871" s="3"/>
      <c r="L8871" s="3"/>
    </row>
    <row r="8872" spans="9:12" x14ac:dyDescent="0.25">
      <c r="I8872" s="3"/>
      <c r="J8872" s="3"/>
      <c r="K8872" s="3"/>
      <c r="L8872" s="3"/>
    </row>
    <row r="8873" spans="9:12" x14ac:dyDescent="0.25">
      <c r="I8873" s="3"/>
      <c r="J8873" s="3"/>
      <c r="K8873" s="3"/>
      <c r="L8873" s="3"/>
    </row>
    <row r="8874" spans="9:12" x14ac:dyDescent="0.25">
      <c r="I8874" s="3"/>
      <c r="J8874" s="3"/>
      <c r="K8874" s="3"/>
      <c r="L8874" s="3"/>
    </row>
    <row r="8875" spans="9:12" x14ac:dyDescent="0.25">
      <c r="I8875" s="3"/>
      <c r="J8875" s="3"/>
      <c r="K8875" s="3"/>
      <c r="L8875" s="3"/>
    </row>
    <row r="8876" spans="9:12" x14ac:dyDescent="0.25">
      <c r="I8876" s="3"/>
      <c r="J8876" s="3"/>
      <c r="K8876" s="3"/>
      <c r="L8876" s="3"/>
    </row>
    <row r="8877" spans="9:12" x14ac:dyDescent="0.25">
      <c r="I8877" s="3"/>
      <c r="J8877" s="3"/>
      <c r="K8877" s="3"/>
      <c r="L8877" s="3"/>
    </row>
    <row r="8878" spans="9:12" x14ac:dyDescent="0.25">
      <c r="I8878" s="3"/>
      <c r="J8878" s="3"/>
      <c r="K8878" s="3"/>
      <c r="L8878" s="3"/>
    </row>
    <row r="8879" spans="9:12" x14ac:dyDescent="0.25">
      <c r="I8879" s="3"/>
      <c r="J8879" s="3"/>
      <c r="K8879" s="3"/>
      <c r="L8879" s="3"/>
    </row>
    <row r="8880" spans="9:12" x14ac:dyDescent="0.25">
      <c r="I8880" s="3"/>
      <c r="J8880" s="3"/>
      <c r="K8880" s="3"/>
      <c r="L8880" s="3"/>
    </row>
    <row r="8881" spans="9:12" x14ac:dyDescent="0.25">
      <c r="I8881" s="3"/>
      <c r="J8881" s="3"/>
      <c r="K8881" s="3"/>
      <c r="L8881" s="3"/>
    </row>
    <row r="8882" spans="9:12" x14ac:dyDescent="0.25">
      <c r="I8882" s="3"/>
      <c r="J8882" s="3"/>
      <c r="K8882" s="3"/>
      <c r="L8882" s="3"/>
    </row>
    <row r="8883" spans="9:12" x14ac:dyDescent="0.25">
      <c r="I8883" s="3"/>
      <c r="J8883" s="3"/>
      <c r="K8883" s="3"/>
      <c r="L8883" s="3"/>
    </row>
    <row r="8884" spans="9:12" x14ac:dyDescent="0.25">
      <c r="I8884" s="4"/>
      <c r="J8884" s="4"/>
      <c r="K8884" s="4"/>
      <c r="L8884" s="4"/>
    </row>
    <row r="8885" spans="9:12" x14ac:dyDescent="0.25">
      <c r="I8885" s="4"/>
      <c r="J8885" s="4"/>
      <c r="K8885" s="4"/>
      <c r="L8885" s="4"/>
    </row>
    <row r="8886" spans="9:12" x14ac:dyDescent="0.25">
      <c r="I8886" s="3"/>
      <c r="J8886" s="3"/>
      <c r="K8886" s="3"/>
      <c r="L8886" s="3"/>
    </row>
    <row r="8887" spans="9:12" x14ac:dyDescent="0.25">
      <c r="I8887" s="3"/>
      <c r="J8887" s="3"/>
      <c r="K8887" s="3"/>
      <c r="L8887" s="3"/>
    </row>
    <row r="8888" spans="9:12" x14ac:dyDescent="0.25">
      <c r="I8888" s="3"/>
      <c r="J8888" s="3"/>
      <c r="K8888" s="3"/>
      <c r="L8888" s="3"/>
    </row>
    <row r="8889" spans="9:12" x14ac:dyDescent="0.25">
      <c r="I8889" s="3"/>
      <c r="J8889" s="3"/>
      <c r="K8889" s="3"/>
      <c r="L8889" s="3"/>
    </row>
    <row r="8890" spans="9:12" x14ac:dyDescent="0.25">
      <c r="I8890" s="3"/>
      <c r="J8890" s="3"/>
      <c r="K8890" s="3"/>
      <c r="L8890" s="3"/>
    </row>
    <row r="8891" spans="9:12" x14ac:dyDescent="0.25">
      <c r="I8891" s="3"/>
      <c r="J8891" s="3"/>
      <c r="K8891" s="3"/>
      <c r="L8891" s="3"/>
    </row>
    <row r="8892" spans="9:12" x14ac:dyDescent="0.25">
      <c r="I8892" s="3"/>
      <c r="J8892" s="3"/>
      <c r="K8892" s="3"/>
      <c r="L8892" s="3"/>
    </row>
    <row r="8893" spans="9:12" x14ac:dyDescent="0.25">
      <c r="I8893" s="3"/>
      <c r="J8893" s="3"/>
      <c r="K8893" s="3"/>
      <c r="L8893" s="3"/>
    </row>
    <row r="8894" spans="9:12" x14ac:dyDescent="0.25">
      <c r="I8894" s="3"/>
      <c r="J8894" s="3"/>
      <c r="K8894" s="3"/>
      <c r="L8894" s="3"/>
    </row>
    <row r="8895" spans="9:12" x14ac:dyDescent="0.25">
      <c r="I8895" s="3"/>
      <c r="J8895" s="3"/>
      <c r="K8895" s="3"/>
      <c r="L8895" s="3"/>
    </row>
    <row r="8896" spans="9:12" x14ac:dyDescent="0.25">
      <c r="I8896" s="3"/>
      <c r="J8896" s="3"/>
      <c r="K8896" s="3"/>
      <c r="L8896" s="3"/>
    </row>
    <row r="8897" spans="9:12" x14ac:dyDescent="0.25">
      <c r="I8897" s="3"/>
      <c r="J8897" s="3"/>
      <c r="K8897" s="3"/>
      <c r="L8897" s="3"/>
    </row>
    <row r="8898" spans="9:12" x14ac:dyDescent="0.25">
      <c r="I8898" s="3"/>
      <c r="J8898" s="3"/>
      <c r="K8898" s="3"/>
      <c r="L8898" s="3"/>
    </row>
    <row r="8899" spans="9:12" x14ac:dyDescent="0.25">
      <c r="I8899" s="3"/>
      <c r="J8899" s="3"/>
      <c r="K8899" s="3"/>
      <c r="L8899" s="3"/>
    </row>
    <row r="8900" spans="9:12" x14ac:dyDescent="0.25">
      <c r="I8900" s="3"/>
      <c r="J8900" s="3"/>
      <c r="K8900" s="3"/>
      <c r="L8900" s="3"/>
    </row>
    <row r="8901" spans="9:12" x14ac:dyDescent="0.25">
      <c r="I8901" s="3"/>
      <c r="J8901" s="3"/>
      <c r="K8901" s="3"/>
      <c r="L8901" s="3"/>
    </row>
    <row r="8902" spans="9:12" x14ac:dyDescent="0.25">
      <c r="I8902" s="3"/>
      <c r="J8902" s="3"/>
      <c r="K8902" s="3"/>
      <c r="L8902" s="3"/>
    </row>
    <row r="8903" spans="9:12" x14ac:dyDescent="0.25">
      <c r="I8903" s="3"/>
      <c r="J8903" s="3"/>
      <c r="K8903" s="3"/>
      <c r="L8903" s="3"/>
    </row>
    <row r="8904" spans="9:12" x14ac:dyDescent="0.25">
      <c r="I8904" s="3"/>
      <c r="J8904" s="3"/>
      <c r="K8904" s="3"/>
      <c r="L8904" s="3"/>
    </row>
    <row r="8905" spans="9:12" x14ac:dyDescent="0.25">
      <c r="I8905" s="3"/>
      <c r="J8905" s="3"/>
      <c r="K8905" s="3"/>
      <c r="L8905" s="3"/>
    </row>
    <row r="8906" spans="9:12" x14ac:dyDescent="0.25">
      <c r="I8906" s="5"/>
      <c r="J8906" s="5"/>
      <c r="K8906" s="5"/>
      <c r="L8906" s="5"/>
    </row>
    <row r="8907" spans="9:12" x14ac:dyDescent="0.25">
      <c r="I8907" s="3"/>
      <c r="J8907" s="3"/>
      <c r="K8907" s="3"/>
      <c r="L8907" s="3"/>
    </row>
    <row r="8908" spans="9:12" x14ac:dyDescent="0.25">
      <c r="I8908" s="3"/>
      <c r="J8908" s="3"/>
      <c r="K8908" s="3"/>
      <c r="L8908" s="3"/>
    </row>
    <row r="8909" spans="9:12" x14ac:dyDescent="0.25">
      <c r="I8909" s="3"/>
      <c r="J8909" s="3"/>
      <c r="K8909" s="3"/>
      <c r="L8909" s="3"/>
    </row>
    <row r="8910" spans="9:12" x14ac:dyDescent="0.25">
      <c r="I8910" s="3"/>
      <c r="J8910" s="3"/>
      <c r="K8910" s="3"/>
      <c r="L8910" s="3"/>
    </row>
    <row r="8911" spans="9:12" x14ac:dyDescent="0.25">
      <c r="I8911" s="3"/>
      <c r="J8911" s="3"/>
      <c r="K8911" s="3"/>
      <c r="L8911" s="3"/>
    </row>
    <row r="8912" spans="9:12" x14ac:dyDescent="0.25">
      <c r="I8912" s="3"/>
      <c r="J8912" s="3"/>
      <c r="K8912" s="3"/>
      <c r="L8912" s="3"/>
    </row>
    <row r="8913" spans="9:12" x14ac:dyDescent="0.25">
      <c r="I8913" s="3"/>
      <c r="J8913" s="3"/>
      <c r="K8913" s="3"/>
      <c r="L8913" s="3"/>
    </row>
    <row r="8914" spans="9:12" x14ac:dyDescent="0.25">
      <c r="I8914" s="3"/>
      <c r="J8914" s="3"/>
      <c r="K8914" s="3"/>
      <c r="L8914" s="3"/>
    </row>
    <row r="8915" spans="9:12" x14ac:dyDescent="0.25">
      <c r="I8915" s="3"/>
      <c r="J8915" s="3"/>
      <c r="K8915" s="3"/>
      <c r="L8915" s="3"/>
    </row>
    <row r="8916" spans="9:12" x14ac:dyDescent="0.25">
      <c r="I8916" s="3"/>
      <c r="J8916" s="3"/>
      <c r="K8916" s="3"/>
      <c r="L8916" s="3"/>
    </row>
    <row r="8917" spans="9:12" x14ac:dyDescent="0.25">
      <c r="I8917" s="3"/>
      <c r="J8917" s="3"/>
      <c r="K8917" s="3"/>
      <c r="L8917" s="3"/>
    </row>
    <row r="8918" spans="9:12" x14ac:dyDescent="0.25">
      <c r="I8918" s="3"/>
      <c r="J8918" s="3"/>
      <c r="K8918" s="3"/>
      <c r="L8918" s="3"/>
    </row>
    <row r="8919" spans="9:12" x14ac:dyDescent="0.25">
      <c r="I8919" s="3"/>
      <c r="J8919" s="3"/>
      <c r="K8919" s="3"/>
      <c r="L8919" s="3"/>
    </row>
    <row r="8920" spans="9:12" x14ac:dyDescent="0.25">
      <c r="I8920" s="3"/>
      <c r="J8920" s="3"/>
      <c r="K8920" s="3"/>
      <c r="L8920" s="3"/>
    </row>
    <row r="8921" spans="9:12" x14ac:dyDescent="0.25">
      <c r="I8921" s="3"/>
      <c r="J8921" s="3"/>
      <c r="K8921" s="3"/>
      <c r="L8921" s="3"/>
    </row>
    <row r="8922" spans="9:12" x14ac:dyDescent="0.25">
      <c r="I8922" s="3"/>
      <c r="J8922" s="3"/>
      <c r="K8922" s="3"/>
      <c r="L8922" s="3"/>
    </row>
    <row r="8923" spans="9:12" x14ac:dyDescent="0.25">
      <c r="I8923" s="3"/>
      <c r="J8923" s="3"/>
      <c r="K8923" s="3"/>
      <c r="L8923" s="3"/>
    </row>
    <row r="8924" spans="9:12" x14ac:dyDescent="0.25">
      <c r="I8924" s="3"/>
      <c r="J8924" s="3"/>
      <c r="K8924" s="3"/>
      <c r="L8924" s="3"/>
    </row>
    <row r="8925" spans="9:12" x14ac:dyDescent="0.25">
      <c r="I8925" s="3"/>
      <c r="J8925" s="3"/>
      <c r="K8925" s="3"/>
      <c r="L8925" s="3"/>
    </row>
    <row r="8926" spans="9:12" x14ac:dyDescent="0.25">
      <c r="I8926" s="3"/>
      <c r="J8926" s="3"/>
      <c r="K8926" s="3"/>
      <c r="L8926" s="3"/>
    </row>
    <row r="8927" spans="9:12" x14ac:dyDescent="0.25">
      <c r="I8927" s="3"/>
      <c r="J8927" s="3"/>
      <c r="K8927" s="3"/>
      <c r="L8927" s="3"/>
    </row>
    <row r="8928" spans="9:12" x14ac:dyDescent="0.25">
      <c r="I8928" s="3"/>
      <c r="J8928" s="3"/>
      <c r="K8928" s="3"/>
      <c r="L8928" s="3"/>
    </row>
    <row r="8929" spans="9:12" x14ac:dyDescent="0.25">
      <c r="I8929" s="3"/>
      <c r="J8929" s="3"/>
      <c r="K8929" s="3"/>
      <c r="L8929" s="3"/>
    </row>
    <row r="8930" spans="9:12" x14ac:dyDescent="0.25">
      <c r="I8930" s="3"/>
      <c r="J8930" s="3"/>
      <c r="K8930" s="3"/>
      <c r="L8930" s="3"/>
    </row>
    <row r="8931" spans="9:12" x14ac:dyDescent="0.25">
      <c r="I8931" s="3"/>
      <c r="J8931" s="3"/>
      <c r="K8931" s="3"/>
      <c r="L8931" s="3"/>
    </row>
    <row r="8932" spans="9:12" x14ac:dyDescent="0.25">
      <c r="I8932" s="3"/>
      <c r="J8932" s="3"/>
      <c r="K8932" s="3"/>
      <c r="L8932" s="3"/>
    </row>
    <row r="8933" spans="9:12" x14ac:dyDescent="0.25">
      <c r="I8933" s="3"/>
      <c r="J8933" s="3"/>
      <c r="K8933" s="3"/>
      <c r="L8933" s="3"/>
    </row>
    <row r="8934" spans="9:12" x14ac:dyDescent="0.25">
      <c r="I8934" s="3"/>
      <c r="J8934" s="3"/>
      <c r="K8934" s="3"/>
      <c r="L8934" s="3"/>
    </row>
    <row r="8935" spans="9:12" x14ac:dyDescent="0.25">
      <c r="I8935" s="3"/>
      <c r="J8935" s="3"/>
      <c r="K8935" s="3"/>
      <c r="L8935" s="3"/>
    </row>
    <row r="8936" spans="9:12" x14ac:dyDescent="0.25">
      <c r="I8936" s="3"/>
      <c r="J8936" s="3"/>
      <c r="K8936" s="3"/>
      <c r="L8936" s="3"/>
    </row>
    <row r="8937" spans="9:12" x14ac:dyDescent="0.25">
      <c r="I8937" s="3"/>
      <c r="J8937" s="3"/>
      <c r="K8937" s="3"/>
      <c r="L8937" s="3"/>
    </row>
    <row r="8938" spans="9:12" x14ac:dyDescent="0.25">
      <c r="I8938" s="3"/>
      <c r="J8938" s="3"/>
      <c r="K8938" s="3"/>
      <c r="L8938" s="3"/>
    </row>
    <row r="8939" spans="9:12" x14ac:dyDescent="0.25">
      <c r="I8939" s="3"/>
      <c r="J8939" s="3"/>
      <c r="K8939" s="3"/>
      <c r="L8939" s="3"/>
    </row>
    <row r="8940" spans="9:12" x14ac:dyDescent="0.25">
      <c r="I8940" s="3"/>
      <c r="J8940" s="3"/>
      <c r="K8940" s="3"/>
      <c r="L8940" s="3"/>
    </row>
    <row r="8941" spans="9:12" x14ac:dyDescent="0.25">
      <c r="I8941" s="3"/>
      <c r="J8941" s="3"/>
      <c r="K8941" s="3"/>
      <c r="L8941" s="3"/>
    </row>
    <row r="8942" spans="9:12" x14ac:dyDescent="0.25">
      <c r="I8942" s="3"/>
      <c r="J8942" s="3"/>
      <c r="K8942" s="3"/>
      <c r="L8942" s="3"/>
    </row>
    <row r="8943" spans="9:12" x14ac:dyDescent="0.25">
      <c r="I8943" s="3"/>
      <c r="J8943" s="3"/>
      <c r="K8943" s="3"/>
      <c r="L8943" s="3"/>
    </row>
    <row r="8944" spans="9:12" x14ac:dyDescent="0.25">
      <c r="I8944" s="3"/>
      <c r="J8944" s="3"/>
      <c r="K8944" s="3"/>
      <c r="L8944" s="3"/>
    </row>
    <row r="8945" spans="9:12" x14ac:dyDescent="0.25">
      <c r="I8945" s="3"/>
      <c r="J8945" s="3"/>
      <c r="K8945" s="3"/>
      <c r="L8945" s="3"/>
    </row>
    <row r="8946" spans="9:12" x14ac:dyDescent="0.25">
      <c r="I8946" s="3"/>
      <c r="J8946" s="3"/>
      <c r="K8946" s="3"/>
      <c r="L8946" s="3"/>
    </row>
    <row r="8947" spans="9:12" x14ac:dyDescent="0.25">
      <c r="I8947" s="3"/>
      <c r="J8947" s="3"/>
      <c r="K8947" s="3"/>
      <c r="L8947" s="3"/>
    </row>
    <row r="8948" spans="9:12" x14ac:dyDescent="0.25">
      <c r="I8948" s="3"/>
      <c r="J8948" s="3"/>
      <c r="K8948" s="3"/>
      <c r="L8948" s="3"/>
    </row>
    <row r="8949" spans="9:12" x14ac:dyDescent="0.25">
      <c r="I8949" s="3"/>
      <c r="J8949" s="3"/>
      <c r="K8949" s="3"/>
      <c r="L8949" s="3"/>
    </row>
    <row r="8950" spans="9:12" x14ac:dyDescent="0.25">
      <c r="I8950" s="3"/>
      <c r="J8950" s="3"/>
      <c r="K8950" s="3"/>
      <c r="L8950" s="3"/>
    </row>
    <row r="8951" spans="9:12" x14ac:dyDescent="0.25">
      <c r="I8951" s="3"/>
      <c r="J8951" s="3"/>
      <c r="K8951" s="3"/>
      <c r="L8951" s="3"/>
    </row>
    <row r="8952" spans="9:12" x14ac:dyDescent="0.25">
      <c r="I8952" s="3"/>
      <c r="J8952" s="3"/>
      <c r="K8952" s="3"/>
      <c r="L8952" s="3"/>
    </row>
    <row r="8953" spans="9:12" x14ac:dyDescent="0.25">
      <c r="I8953" s="3"/>
      <c r="J8953" s="3"/>
      <c r="K8953" s="3"/>
      <c r="L8953" s="3"/>
    </row>
    <row r="8954" spans="9:12" x14ac:dyDescent="0.25">
      <c r="I8954" s="3"/>
      <c r="J8954" s="3"/>
      <c r="K8954" s="3"/>
      <c r="L8954" s="3"/>
    </row>
    <row r="8955" spans="9:12" x14ac:dyDescent="0.25">
      <c r="I8955" s="3"/>
      <c r="J8955" s="3"/>
      <c r="K8955" s="3"/>
      <c r="L8955" s="3"/>
    </row>
    <row r="8956" spans="9:12" x14ac:dyDescent="0.25">
      <c r="I8956" s="3"/>
      <c r="J8956" s="3"/>
      <c r="K8956" s="3"/>
      <c r="L8956" s="3"/>
    </row>
    <row r="8957" spans="9:12" x14ac:dyDescent="0.25">
      <c r="I8957" s="3"/>
      <c r="J8957" s="3"/>
      <c r="K8957" s="3"/>
      <c r="L8957" s="3"/>
    </row>
    <row r="8958" spans="9:12" x14ac:dyDescent="0.25">
      <c r="I8958" s="3"/>
      <c r="J8958" s="3"/>
      <c r="K8958" s="3"/>
      <c r="L8958" s="3"/>
    </row>
    <row r="8959" spans="9:12" x14ac:dyDescent="0.25">
      <c r="I8959" s="3"/>
      <c r="J8959" s="3"/>
      <c r="K8959" s="3"/>
      <c r="L8959" s="3"/>
    </row>
    <row r="8960" spans="9:12" x14ac:dyDescent="0.25">
      <c r="I8960" s="3"/>
      <c r="J8960" s="3"/>
      <c r="K8960" s="3"/>
      <c r="L8960" s="3"/>
    </row>
    <row r="8961" spans="9:12" x14ac:dyDescent="0.25">
      <c r="I8961" s="3"/>
      <c r="J8961" s="3"/>
      <c r="K8961" s="3"/>
      <c r="L8961" s="3"/>
    </row>
    <row r="8962" spans="9:12" x14ac:dyDescent="0.25">
      <c r="I8962" s="3"/>
      <c r="J8962" s="3"/>
      <c r="K8962" s="3"/>
      <c r="L8962" s="3"/>
    </row>
    <row r="8963" spans="9:12" x14ac:dyDescent="0.25">
      <c r="I8963" s="3"/>
      <c r="J8963" s="3"/>
      <c r="K8963" s="3"/>
      <c r="L8963" s="3"/>
    </row>
    <row r="8964" spans="9:12" x14ac:dyDescent="0.25">
      <c r="I8964" s="3"/>
      <c r="J8964" s="3"/>
      <c r="K8964" s="3"/>
      <c r="L8964" s="3"/>
    </row>
    <row r="8965" spans="9:12" x14ac:dyDescent="0.25">
      <c r="I8965" s="3"/>
      <c r="J8965" s="3"/>
      <c r="K8965" s="3"/>
      <c r="L8965" s="3"/>
    </row>
    <row r="8966" spans="9:12" x14ac:dyDescent="0.25">
      <c r="I8966" s="3"/>
      <c r="J8966" s="3"/>
      <c r="K8966" s="3"/>
      <c r="L8966" s="3"/>
    </row>
    <row r="8967" spans="9:12" x14ac:dyDescent="0.25">
      <c r="I8967" s="3"/>
      <c r="J8967" s="3"/>
      <c r="K8967" s="3"/>
      <c r="L8967" s="3"/>
    </row>
    <row r="8968" spans="9:12" x14ac:dyDescent="0.25">
      <c r="I8968" s="3"/>
      <c r="J8968" s="3"/>
      <c r="K8968" s="3"/>
      <c r="L8968" s="3"/>
    </row>
    <row r="8969" spans="9:12" x14ac:dyDescent="0.25">
      <c r="I8969" s="3"/>
      <c r="J8969" s="3"/>
      <c r="K8969" s="3"/>
      <c r="L8969" s="3"/>
    </row>
    <row r="8970" spans="9:12" x14ac:dyDescent="0.25">
      <c r="I8970" s="3"/>
      <c r="J8970" s="3"/>
      <c r="K8970" s="3"/>
      <c r="L8970" s="3"/>
    </row>
    <row r="8971" spans="9:12" x14ac:dyDescent="0.25">
      <c r="I8971" s="3"/>
      <c r="J8971" s="3"/>
      <c r="K8971" s="3"/>
      <c r="L8971" s="3"/>
    </row>
    <row r="8972" spans="9:12" x14ac:dyDescent="0.25">
      <c r="I8972" s="3"/>
      <c r="J8972" s="3"/>
      <c r="K8972" s="3"/>
      <c r="L8972" s="3"/>
    </row>
    <row r="8973" spans="9:12" x14ac:dyDescent="0.25">
      <c r="I8973" s="3"/>
      <c r="J8973" s="3"/>
      <c r="K8973" s="3"/>
      <c r="L8973" s="3"/>
    </row>
    <row r="8974" spans="9:12" x14ac:dyDescent="0.25">
      <c r="I8974" s="3"/>
      <c r="J8974" s="3"/>
      <c r="K8974" s="3"/>
      <c r="L8974" s="3"/>
    </row>
    <row r="8975" spans="9:12" x14ac:dyDescent="0.25">
      <c r="I8975" s="3"/>
      <c r="J8975" s="3"/>
      <c r="K8975" s="3"/>
      <c r="L8975" s="3"/>
    </row>
    <row r="8976" spans="9:12" x14ac:dyDescent="0.25">
      <c r="I8976" s="3"/>
      <c r="J8976" s="3"/>
      <c r="K8976" s="3"/>
      <c r="L8976" s="3"/>
    </row>
    <row r="8977" spans="9:12" x14ac:dyDescent="0.25">
      <c r="I8977" s="3"/>
      <c r="J8977" s="3"/>
      <c r="K8977" s="3"/>
      <c r="L8977" s="3"/>
    </row>
    <row r="8978" spans="9:12" x14ac:dyDescent="0.25">
      <c r="I8978" s="3"/>
      <c r="J8978" s="3"/>
      <c r="K8978" s="3"/>
      <c r="L8978" s="3"/>
    </row>
    <row r="8979" spans="9:12" x14ac:dyDescent="0.25">
      <c r="I8979" s="3"/>
      <c r="J8979" s="3"/>
      <c r="K8979" s="3"/>
      <c r="L8979" s="3"/>
    </row>
    <row r="8980" spans="9:12" x14ac:dyDescent="0.25">
      <c r="I8980" s="3"/>
      <c r="J8980" s="3"/>
      <c r="K8980" s="3"/>
      <c r="L8980" s="3"/>
    </row>
    <row r="8981" spans="9:12" x14ac:dyDescent="0.25">
      <c r="I8981" s="3"/>
      <c r="J8981" s="3"/>
      <c r="K8981" s="3"/>
      <c r="L8981" s="3"/>
    </row>
    <row r="8982" spans="9:12" x14ac:dyDescent="0.25">
      <c r="I8982" s="3"/>
      <c r="J8982" s="3"/>
      <c r="K8982" s="3"/>
      <c r="L8982" s="3"/>
    </row>
    <row r="8983" spans="9:12" x14ac:dyDescent="0.25">
      <c r="I8983" s="3"/>
      <c r="J8983" s="3"/>
      <c r="K8983" s="3"/>
      <c r="L8983" s="3"/>
    </row>
    <row r="8984" spans="9:12" x14ac:dyDescent="0.25">
      <c r="I8984" s="3"/>
      <c r="J8984" s="3"/>
      <c r="K8984" s="3"/>
      <c r="L8984" s="3"/>
    </row>
    <row r="8985" spans="9:12" x14ac:dyDescent="0.25">
      <c r="I8985" s="3"/>
      <c r="J8985" s="3"/>
      <c r="K8985" s="3"/>
      <c r="L8985" s="3"/>
    </row>
    <row r="8986" spans="9:12" x14ac:dyDescent="0.25">
      <c r="I8986" s="3"/>
      <c r="J8986" s="3"/>
      <c r="K8986" s="3"/>
      <c r="L8986" s="3"/>
    </row>
    <row r="8987" spans="9:12" x14ac:dyDescent="0.25">
      <c r="I8987" s="3"/>
      <c r="J8987" s="3"/>
      <c r="K8987" s="3"/>
      <c r="L8987" s="3"/>
    </row>
    <row r="8988" spans="9:12" x14ac:dyDescent="0.25">
      <c r="I8988" s="3"/>
      <c r="J8988" s="3"/>
      <c r="K8988" s="3"/>
      <c r="L8988" s="3"/>
    </row>
    <row r="8989" spans="9:12" x14ac:dyDescent="0.25">
      <c r="I8989" s="3"/>
      <c r="J8989" s="3"/>
      <c r="K8989" s="3"/>
      <c r="L8989" s="3"/>
    </row>
    <row r="8990" spans="9:12" x14ac:dyDescent="0.25">
      <c r="I8990" s="3"/>
      <c r="J8990" s="3"/>
      <c r="K8990" s="3"/>
      <c r="L8990" s="3"/>
    </row>
    <row r="8991" spans="9:12" x14ac:dyDescent="0.25">
      <c r="I8991" s="3"/>
      <c r="J8991" s="3"/>
      <c r="K8991" s="3"/>
      <c r="L8991" s="3"/>
    </row>
    <row r="8992" spans="9:12" x14ac:dyDescent="0.25">
      <c r="I8992" s="3"/>
      <c r="J8992" s="3"/>
      <c r="K8992" s="3"/>
      <c r="L8992" s="3"/>
    </row>
    <row r="8993" spans="9:12" x14ac:dyDescent="0.25">
      <c r="I8993" s="3"/>
      <c r="J8993" s="3"/>
      <c r="K8993" s="3"/>
      <c r="L8993" s="3"/>
    </row>
    <row r="8994" spans="9:12" x14ac:dyDescent="0.25">
      <c r="I8994" s="3"/>
      <c r="J8994" s="3"/>
      <c r="K8994" s="3"/>
      <c r="L8994" s="3"/>
    </row>
    <row r="8995" spans="9:12" x14ac:dyDescent="0.25">
      <c r="I8995" s="3"/>
      <c r="J8995" s="3"/>
      <c r="K8995" s="3"/>
      <c r="L8995" s="3"/>
    </row>
    <row r="8996" spans="9:12" x14ac:dyDescent="0.25">
      <c r="I8996" s="3"/>
      <c r="J8996" s="3"/>
      <c r="K8996" s="3"/>
      <c r="L8996" s="3"/>
    </row>
    <row r="8997" spans="9:12" x14ac:dyDescent="0.25">
      <c r="I8997" s="3"/>
      <c r="J8997" s="3"/>
      <c r="K8997" s="3"/>
      <c r="L8997" s="3"/>
    </row>
    <row r="8998" spans="9:12" x14ac:dyDescent="0.25">
      <c r="I8998" s="3"/>
      <c r="J8998" s="3"/>
      <c r="K8998" s="3"/>
      <c r="L8998" s="3"/>
    </row>
    <row r="8999" spans="9:12" x14ac:dyDescent="0.25">
      <c r="I8999" s="3"/>
      <c r="J8999" s="3"/>
      <c r="K8999" s="3"/>
      <c r="L8999" s="3"/>
    </row>
    <row r="9000" spans="9:12" x14ac:dyDescent="0.25">
      <c r="I9000" s="3"/>
      <c r="J9000" s="3"/>
      <c r="K9000" s="3"/>
      <c r="L9000" s="3"/>
    </row>
    <row r="9001" spans="9:12" x14ac:dyDescent="0.25">
      <c r="I9001" s="3"/>
      <c r="J9001" s="3"/>
      <c r="K9001" s="3"/>
      <c r="L9001" s="3"/>
    </row>
    <row r="9002" spans="9:12" x14ac:dyDescent="0.25">
      <c r="I9002" s="3"/>
      <c r="J9002" s="3"/>
      <c r="K9002" s="3"/>
      <c r="L9002" s="3"/>
    </row>
    <row r="9003" spans="9:12" x14ac:dyDescent="0.25">
      <c r="I9003" s="3"/>
      <c r="J9003" s="3"/>
      <c r="K9003" s="3"/>
      <c r="L9003" s="3"/>
    </row>
    <row r="9004" spans="9:12" x14ac:dyDescent="0.25">
      <c r="I9004" s="3"/>
      <c r="J9004" s="3"/>
      <c r="K9004" s="3"/>
      <c r="L9004" s="3"/>
    </row>
    <row r="9005" spans="9:12" x14ac:dyDescent="0.25">
      <c r="I9005" s="3"/>
      <c r="J9005" s="3"/>
      <c r="K9005" s="3"/>
      <c r="L9005" s="3"/>
    </row>
    <row r="9006" spans="9:12" x14ac:dyDescent="0.25">
      <c r="I9006" s="3"/>
      <c r="J9006" s="3"/>
      <c r="K9006" s="3"/>
      <c r="L9006" s="3"/>
    </row>
    <row r="9007" spans="9:12" x14ac:dyDescent="0.25">
      <c r="I9007" s="3"/>
      <c r="J9007" s="3"/>
      <c r="K9007" s="3"/>
      <c r="L9007" s="3"/>
    </row>
    <row r="9008" spans="9:12" x14ac:dyDescent="0.25">
      <c r="I9008" s="4"/>
      <c r="J9008" s="4"/>
      <c r="K9008" s="4"/>
      <c r="L9008" s="4"/>
    </row>
    <row r="9009" spans="9:12" x14ac:dyDescent="0.25">
      <c r="I9009" s="4"/>
      <c r="J9009" s="4"/>
      <c r="K9009" s="4"/>
      <c r="L9009" s="4"/>
    </row>
    <row r="9010" spans="9:12" x14ac:dyDescent="0.25">
      <c r="I9010" s="4"/>
      <c r="J9010" s="4"/>
      <c r="K9010" s="4"/>
      <c r="L9010" s="4"/>
    </row>
    <row r="9011" spans="9:12" x14ac:dyDescent="0.25">
      <c r="I9011" s="4"/>
      <c r="J9011" s="4"/>
      <c r="K9011" s="4"/>
      <c r="L9011" s="4"/>
    </row>
    <row r="9012" spans="9:12" x14ac:dyDescent="0.25">
      <c r="I9012" s="4"/>
      <c r="J9012" s="4"/>
      <c r="K9012" s="4"/>
      <c r="L9012" s="4"/>
    </row>
    <row r="9013" spans="9:12" x14ac:dyDescent="0.25">
      <c r="I9013" s="4"/>
      <c r="J9013" s="4"/>
      <c r="K9013" s="4"/>
      <c r="L9013" s="4"/>
    </row>
    <row r="9014" spans="9:12" x14ac:dyDescent="0.25">
      <c r="I9014" s="3"/>
      <c r="J9014" s="3"/>
      <c r="K9014" s="3"/>
      <c r="L9014" s="3"/>
    </row>
    <row r="9015" spans="9:12" x14ac:dyDescent="0.25">
      <c r="I9015" s="3"/>
      <c r="J9015" s="3"/>
      <c r="K9015" s="3"/>
      <c r="L9015" s="3"/>
    </row>
    <row r="9016" spans="9:12" x14ac:dyDescent="0.25">
      <c r="I9016" s="3"/>
      <c r="J9016" s="3"/>
      <c r="K9016" s="3"/>
      <c r="L9016" s="3"/>
    </row>
    <row r="9017" spans="9:12" x14ac:dyDescent="0.25">
      <c r="I9017" s="3"/>
      <c r="J9017" s="3"/>
      <c r="K9017" s="3"/>
      <c r="L9017" s="3"/>
    </row>
    <row r="9018" spans="9:12" x14ac:dyDescent="0.25">
      <c r="I9018" s="3"/>
      <c r="J9018" s="3"/>
      <c r="K9018" s="3"/>
      <c r="L9018" s="3"/>
    </row>
    <row r="9019" spans="9:12" x14ac:dyDescent="0.25">
      <c r="I9019" s="3"/>
      <c r="J9019" s="3"/>
      <c r="K9019" s="3"/>
      <c r="L9019" s="3"/>
    </row>
    <row r="9020" spans="9:12" x14ac:dyDescent="0.25">
      <c r="I9020" s="3"/>
      <c r="J9020" s="3"/>
      <c r="K9020" s="3"/>
      <c r="L9020" s="3"/>
    </row>
    <row r="9021" spans="9:12" x14ac:dyDescent="0.25">
      <c r="I9021" s="3"/>
      <c r="J9021" s="3"/>
      <c r="K9021" s="3"/>
      <c r="L9021" s="3"/>
    </row>
    <row r="9022" spans="9:12" x14ac:dyDescent="0.25">
      <c r="I9022" s="3"/>
      <c r="J9022" s="3"/>
      <c r="K9022" s="3"/>
      <c r="L9022" s="3"/>
    </row>
    <row r="9023" spans="9:12" x14ac:dyDescent="0.25">
      <c r="I9023" s="3"/>
      <c r="J9023" s="3"/>
      <c r="K9023" s="3"/>
      <c r="L9023" s="3"/>
    </row>
    <row r="9024" spans="9:12" x14ac:dyDescent="0.25">
      <c r="I9024" s="3"/>
      <c r="J9024" s="3"/>
      <c r="K9024" s="3"/>
      <c r="L9024" s="3"/>
    </row>
    <row r="9025" spans="9:12" x14ac:dyDescent="0.25">
      <c r="I9025" s="3"/>
      <c r="J9025" s="3"/>
      <c r="K9025" s="3"/>
      <c r="L9025" s="3"/>
    </row>
    <row r="9026" spans="9:12" x14ac:dyDescent="0.25">
      <c r="I9026" s="3"/>
      <c r="J9026" s="3"/>
      <c r="K9026" s="3"/>
      <c r="L9026" s="3"/>
    </row>
    <row r="9027" spans="9:12" x14ac:dyDescent="0.25">
      <c r="I9027" s="3"/>
      <c r="J9027" s="3"/>
      <c r="K9027" s="3"/>
      <c r="L9027" s="3"/>
    </row>
    <row r="9028" spans="9:12" x14ac:dyDescent="0.25">
      <c r="I9028" s="3"/>
      <c r="J9028" s="3"/>
      <c r="K9028" s="3"/>
      <c r="L9028" s="3"/>
    </row>
    <row r="9029" spans="9:12" x14ac:dyDescent="0.25">
      <c r="I9029" s="3"/>
      <c r="J9029" s="3"/>
      <c r="K9029" s="3"/>
      <c r="L9029" s="3"/>
    </row>
    <row r="9030" spans="9:12" x14ac:dyDescent="0.25">
      <c r="I9030" s="3"/>
      <c r="J9030" s="3"/>
      <c r="K9030" s="3"/>
      <c r="L9030" s="3"/>
    </row>
    <row r="9031" spans="9:12" x14ac:dyDescent="0.25">
      <c r="I9031" s="3"/>
      <c r="J9031" s="3"/>
      <c r="K9031" s="3"/>
      <c r="L9031" s="3"/>
    </row>
    <row r="9032" spans="9:12" x14ac:dyDescent="0.25">
      <c r="I9032" s="3"/>
      <c r="J9032" s="3"/>
      <c r="K9032" s="3"/>
      <c r="L9032" s="3"/>
    </row>
    <row r="9033" spans="9:12" x14ac:dyDescent="0.25">
      <c r="I9033" s="3"/>
      <c r="J9033" s="3"/>
      <c r="K9033" s="3"/>
      <c r="L9033" s="3"/>
    </row>
    <row r="9034" spans="9:12" x14ac:dyDescent="0.25">
      <c r="I9034" s="3"/>
      <c r="J9034" s="3"/>
      <c r="K9034" s="3"/>
      <c r="L9034" s="3"/>
    </row>
    <row r="9035" spans="9:12" x14ac:dyDescent="0.25">
      <c r="I9035" s="3"/>
      <c r="J9035" s="3"/>
      <c r="K9035" s="3"/>
      <c r="L9035" s="3"/>
    </row>
    <row r="9036" spans="9:12" x14ac:dyDescent="0.25">
      <c r="I9036" s="3"/>
      <c r="J9036" s="3"/>
      <c r="K9036" s="3"/>
      <c r="L9036" s="3"/>
    </row>
    <row r="9037" spans="9:12" x14ac:dyDescent="0.25">
      <c r="I9037" s="3"/>
      <c r="J9037" s="3"/>
      <c r="K9037" s="3"/>
      <c r="L9037" s="3"/>
    </row>
    <row r="9038" spans="9:12" x14ac:dyDescent="0.25">
      <c r="I9038" s="3"/>
      <c r="J9038" s="3"/>
      <c r="K9038" s="3"/>
      <c r="L9038" s="3"/>
    </row>
    <row r="9039" spans="9:12" x14ac:dyDescent="0.25">
      <c r="I9039" s="3"/>
      <c r="J9039" s="3"/>
      <c r="K9039" s="3"/>
      <c r="L9039" s="3"/>
    </row>
    <row r="9040" spans="9:12" x14ac:dyDescent="0.25">
      <c r="I9040" s="3"/>
      <c r="J9040" s="3"/>
      <c r="K9040" s="3"/>
      <c r="L9040" s="3"/>
    </row>
    <row r="9041" spans="9:12" x14ac:dyDescent="0.25">
      <c r="I9041" s="3"/>
      <c r="J9041" s="3"/>
      <c r="K9041" s="3"/>
      <c r="L9041" s="3"/>
    </row>
    <row r="9042" spans="9:12" x14ac:dyDescent="0.25">
      <c r="I9042" s="3"/>
      <c r="J9042" s="3"/>
      <c r="K9042" s="3"/>
      <c r="L9042" s="3"/>
    </row>
    <row r="9043" spans="9:12" x14ac:dyDescent="0.25">
      <c r="I9043" s="3"/>
      <c r="J9043" s="3"/>
      <c r="K9043" s="3"/>
      <c r="L9043" s="3"/>
    </row>
    <row r="9044" spans="9:12" x14ac:dyDescent="0.25">
      <c r="I9044" s="3"/>
      <c r="J9044" s="3"/>
      <c r="K9044" s="3"/>
      <c r="L9044" s="3"/>
    </row>
    <row r="9045" spans="9:12" x14ac:dyDescent="0.25">
      <c r="I9045" s="3"/>
      <c r="J9045" s="3"/>
      <c r="K9045" s="3"/>
      <c r="L9045" s="3"/>
    </row>
    <row r="9046" spans="9:12" x14ac:dyDescent="0.25">
      <c r="I9046" s="3"/>
      <c r="J9046" s="3"/>
      <c r="K9046" s="3"/>
      <c r="L9046" s="3"/>
    </row>
    <row r="9047" spans="9:12" x14ac:dyDescent="0.25">
      <c r="I9047" s="3"/>
      <c r="J9047" s="3"/>
      <c r="K9047" s="3"/>
      <c r="L9047" s="3"/>
    </row>
    <row r="9048" spans="9:12" x14ac:dyDescent="0.25">
      <c r="I9048" s="3"/>
      <c r="J9048" s="3"/>
      <c r="K9048" s="3"/>
      <c r="L9048" s="3"/>
    </row>
    <row r="9049" spans="9:12" x14ac:dyDescent="0.25">
      <c r="I9049" s="3"/>
      <c r="J9049" s="3"/>
      <c r="K9049" s="3"/>
      <c r="L9049" s="3"/>
    </row>
    <row r="9050" spans="9:12" x14ac:dyDescent="0.25">
      <c r="I9050" s="3"/>
      <c r="J9050" s="3"/>
      <c r="K9050" s="3"/>
      <c r="L9050" s="3"/>
    </row>
    <row r="9051" spans="9:12" x14ac:dyDescent="0.25">
      <c r="I9051" s="3"/>
      <c r="J9051" s="3"/>
      <c r="K9051" s="3"/>
      <c r="L9051" s="3"/>
    </row>
    <row r="9052" spans="9:12" x14ac:dyDescent="0.25">
      <c r="I9052" s="3"/>
      <c r="J9052" s="3"/>
      <c r="K9052" s="3"/>
      <c r="L9052" s="3"/>
    </row>
    <row r="9053" spans="9:12" x14ac:dyDescent="0.25">
      <c r="I9053" s="3"/>
      <c r="J9053" s="3"/>
      <c r="K9053" s="3"/>
      <c r="L9053" s="3"/>
    </row>
    <row r="9054" spans="9:12" x14ac:dyDescent="0.25">
      <c r="I9054" s="3"/>
      <c r="J9054" s="3"/>
      <c r="K9054" s="3"/>
      <c r="L9054" s="3"/>
    </row>
    <row r="9055" spans="9:12" x14ac:dyDescent="0.25">
      <c r="I9055" s="4"/>
      <c r="J9055" s="4"/>
      <c r="K9055" s="4"/>
      <c r="L9055" s="4"/>
    </row>
    <row r="9056" spans="9:12" x14ac:dyDescent="0.25">
      <c r="I9056" s="4"/>
      <c r="J9056" s="4"/>
      <c r="K9056" s="4"/>
      <c r="L9056" s="4"/>
    </row>
    <row r="9057" spans="9:12" x14ac:dyDescent="0.25">
      <c r="I9057" s="3"/>
      <c r="J9057" s="3"/>
      <c r="K9057" s="3"/>
      <c r="L9057" s="3"/>
    </row>
    <row r="9058" spans="9:12" x14ac:dyDescent="0.25">
      <c r="I9058" s="3"/>
      <c r="J9058" s="3"/>
      <c r="K9058" s="3"/>
      <c r="L9058" s="3"/>
    </row>
    <row r="9059" spans="9:12" x14ac:dyDescent="0.25">
      <c r="I9059" s="3"/>
      <c r="J9059" s="3"/>
      <c r="K9059" s="3"/>
      <c r="L9059" s="3"/>
    </row>
    <row r="9060" spans="9:12" x14ac:dyDescent="0.25">
      <c r="I9060" s="3"/>
      <c r="J9060" s="3"/>
      <c r="K9060" s="3"/>
      <c r="L9060" s="3"/>
    </row>
    <row r="9061" spans="9:12" x14ac:dyDescent="0.25">
      <c r="I9061" s="3"/>
      <c r="J9061" s="3"/>
      <c r="K9061" s="3"/>
      <c r="L9061" s="3"/>
    </row>
    <row r="9062" spans="9:12" x14ac:dyDescent="0.25">
      <c r="I9062" s="3"/>
      <c r="J9062" s="3"/>
      <c r="K9062" s="3"/>
      <c r="L9062" s="3"/>
    </row>
    <row r="9063" spans="9:12" x14ac:dyDescent="0.25">
      <c r="I9063" s="3"/>
      <c r="J9063" s="3"/>
      <c r="K9063" s="3"/>
      <c r="L9063" s="3"/>
    </row>
    <row r="9064" spans="9:12" x14ac:dyDescent="0.25">
      <c r="I9064" s="3"/>
      <c r="J9064" s="3"/>
      <c r="K9064" s="3"/>
      <c r="L9064" s="3"/>
    </row>
    <row r="9065" spans="9:12" x14ac:dyDescent="0.25">
      <c r="I9065" s="3"/>
      <c r="J9065" s="3"/>
      <c r="K9065" s="3"/>
      <c r="L9065" s="3"/>
    </row>
    <row r="9066" spans="9:12" x14ac:dyDescent="0.25">
      <c r="I9066" s="3"/>
      <c r="J9066" s="3"/>
      <c r="K9066" s="3"/>
      <c r="L9066" s="3"/>
    </row>
    <row r="9067" spans="9:12" x14ac:dyDescent="0.25">
      <c r="I9067" s="3"/>
      <c r="J9067" s="3"/>
      <c r="K9067" s="3"/>
      <c r="L9067" s="3"/>
    </row>
    <row r="9068" spans="9:12" x14ac:dyDescent="0.25">
      <c r="I9068" s="3"/>
      <c r="J9068" s="3"/>
      <c r="K9068" s="3"/>
      <c r="L9068" s="3"/>
    </row>
    <row r="9069" spans="9:12" x14ac:dyDescent="0.25">
      <c r="I9069" s="3"/>
      <c r="J9069" s="3"/>
      <c r="K9069" s="3"/>
      <c r="L9069" s="3"/>
    </row>
    <row r="9070" spans="9:12" x14ac:dyDescent="0.25">
      <c r="I9070" s="3"/>
      <c r="J9070" s="3"/>
      <c r="K9070" s="3"/>
      <c r="L9070" s="3"/>
    </row>
    <row r="9071" spans="9:12" x14ac:dyDescent="0.25">
      <c r="I9071" s="3"/>
      <c r="J9071" s="3"/>
      <c r="K9071" s="3"/>
      <c r="L9071" s="3"/>
    </row>
    <row r="9072" spans="9:12" x14ac:dyDescent="0.25">
      <c r="I9072" s="3"/>
      <c r="J9072" s="3"/>
      <c r="K9072" s="3"/>
      <c r="L9072" s="3"/>
    </row>
    <row r="9073" spans="9:12" x14ac:dyDescent="0.25">
      <c r="I9073" s="3"/>
      <c r="J9073" s="3"/>
      <c r="K9073" s="3"/>
      <c r="L9073" s="3"/>
    </row>
    <row r="9074" spans="9:12" x14ac:dyDescent="0.25">
      <c r="I9074" s="3"/>
      <c r="J9074" s="3"/>
      <c r="K9074" s="3"/>
      <c r="L9074" s="3"/>
    </row>
    <row r="9075" spans="9:12" x14ac:dyDescent="0.25">
      <c r="I9075" s="3"/>
      <c r="J9075" s="3"/>
      <c r="K9075" s="3"/>
      <c r="L9075" s="3"/>
    </row>
    <row r="9076" spans="9:12" x14ac:dyDescent="0.25">
      <c r="I9076" s="3"/>
      <c r="J9076" s="3"/>
      <c r="K9076" s="3"/>
      <c r="L9076" s="3"/>
    </row>
    <row r="9077" spans="9:12" x14ac:dyDescent="0.25">
      <c r="I9077" s="3"/>
      <c r="J9077" s="3"/>
      <c r="K9077" s="3"/>
      <c r="L9077" s="3"/>
    </row>
    <row r="9078" spans="9:12" x14ac:dyDescent="0.25">
      <c r="I9078" s="3"/>
      <c r="J9078" s="3"/>
      <c r="K9078" s="3"/>
      <c r="L9078" s="3"/>
    </row>
    <row r="9079" spans="9:12" x14ac:dyDescent="0.25">
      <c r="I9079" s="3"/>
      <c r="J9079" s="3"/>
      <c r="K9079" s="3"/>
      <c r="L9079" s="3"/>
    </row>
    <row r="9080" spans="9:12" x14ac:dyDescent="0.25">
      <c r="I9080" s="3"/>
      <c r="J9080" s="3"/>
      <c r="K9080" s="3"/>
      <c r="L9080" s="3"/>
    </row>
    <row r="9081" spans="9:12" x14ac:dyDescent="0.25">
      <c r="I9081" s="3"/>
      <c r="J9081" s="3"/>
      <c r="K9081" s="3"/>
      <c r="L9081" s="3"/>
    </row>
    <row r="9082" spans="9:12" x14ac:dyDescent="0.25">
      <c r="I9082" s="3"/>
      <c r="J9082" s="3"/>
      <c r="K9082" s="3"/>
      <c r="L9082" s="3"/>
    </row>
    <row r="9083" spans="9:12" x14ac:dyDescent="0.25">
      <c r="I9083" s="3"/>
      <c r="J9083" s="3"/>
      <c r="K9083" s="3"/>
      <c r="L9083" s="3"/>
    </row>
    <row r="9084" spans="9:12" x14ac:dyDescent="0.25">
      <c r="I9084" s="3"/>
      <c r="J9084" s="3"/>
      <c r="K9084" s="3"/>
      <c r="L9084" s="3"/>
    </row>
    <row r="9085" spans="9:12" x14ac:dyDescent="0.25">
      <c r="I9085" s="3"/>
      <c r="J9085" s="3"/>
      <c r="K9085" s="3"/>
      <c r="L9085" s="3"/>
    </row>
    <row r="9086" spans="9:12" x14ac:dyDescent="0.25">
      <c r="I9086" s="3"/>
      <c r="J9086" s="3"/>
      <c r="K9086" s="3"/>
      <c r="L9086" s="3"/>
    </row>
    <row r="9087" spans="9:12" x14ac:dyDescent="0.25">
      <c r="I9087" s="3"/>
      <c r="J9087" s="3"/>
      <c r="K9087" s="3"/>
      <c r="L9087" s="3"/>
    </row>
    <row r="9088" spans="9:12" x14ac:dyDescent="0.25">
      <c r="I9088" s="3"/>
      <c r="J9088" s="3"/>
      <c r="K9088" s="3"/>
      <c r="L9088" s="3"/>
    </row>
    <row r="9089" spans="9:12" x14ac:dyDescent="0.25">
      <c r="I9089" s="3"/>
      <c r="J9089" s="3"/>
      <c r="K9089" s="3"/>
      <c r="L9089" s="3"/>
    </row>
    <row r="9090" spans="9:12" x14ac:dyDescent="0.25">
      <c r="I9090" s="3"/>
      <c r="J9090" s="3"/>
      <c r="K9090" s="3"/>
      <c r="L9090" s="3"/>
    </row>
    <row r="9091" spans="9:12" x14ac:dyDescent="0.25">
      <c r="I9091" s="3"/>
      <c r="J9091" s="3"/>
      <c r="K9091" s="3"/>
      <c r="L9091" s="3"/>
    </row>
    <row r="9092" spans="9:12" x14ac:dyDescent="0.25">
      <c r="I9092" s="3"/>
      <c r="J9092" s="3"/>
      <c r="K9092" s="3"/>
      <c r="L9092" s="3"/>
    </row>
    <row r="9093" spans="9:12" x14ac:dyDescent="0.25">
      <c r="I9093" s="3"/>
      <c r="J9093" s="3"/>
      <c r="K9093" s="3"/>
      <c r="L9093" s="3"/>
    </row>
    <row r="9094" spans="9:12" x14ac:dyDescent="0.25">
      <c r="I9094" s="3"/>
      <c r="J9094" s="3"/>
      <c r="K9094" s="3"/>
      <c r="L9094" s="3"/>
    </row>
    <row r="9095" spans="9:12" x14ac:dyDescent="0.25">
      <c r="I9095" s="3"/>
      <c r="J9095" s="3"/>
      <c r="K9095" s="3"/>
      <c r="L9095" s="3"/>
    </row>
    <row r="9096" spans="9:12" x14ac:dyDescent="0.25">
      <c r="I9096" s="3"/>
      <c r="J9096" s="3"/>
      <c r="K9096" s="3"/>
      <c r="L9096" s="3"/>
    </row>
    <row r="9097" spans="9:12" x14ac:dyDescent="0.25">
      <c r="I9097" s="3"/>
      <c r="J9097" s="3"/>
      <c r="K9097" s="3"/>
      <c r="L9097" s="3"/>
    </row>
    <row r="9098" spans="9:12" x14ac:dyDescent="0.25">
      <c r="I9098" s="3"/>
      <c r="J9098" s="3"/>
      <c r="K9098" s="3"/>
      <c r="L9098" s="3"/>
    </row>
    <row r="9099" spans="9:12" x14ac:dyDescent="0.25">
      <c r="I9099" s="3"/>
      <c r="J9099" s="3"/>
      <c r="K9099" s="3"/>
      <c r="L9099" s="3"/>
    </row>
    <row r="9100" spans="9:12" x14ac:dyDescent="0.25">
      <c r="I9100" s="3"/>
      <c r="J9100" s="3"/>
      <c r="K9100" s="3"/>
      <c r="L9100" s="3"/>
    </row>
    <row r="9101" spans="9:12" x14ac:dyDescent="0.25">
      <c r="I9101" s="3"/>
      <c r="J9101" s="3"/>
      <c r="K9101" s="3"/>
      <c r="L9101" s="3"/>
    </row>
    <row r="9102" spans="9:12" x14ac:dyDescent="0.25">
      <c r="I9102" s="3"/>
      <c r="J9102" s="3"/>
      <c r="K9102" s="3"/>
      <c r="L9102" s="3"/>
    </row>
    <row r="9103" spans="9:12" x14ac:dyDescent="0.25">
      <c r="I9103" s="3"/>
      <c r="J9103" s="3"/>
      <c r="K9103" s="3"/>
      <c r="L9103" s="3"/>
    </row>
    <row r="9104" spans="9:12" x14ac:dyDescent="0.25">
      <c r="I9104" s="3"/>
      <c r="J9104" s="3"/>
      <c r="K9104" s="3"/>
      <c r="L9104" s="3"/>
    </row>
    <row r="9105" spans="9:12" x14ac:dyDescent="0.25">
      <c r="I9105" s="3"/>
      <c r="J9105" s="3"/>
      <c r="K9105" s="3"/>
      <c r="L9105" s="3"/>
    </row>
    <row r="9106" spans="9:12" x14ac:dyDescent="0.25">
      <c r="I9106" s="3"/>
      <c r="J9106" s="3"/>
      <c r="K9106" s="3"/>
      <c r="L9106" s="3"/>
    </row>
    <row r="9107" spans="9:12" x14ac:dyDescent="0.25">
      <c r="I9107" s="3"/>
      <c r="J9107" s="3"/>
      <c r="K9107" s="3"/>
      <c r="L9107" s="3"/>
    </row>
    <row r="9108" spans="9:12" x14ac:dyDescent="0.25">
      <c r="I9108" s="3"/>
      <c r="J9108" s="3"/>
      <c r="K9108" s="3"/>
      <c r="L9108" s="3"/>
    </row>
    <row r="9109" spans="9:12" x14ac:dyDescent="0.25">
      <c r="I9109" s="3"/>
      <c r="J9109" s="3"/>
      <c r="K9109" s="3"/>
      <c r="L9109" s="3"/>
    </row>
    <row r="9110" spans="9:12" x14ac:dyDescent="0.25">
      <c r="I9110" s="3"/>
      <c r="J9110" s="3"/>
      <c r="K9110" s="3"/>
      <c r="L9110" s="3"/>
    </row>
    <row r="9111" spans="9:12" x14ac:dyDescent="0.25">
      <c r="I9111" s="3"/>
      <c r="J9111" s="3"/>
      <c r="K9111" s="3"/>
      <c r="L9111" s="3"/>
    </row>
    <row r="9112" spans="9:12" x14ac:dyDescent="0.25">
      <c r="I9112" s="3"/>
      <c r="J9112" s="3"/>
      <c r="K9112" s="3"/>
      <c r="L9112" s="3"/>
    </row>
    <row r="9113" spans="9:12" x14ac:dyDescent="0.25">
      <c r="I9113" s="3"/>
      <c r="J9113" s="3"/>
      <c r="K9113" s="3"/>
      <c r="L9113" s="3"/>
    </row>
    <row r="9114" spans="9:12" x14ac:dyDescent="0.25">
      <c r="I9114" s="3"/>
      <c r="J9114" s="3"/>
      <c r="K9114" s="3"/>
      <c r="L9114" s="3"/>
    </row>
    <row r="9115" spans="9:12" x14ac:dyDescent="0.25">
      <c r="I9115" s="3"/>
      <c r="J9115" s="3"/>
      <c r="K9115" s="3"/>
      <c r="L9115" s="3"/>
    </row>
    <row r="9116" spans="9:12" x14ac:dyDescent="0.25">
      <c r="I9116" s="3"/>
      <c r="J9116" s="3"/>
      <c r="K9116" s="3"/>
      <c r="L9116" s="3"/>
    </row>
    <row r="9117" spans="9:12" x14ac:dyDescent="0.25">
      <c r="I9117" s="3"/>
      <c r="J9117" s="3"/>
      <c r="K9117" s="3"/>
      <c r="L9117" s="3"/>
    </row>
    <row r="9118" spans="9:12" x14ac:dyDescent="0.25">
      <c r="I9118" s="3"/>
      <c r="J9118" s="3"/>
      <c r="K9118" s="3"/>
      <c r="L9118" s="3"/>
    </row>
    <row r="9119" spans="9:12" x14ac:dyDescent="0.25">
      <c r="I9119" s="3"/>
      <c r="J9119" s="3"/>
      <c r="K9119" s="3"/>
      <c r="L9119" s="3"/>
    </row>
    <row r="9120" spans="9:12" x14ac:dyDescent="0.25">
      <c r="I9120" s="3"/>
      <c r="J9120" s="3"/>
      <c r="K9120" s="3"/>
      <c r="L9120" s="3"/>
    </row>
    <row r="9121" spans="9:12" x14ac:dyDescent="0.25">
      <c r="I9121" s="3"/>
      <c r="J9121" s="3"/>
      <c r="K9121" s="3"/>
      <c r="L9121" s="3"/>
    </row>
    <row r="9122" spans="9:12" x14ac:dyDescent="0.25">
      <c r="I9122" s="3"/>
      <c r="J9122" s="3"/>
      <c r="K9122" s="3"/>
      <c r="L9122" s="3"/>
    </row>
    <row r="9123" spans="9:12" x14ac:dyDescent="0.25">
      <c r="I9123" s="3"/>
      <c r="J9123" s="3"/>
      <c r="K9123" s="3"/>
      <c r="L9123" s="3"/>
    </row>
    <row r="9124" spans="9:12" x14ac:dyDescent="0.25">
      <c r="I9124" s="3"/>
      <c r="J9124" s="3"/>
      <c r="K9124" s="3"/>
      <c r="L9124" s="3"/>
    </row>
    <row r="9125" spans="9:12" x14ac:dyDescent="0.25">
      <c r="I9125" s="3"/>
      <c r="J9125" s="3"/>
      <c r="K9125" s="3"/>
      <c r="L9125" s="3"/>
    </row>
    <row r="9126" spans="9:12" x14ac:dyDescent="0.25">
      <c r="I9126" s="3"/>
      <c r="J9126" s="3"/>
      <c r="K9126" s="3"/>
      <c r="L9126" s="3"/>
    </row>
    <row r="9127" spans="9:12" x14ac:dyDescent="0.25">
      <c r="I9127" s="3"/>
      <c r="J9127" s="3"/>
      <c r="K9127" s="3"/>
      <c r="L9127" s="3"/>
    </row>
    <row r="9128" spans="9:12" x14ac:dyDescent="0.25">
      <c r="I9128" s="3"/>
      <c r="J9128" s="3"/>
      <c r="K9128" s="3"/>
      <c r="L9128" s="3"/>
    </row>
    <row r="9129" spans="9:12" x14ac:dyDescent="0.25">
      <c r="I9129" s="4"/>
      <c r="J9129" s="4"/>
      <c r="K9129" s="4"/>
      <c r="L9129" s="4"/>
    </row>
    <row r="9130" spans="9:12" x14ac:dyDescent="0.25">
      <c r="I9130" s="4"/>
      <c r="J9130" s="4"/>
      <c r="K9130" s="4"/>
      <c r="L9130" s="4"/>
    </row>
    <row r="9131" spans="9:12" x14ac:dyDescent="0.25">
      <c r="I9131" s="4"/>
      <c r="J9131" s="4"/>
      <c r="K9131" s="4"/>
      <c r="L9131" s="4"/>
    </row>
    <row r="9132" spans="9:12" x14ac:dyDescent="0.25">
      <c r="I9132" s="3"/>
      <c r="J9132" s="3"/>
      <c r="K9132" s="3"/>
      <c r="L9132" s="3"/>
    </row>
    <row r="9133" spans="9:12" x14ac:dyDescent="0.25">
      <c r="I9133" s="3"/>
      <c r="J9133" s="3"/>
      <c r="K9133" s="3"/>
      <c r="L9133" s="3"/>
    </row>
    <row r="9134" spans="9:12" x14ac:dyDescent="0.25">
      <c r="I9134" s="3"/>
      <c r="J9134" s="3"/>
      <c r="K9134" s="3"/>
      <c r="L9134" s="3"/>
    </row>
    <row r="9135" spans="9:12" x14ac:dyDescent="0.25">
      <c r="I9135" s="3"/>
      <c r="J9135" s="3"/>
      <c r="K9135" s="3"/>
      <c r="L9135" s="3"/>
    </row>
    <row r="9136" spans="9:12" x14ac:dyDescent="0.25">
      <c r="I9136" s="3"/>
      <c r="J9136" s="3"/>
      <c r="K9136" s="3"/>
      <c r="L9136" s="3"/>
    </row>
    <row r="9137" spans="9:12" x14ac:dyDescent="0.25">
      <c r="I9137" s="3"/>
      <c r="J9137" s="3"/>
      <c r="K9137" s="3"/>
      <c r="L9137" s="3"/>
    </row>
    <row r="9138" spans="9:12" x14ac:dyDescent="0.25">
      <c r="I9138" s="3"/>
      <c r="J9138" s="3"/>
      <c r="K9138" s="3"/>
      <c r="L9138" s="3"/>
    </row>
    <row r="9139" spans="9:12" x14ac:dyDescent="0.25">
      <c r="I9139" s="3"/>
      <c r="J9139" s="3"/>
      <c r="K9139" s="3"/>
      <c r="L9139" s="3"/>
    </row>
    <row r="9140" spans="9:12" x14ac:dyDescent="0.25">
      <c r="I9140" s="3"/>
      <c r="J9140" s="3"/>
      <c r="K9140" s="3"/>
      <c r="L9140" s="3"/>
    </row>
    <row r="9141" spans="9:12" x14ac:dyDescent="0.25">
      <c r="I9141" s="3"/>
      <c r="J9141" s="3"/>
      <c r="K9141" s="3"/>
      <c r="L9141" s="3"/>
    </row>
    <row r="9142" spans="9:12" x14ac:dyDescent="0.25">
      <c r="I9142" s="3"/>
      <c r="J9142" s="3"/>
      <c r="K9142" s="3"/>
      <c r="L9142" s="3"/>
    </row>
    <row r="9143" spans="9:12" x14ac:dyDescent="0.25">
      <c r="I9143" s="3"/>
      <c r="J9143" s="3"/>
      <c r="K9143" s="3"/>
      <c r="L9143" s="3"/>
    </row>
    <row r="9144" spans="9:12" x14ac:dyDescent="0.25">
      <c r="I9144" s="3"/>
      <c r="J9144" s="3"/>
      <c r="K9144" s="3"/>
      <c r="L9144" s="3"/>
    </row>
    <row r="9145" spans="9:12" x14ac:dyDescent="0.25">
      <c r="I9145" s="3"/>
      <c r="J9145" s="3"/>
      <c r="K9145" s="3"/>
      <c r="L9145" s="3"/>
    </row>
    <row r="9146" spans="9:12" x14ac:dyDescent="0.25">
      <c r="I9146" s="3"/>
      <c r="J9146" s="3"/>
      <c r="K9146" s="3"/>
      <c r="L9146" s="3"/>
    </row>
    <row r="9147" spans="9:12" x14ac:dyDescent="0.25">
      <c r="I9147" s="3"/>
      <c r="J9147" s="3"/>
      <c r="K9147" s="3"/>
      <c r="L9147" s="3"/>
    </row>
    <row r="9148" spans="9:12" x14ac:dyDescent="0.25">
      <c r="I9148" s="3"/>
      <c r="J9148" s="3"/>
      <c r="K9148" s="3"/>
      <c r="L9148" s="3"/>
    </row>
    <row r="9149" spans="9:12" x14ac:dyDescent="0.25">
      <c r="I9149" s="3"/>
      <c r="J9149" s="3"/>
      <c r="K9149" s="3"/>
      <c r="L9149" s="3"/>
    </row>
    <row r="9150" spans="9:12" x14ac:dyDescent="0.25">
      <c r="I9150" s="3"/>
      <c r="J9150" s="3"/>
      <c r="K9150" s="3"/>
      <c r="L9150" s="3"/>
    </row>
    <row r="9151" spans="9:12" x14ac:dyDescent="0.25">
      <c r="I9151" s="3"/>
      <c r="J9151" s="3"/>
      <c r="K9151" s="3"/>
      <c r="L9151" s="3"/>
    </row>
    <row r="9152" spans="9:12" x14ac:dyDescent="0.25">
      <c r="I9152" s="3"/>
      <c r="J9152" s="3"/>
      <c r="K9152" s="3"/>
      <c r="L9152" s="3"/>
    </row>
    <row r="9153" spans="9:12" x14ac:dyDescent="0.25">
      <c r="I9153" s="3"/>
      <c r="J9153" s="3"/>
      <c r="K9153" s="3"/>
      <c r="L9153" s="3"/>
    </row>
    <row r="9154" spans="9:12" x14ac:dyDescent="0.25">
      <c r="I9154" s="3"/>
      <c r="J9154" s="3"/>
      <c r="K9154" s="3"/>
      <c r="L9154" s="3"/>
    </row>
    <row r="9155" spans="9:12" x14ac:dyDescent="0.25">
      <c r="I9155" s="3"/>
      <c r="J9155" s="3"/>
      <c r="K9155" s="3"/>
      <c r="L9155" s="3"/>
    </row>
    <row r="9156" spans="9:12" x14ac:dyDescent="0.25">
      <c r="I9156" s="3"/>
      <c r="J9156" s="3"/>
      <c r="K9156" s="3"/>
      <c r="L9156" s="3"/>
    </row>
    <row r="9157" spans="9:12" x14ac:dyDescent="0.25">
      <c r="I9157" s="3"/>
      <c r="J9157" s="3"/>
      <c r="K9157" s="3"/>
      <c r="L9157" s="3"/>
    </row>
    <row r="9158" spans="9:12" x14ac:dyDescent="0.25">
      <c r="I9158" s="3"/>
      <c r="J9158" s="3"/>
      <c r="K9158" s="3"/>
      <c r="L9158" s="3"/>
    </row>
    <row r="9159" spans="9:12" x14ac:dyDescent="0.25">
      <c r="I9159" s="3"/>
      <c r="J9159" s="3"/>
      <c r="K9159" s="3"/>
      <c r="L9159" s="3"/>
    </row>
    <row r="9160" spans="9:12" x14ac:dyDescent="0.25">
      <c r="I9160" s="3"/>
      <c r="J9160" s="3"/>
      <c r="K9160" s="3"/>
      <c r="L9160" s="3"/>
    </row>
    <row r="9161" spans="9:12" x14ac:dyDescent="0.25">
      <c r="I9161" s="3"/>
      <c r="J9161" s="3"/>
      <c r="K9161" s="3"/>
      <c r="L9161" s="3"/>
    </row>
    <row r="9162" spans="9:12" x14ac:dyDescent="0.25">
      <c r="I9162" s="3"/>
      <c r="J9162" s="3"/>
      <c r="K9162" s="3"/>
      <c r="L9162" s="3"/>
    </row>
    <row r="9163" spans="9:12" x14ac:dyDescent="0.25">
      <c r="I9163" s="3"/>
      <c r="J9163" s="3"/>
      <c r="K9163" s="3"/>
      <c r="L9163" s="3"/>
    </row>
    <row r="9164" spans="9:12" x14ac:dyDescent="0.25">
      <c r="I9164" s="3"/>
      <c r="J9164" s="3"/>
      <c r="K9164" s="3"/>
      <c r="L9164" s="3"/>
    </row>
    <row r="9165" spans="9:12" x14ac:dyDescent="0.25">
      <c r="I9165" s="3"/>
      <c r="J9165" s="3"/>
      <c r="K9165" s="3"/>
      <c r="L9165" s="3"/>
    </row>
    <row r="9166" spans="9:12" x14ac:dyDescent="0.25">
      <c r="I9166" s="3"/>
      <c r="J9166" s="3"/>
      <c r="K9166" s="3"/>
      <c r="L9166" s="3"/>
    </row>
    <row r="9167" spans="9:12" x14ac:dyDescent="0.25">
      <c r="I9167" s="3"/>
      <c r="J9167" s="3"/>
      <c r="K9167" s="3"/>
      <c r="L9167" s="3"/>
    </row>
    <row r="9168" spans="9:12" x14ac:dyDescent="0.25">
      <c r="I9168" s="3"/>
      <c r="J9168" s="3"/>
      <c r="K9168" s="3"/>
      <c r="L9168" s="3"/>
    </row>
    <row r="9169" spans="9:12" x14ac:dyDescent="0.25">
      <c r="I9169" s="3"/>
      <c r="J9169" s="3"/>
      <c r="K9169" s="3"/>
      <c r="L9169" s="3"/>
    </row>
    <row r="9170" spans="9:12" x14ac:dyDescent="0.25">
      <c r="I9170" s="3"/>
      <c r="J9170" s="3"/>
      <c r="K9170" s="3"/>
      <c r="L9170" s="3"/>
    </row>
    <row r="9171" spans="9:12" x14ac:dyDescent="0.25">
      <c r="I9171" s="3"/>
      <c r="J9171" s="3"/>
      <c r="K9171" s="3"/>
      <c r="L9171" s="3"/>
    </row>
    <row r="9172" spans="9:12" x14ac:dyDescent="0.25">
      <c r="I9172" s="3"/>
      <c r="J9172" s="3"/>
      <c r="K9172" s="3"/>
      <c r="L9172" s="3"/>
    </row>
    <row r="9173" spans="9:12" x14ac:dyDescent="0.25">
      <c r="I9173" s="3"/>
      <c r="J9173" s="3"/>
      <c r="K9173" s="3"/>
      <c r="L9173" s="3"/>
    </row>
    <row r="9174" spans="9:12" x14ac:dyDescent="0.25">
      <c r="I9174" s="3"/>
      <c r="J9174" s="3"/>
      <c r="K9174" s="3"/>
      <c r="L9174" s="3"/>
    </row>
    <row r="9175" spans="9:12" x14ac:dyDescent="0.25">
      <c r="I9175" s="3"/>
      <c r="J9175" s="3"/>
      <c r="K9175" s="3"/>
      <c r="L9175" s="3"/>
    </row>
    <row r="9176" spans="9:12" x14ac:dyDescent="0.25">
      <c r="I9176" s="3"/>
      <c r="J9176" s="3"/>
      <c r="K9176" s="3"/>
      <c r="L9176" s="3"/>
    </row>
    <row r="9177" spans="9:12" x14ac:dyDescent="0.25">
      <c r="I9177" s="3"/>
      <c r="J9177" s="3"/>
      <c r="K9177" s="3"/>
      <c r="L9177" s="3"/>
    </row>
    <row r="9178" spans="9:12" x14ac:dyDescent="0.25">
      <c r="I9178" s="3"/>
      <c r="J9178" s="3"/>
      <c r="K9178" s="3"/>
      <c r="L9178" s="3"/>
    </row>
    <row r="9179" spans="9:12" x14ac:dyDescent="0.25">
      <c r="I9179" s="3"/>
      <c r="J9179" s="3"/>
      <c r="K9179" s="3"/>
      <c r="L9179" s="3"/>
    </row>
    <row r="9180" spans="9:12" x14ac:dyDescent="0.25">
      <c r="I9180" s="3"/>
      <c r="J9180" s="3"/>
      <c r="K9180" s="3"/>
      <c r="L9180" s="3"/>
    </row>
    <row r="9181" spans="9:12" x14ac:dyDescent="0.25">
      <c r="I9181" s="3"/>
      <c r="J9181" s="3"/>
      <c r="K9181" s="3"/>
      <c r="L9181" s="3"/>
    </row>
    <row r="9182" spans="9:12" x14ac:dyDescent="0.25">
      <c r="I9182" s="3"/>
      <c r="J9182" s="3"/>
      <c r="K9182" s="3"/>
      <c r="L9182" s="3"/>
    </row>
    <row r="9183" spans="9:12" x14ac:dyDescent="0.25">
      <c r="I9183" s="3"/>
      <c r="J9183" s="3"/>
      <c r="K9183" s="3"/>
      <c r="L9183" s="3"/>
    </row>
    <row r="9184" spans="9:12" x14ac:dyDescent="0.25">
      <c r="I9184" s="3"/>
      <c r="J9184" s="3"/>
      <c r="K9184" s="3"/>
      <c r="L9184" s="3"/>
    </row>
    <row r="9185" spans="9:12" x14ac:dyDescent="0.25">
      <c r="I9185" s="3"/>
      <c r="J9185" s="3"/>
      <c r="K9185" s="3"/>
      <c r="L9185" s="3"/>
    </row>
    <row r="9186" spans="9:12" x14ac:dyDescent="0.25">
      <c r="I9186" s="3"/>
      <c r="J9186" s="3"/>
      <c r="K9186" s="3"/>
      <c r="L9186" s="3"/>
    </row>
    <row r="9187" spans="9:12" x14ac:dyDescent="0.25">
      <c r="I9187" s="3"/>
      <c r="J9187" s="3"/>
      <c r="K9187" s="3"/>
      <c r="L9187" s="3"/>
    </row>
    <row r="9188" spans="9:12" x14ac:dyDescent="0.25">
      <c r="I9188" s="3"/>
      <c r="J9188" s="3"/>
      <c r="K9188" s="3"/>
      <c r="L9188" s="3"/>
    </row>
    <row r="9189" spans="9:12" x14ac:dyDescent="0.25">
      <c r="I9189" s="3"/>
      <c r="J9189" s="3"/>
      <c r="K9189" s="3"/>
      <c r="L9189" s="3"/>
    </row>
    <row r="9190" spans="9:12" x14ac:dyDescent="0.25">
      <c r="I9190" s="3"/>
      <c r="J9190" s="3"/>
      <c r="K9190" s="3"/>
      <c r="L9190" s="3"/>
    </row>
    <row r="9191" spans="9:12" x14ac:dyDescent="0.25">
      <c r="I9191" s="3"/>
      <c r="J9191" s="3"/>
      <c r="K9191" s="3"/>
      <c r="L9191" s="3"/>
    </row>
    <row r="9192" spans="9:12" x14ac:dyDescent="0.25">
      <c r="I9192" s="3"/>
      <c r="J9192" s="3"/>
      <c r="K9192" s="3"/>
      <c r="L9192" s="3"/>
    </row>
    <row r="9193" spans="9:12" x14ac:dyDescent="0.25">
      <c r="I9193" s="3"/>
      <c r="J9193" s="3"/>
      <c r="K9193" s="3"/>
      <c r="L9193" s="3"/>
    </row>
    <row r="9194" spans="9:12" x14ac:dyDescent="0.25">
      <c r="I9194" s="3"/>
      <c r="J9194" s="3"/>
      <c r="K9194" s="3"/>
      <c r="L9194" s="3"/>
    </row>
    <row r="9195" spans="9:12" x14ac:dyDescent="0.25">
      <c r="I9195" s="3"/>
      <c r="J9195" s="3"/>
      <c r="K9195" s="3"/>
      <c r="L9195" s="3"/>
    </row>
    <row r="9196" spans="9:12" x14ac:dyDescent="0.25">
      <c r="I9196" s="3"/>
      <c r="J9196" s="3"/>
      <c r="K9196" s="3"/>
      <c r="L9196" s="3"/>
    </row>
    <row r="9197" spans="9:12" x14ac:dyDescent="0.25">
      <c r="I9197" s="3"/>
      <c r="J9197" s="3"/>
      <c r="K9197" s="3"/>
      <c r="L9197" s="3"/>
    </row>
    <row r="9198" spans="9:12" x14ac:dyDescent="0.25">
      <c r="I9198" s="3"/>
      <c r="J9198" s="3"/>
      <c r="K9198" s="3"/>
      <c r="L9198" s="3"/>
    </row>
    <row r="9199" spans="9:12" x14ac:dyDescent="0.25">
      <c r="I9199" s="3"/>
      <c r="J9199" s="3"/>
      <c r="K9199" s="3"/>
      <c r="L9199" s="3"/>
    </row>
    <row r="9200" spans="9:12" x14ac:dyDescent="0.25">
      <c r="I9200" s="3"/>
      <c r="J9200" s="3"/>
      <c r="K9200" s="3"/>
      <c r="L9200" s="3"/>
    </row>
    <row r="9201" spans="9:12" x14ac:dyDescent="0.25">
      <c r="I9201" s="3"/>
      <c r="J9201" s="3"/>
      <c r="K9201" s="3"/>
      <c r="L9201" s="3"/>
    </row>
    <row r="9202" spans="9:12" x14ac:dyDescent="0.25">
      <c r="I9202" s="3"/>
      <c r="J9202" s="3"/>
      <c r="K9202" s="3"/>
      <c r="L9202" s="3"/>
    </row>
    <row r="9203" spans="9:12" x14ac:dyDescent="0.25">
      <c r="I9203" s="3"/>
      <c r="J9203" s="3"/>
      <c r="K9203" s="3"/>
      <c r="L9203" s="3"/>
    </row>
    <row r="9204" spans="9:12" x14ac:dyDescent="0.25">
      <c r="I9204" s="3"/>
      <c r="J9204" s="3"/>
      <c r="K9204" s="3"/>
      <c r="L9204" s="3"/>
    </row>
    <row r="9205" spans="9:12" x14ac:dyDescent="0.25">
      <c r="I9205" s="3"/>
      <c r="J9205" s="3"/>
      <c r="K9205" s="3"/>
      <c r="L9205" s="3"/>
    </row>
    <row r="9206" spans="9:12" x14ac:dyDescent="0.25">
      <c r="I9206" s="3"/>
      <c r="J9206" s="3"/>
      <c r="K9206" s="3"/>
      <c r="L9206" s="3"/>
    </row>
    <row r="9207" spans="9:12" x14ac:dyDescent="0.25">
      <c r="I9207" s="3"/>
      <c r="J9207" s="3"/>
      <c r="K9207" s="3"/>
      <c r="L9207" s="3"/>
    </row>
    <row r="9208" spans="9:12" x14ac:dyDescent="0.25">
      <c r="I9208" s="3"/>
      <c r="J9208" s="3"/>
      <c r="K9208" s="3"/>
      <c r="L9208" s="3"/>
    </row>
    <row r="9209" spans="9:12" x14ac:dyDescent="0.25">
      <c r="I9209" s="3"/>
      <c r="J9209" s="3"/>
      <c r="K9209" s="3"/>
      <c r="L9209" s="3"/>
    </row>
    <row r="9210" spans="9:12" x14ac:dyDescent="0.25">
      <c r="I9210" s="3"/>
      <c r="J9210" s="3"/>
      <c r="K9210" s="3"/>
      <c r="L9210" s="3"/>
    </row>
    <row r="9211" spans="9:12" x14ac:dyDescent="0.25">
      <c r="I9211" s="3"/>
      <c r="J9211" s="3"/>
      <c r="K9211" s="3"/>
      <c r="L9211" s="3"/>
    </row>
    <row r="9212" spans="9:12" x14ac:dyDescent="0.25">
      <c r="I9212" s="3"/>
      <c r="J9212" s="3"/>
      <c r="K9212" s="3"/>
      <c r="L9212" s="3"/>
    </row>
    <row r="9213" spans="9:12" x14ac:dyDescent="0.25">
      <c r="I9213" s="3"/>
      <c r="J9213" s="3"/>
      <c r="K9213" s="3"/>
      <c r="L9213" s="3"/>
    </row>
    <row r="9214" spans="9:12" x14ac:dyDescent="0.25">
      <c r="I9214" s="3"/>
      <c r="J9214" s="3"/>
      <c r="K9214" s="3"/>
      <c r="L9214" s="3"/>
    </row>
    <row r="9215" spans="9:12" x14ac:dyDescent="0.25">
      <c r="I9215" s="3"/>
      <c r="J9215" s="3"/>
      <c r="K9215" s="3"/>
      <c r="L9215" s="3"/>
    </row>
    <row r="9216" spans="9:12" x14ac:dyDescent="0.25">
      <c r="I9216" s="3"/>
      <c r="J9216" s="3"/>
      <c r="K9216" s="3"/>
      <c r="L9216" s="3"/>
    </row>
    <row r="9217" spans="9:12" x14ac:dyDescent="0.25">
      <c r="I9217" s="3"/>
      <c r="J9217" s="3"/>
      <c r="K9217" s="3"/>
      <c r="L9217" s="3"/>
    </row>
    <row r="9218" spans="9:12" x14ac:dyDescent="0.25">
      <c r="I9218" s="3"/>
      <c r="J9218" s="3"/>
      <c r="K9218" s="3"/>
      <c r="L9218" s="3"/>
    </row>
    <row r="9219" spans="9:12" x14ac:dyDescent="0.25">
      <c r="I9219" s="3"/>
      <c r="J9219" s="3"/>
      <c r="K9219" s="3"/>
      <c r="L9219" s="3"/>
    </row>
    <row r="9220" spans="9:12" x14ac:dyDescent="0.25">
      <c r="I9220" s="3"/>
      <c r="J9220" s="3"/>
      <c r="K9220" s="3"/>
      <c r="L9220" s="3"/>
    </row>
    <row r="9221" spans="9:12" x14ac:dyDescent="0.25">
      <c r="I9221" s="3"/>
      <c r="J9221" s="3"/>
      <c r="K9221" s="3"/>
      <c r="L9221" s="3"/>
    </row>
    <row r="9222" spans="9:12" x14ac:dyDescent="0.25">
      <c r="I9222" s="3"/>
      <c r="J9222" s="3"/>
      <c r="K9222" s="3"/>
      <c r="L9222" s="3"/>
    </row>
    <row r="9223" spans="9:12" x14ac:dyDescent="0.25">
      <c r="I9223" s="3"/>
      <c r="J9223" s="3"/>
      <c r="K9223" s="3"/>
      <c r="L9223" s="3"/>
    </row>
    <row r="9224" spans="9:12" x14ac:dyDescent="0.25">
      <c r="I9224" s="3"/>
      <c r="J9224" s="3"/>
      <c r="K9224" s="3"/>
      <c r="L9224" s="3"/>
    </row>
    <row r="9225" spans="9:12" x14ac:dyDescent="0.25">
      <c r="I9225" s="3"/>
      <c r="J9225" s="3"/>
      <c r="K9225" s="3"/>
      <c r="L9225" s="3"/>
    </row>
    <row r="9226" spans="9:12" x14ac:dyDescent="0.25">
      <c r="I9226" s="3"/>
      <c r="J9226" s="3"/>
      <c r="K9226" s="3"/>
      <c r="L9226" s="3"/>
    </row>
    <row r="9227" spans="9:12" x14ac:dyDescent="0.25">
      <c r="I9227" s="3"/>
      <c r="J9227" s="3"/>
      <c r="K9227" s="3"/>
      <c r="L9227" s="3"/>
    </row>
    <row r="9228" spans="9:12" x14ac:dyDescent="0.25">
      <c r="I9228" s="3"/>
      <c r="J9228" s="3"/>
      <c r="K9228" s="3"/>
      <c r="L9228" s="3"/>
    </row>
    <row r="9229" spans="9:12" x14ac:dyDescent="0.25">
      <c r="I9229" s="3"/>
      <c r="J9229" s="3"/>
      <c r="K9229" s="3"/>
      <c r="L9229" s="3"/>
    </row>
    <row r="9230" spans="9:12" x14ac:dyDescent="0.25">
      <c r="I9230" s="3"/>
      <c r="J9230" s="3"/>
      <c r="K9230" s="3"/>
      <c r="L9230" s="3"/>
    </row>
    <row r="9231" spans="9:12" x14ac:dyDescent="0.25">
      <c r="I9231" s="3"/>
      <c r="J9231" s="3"/>
      <c r="K9231" s="3"/>
      <c r="L9231" s="3"/>
    </row>
    <row r="9232" spans="9:12" x14ac:dyDescent="0.25">
      <c r="I9232" s="3"/>
      <c r="J9232" s="3"/>
      <c r="K9232" s="3"/>
      <c r="L9232" s="3"/>
    </row>
    <row r="9233" spans="9:12" x14ac:dyDescent="0.25">
      <c r="I9233" s="3"/>
      <c r="J9233" s="3"/>
      <c r="K9233" s="3"/>
      <c r="L9233" s="3"/>
    </row>
    <row r="9234" spans="9:12" x14ac:dyDescent="0.25">
      <c r="I9234" s="3"/>
      <c r="J9234" s="3"/>
      <c r="K9234" s="3"/>
      <c r="L9234" s="3"/>
    </row>
    <row r="9235" spans="9:12" x14ac:dyDescent="0.25">
      <c r="I9235" s="3"/>
      <c r="J9235" s="3"/>
      <c r="K9235" s="3"/>
      <c r="L9235" s="3"/>
    </row>
    <row r="9236" spans="9:12" x14ac:dyDescent="0.25">
      <c r="I9236" s="3"/>
      <c r="J9236" s="3"/>
      <c r="K9236" s="3"/>
      <c r="L9236" s="3"/>
    </row>
    <row r="9237" spans="9:12" x14ac:dyDescent="0.25">
      <c r="I9237" s="3"/>
      <c r="J9237" s="3"/>
      <c r="K9237" s="3"/>
      <c r="L9237" s="3"/>
    </row>
    <row r="9238" spans="9:12" x14ac:dyDescent="0.25">
      <c r="I9238" s="3"/>
      <c r="J9238" s="3"/>
      <c r="K9238" s="3"/>
      <c r="L9238" s="3"/>
    </row>
    <row r="9239" spans="9:12" x14ac:dyDescent="0.25">
      <c r="I9239" s="3"/>
      <c r="J9239" s="3"/>
      <c r="K9239" s="3"/>
      <c r="L9239" s="3"/>
    </row>
    <row r="9240" spans="9:12" x14ac:dyDescent="0.25">
      <c r="I9240" s="3"/>
      <c r="J9240" s="3"/>
      <c r="K9240" s="3"/>
      <c r="L9240" s="3"/>
    </row>
    <row r="9241" spans="9:12" x14ac:dyDescent="0.25">
      <c r="I9241" s="3"/>
      <c r="J9241" s="3"/>
      <c r="K9241" s="3"/>
      <c r="L9241" s="3"/>
    </row>
    <row r="9242" spans="9:12" x14ac:dyDescent="0.25">
      <c r="I9242" s="3"/>
      <c r="J9242" s="3"/>
      <c r="K9242" s="3"/>
      <c r="L9242" s="3"/>
    </row>
    <row r="9243" spans="9:12" x14ac:dyDescent="0.25">
      <c r="I9243" s="3"/>
      <c r="J9243" s="3"/>
      <c r="K9243" s="3"/>
      <c r="L9243" s="3"/>
    </row>
    <row r="9244" spans="9:12" x14ac:dyDescent="0.25">
      <c r="I9244" s="3"/>
      <c r="J9244" s="3"/>
      <c r="K9244" s="3"/>
      <c r="L9244" s="3"/>
    </row>
    <row r="9245" spans="9:12" x14ac:dyDescent="0.25">
      <c r="I9245" s="3"/>
      <c r="J9245" s="3"/>
      <c r="K9245" s="3"/>
      <c r="L9245" s="3"/>
    </row>
    <row r="9246" spans="9:12" x14ac:dyDescent="0.25">
      <c r="I9246" s="3"/>
      <c r="J9246" s="3"/>
      <c r="K9246" s="3"/>
      <c r="L9246" s="3"/>
    </row>
    <row r="9247" spans="9:12" x14ac:dyDescent="0.25">
      <c r="I9247" s="3"/>
      <c r="J9247" s="3"/>
      <c r="K9247" s="3"/>
      <c r="L9247" s="3"/>
    </row>
    <row r="9248" spans="9:12" x14ac:dyDescent="0.25">
      <c r="I9248" s="3"/>
      <c r="J9248" s="3"/>
      <c r="K9248" s="3"/>
      <c r="L9248" s="3"/>
    </row>
    <row r="9249" spans="9:12" x14ac:dyDescent="0.25">
      <c r="I9249" s="3"/>
      <c r="J9249" s="3"/>
      <c r="K9249" s="3"/>
      <c r="L9249" s="3"/>
    </row>
    <row r="9250" spans="9:12" x14ac:dyDescent="0.25">
      <c r="I9250" s="3"/>
      <c r="J9250" s="3"/>
      <c r="K9250" s="3"/>
      <c r="L9250" s="3"/>
    </row>
    <row r="9251" spans="9:12" x14ac:dyDescent="0.25">
      <c r="I9251" s="3"/>
      <c r="J9251" s="3"/>
      <c r="K9251" s="3"/>
      <c r="L9251" s="3"/>
    </row>
    <row r="9252" spans="9:12" x14ac:dyDescent="0.25">
      <c r="I9252" s="3"/>
      <c r="J9252" s="3"/>
      <c r="K9252" s="3"/>
      <c r="L9252" s="3"/>
    </row>
    <row r="9253" spans="9:12" x14ac:dyDescent="0.25">
      <c r="I9253" s="3"/>
      <c r="J9253" s="3"/>
      <c r="K9253" s="3"/>
      <c r="L9253" s="3"/>
    </row>
    <row r="9254" spans="9:12" x14ac:dyDescent="0.25">
      <c r="I9254" s="3"/>
      <c r="J9254" s="3"/>
      <c r="K9254" s="3"/>
      <c r="L9254" s="3"/>
    </row>
    <row r="9255" spans="9:12" x14ac:dyDescent="0.25">
      <c r="I9255" s="3"/>
      <c r="J9255" s="3"/>
      <c r="K9255" s="3"/>
      <c r="L9255" s="3"/>
    </row>
    <row r="9256" spans="9:12" x14ac:dyDescent="0.25">
      <c r="I9256" s="3"/>
      <c r="J9256" s="3"/>
      <c r="K9256" s="3"/>
      <c r="L9256" s="3"/>
    </row>
    <row r="9257" spans="9:12" x14ac:dyDescent="0.25">
      <c r="I9257" s="3"/>
      <c r="J9257" s="3"/>
      <c r="K9257" s="3"/>
      <c r="L9257" s="3"/>
    </row>
    <row r="9258" spans="9:12" x14ac:dyDescent="0.25">
      <c r="I9258" s="3"/>
      <c r="J9258" s="3"/>
      <c r="K9258" s="3"/>
      <c r="L9258" s="3"/>
    </row>
    <row r="9259" spans="9:12" x14ac:dyDescent="0.25">
      <c r="I9259" s="3"/>
      <c r="J9259" s="3"/>
      <c r="K9259" s="3"/>
      <c r="L9259" s="3"/>
    </row>
    <row r="9260" spans="9:12" x14ac:dyDescent="0.25">
      <c r="I9260" s="3"/>
      <c r="J9260" s="3"/>
      <c r="K9260" s="3"/>
      <c r="L9260" s="3"/>
    </row>
    <row r="9261" spans="9:12" x14ac:dyDescent="0.25">
      <c r="I9261" s="3"/>
      <c r="J9261" s="3"/>
      <c r="K9261" s="3"/>
      <c r="L9261" s="3"/>
    </row>
    <row r="9262" spans="9:12" x14ac:dyDescent="0.25">
      <c r="I9262" s="3"/>
      <c r="J9262" s="3"/>
      <c r="K9262" s="3"/>
      <c r="L9262" s="3"/>
    </row>
    <row r="9263" spans="9:12" x14ac:dyDescent="0.25">
      <c r="I9263" s="3"/>
      <c r="J9263" s="3"/>
      <c r="K9263" s="3"/>
      <c r="L9263" s="3"/>
    </row>
    <row r="9264" spans="9:12" x14ac:dyDescent="0.25">
      <c r="I9264" s="3"/>
      <c r="J9264" s="3"/>
      <c r="K9264" s="3"/>
      <c r="L9264" s="3"/>
    </row>
    <row r="9265" spans="9:12" x14ac:dyDescent="0.25">
      <c r="I9265" s="3"/>
      <c r="J9265" s="3"/>
      <c r="K9265" s="3"/>
      <c r="L9265" s="3"/>
    </row>
    <row r="9266" spans="9:12" x14ac:dyDescent="0.25">
      <c r="I9266" s="3"/>
      <c r="J9266" s="3"/>
      <c r="K9266" s="3"/>
      <c r="L9266" s="3"/>
    </row>
    <row r="9267" spans="9:12" x14ac:dyDescent="0.25">
      <c r="I9267" s="3"/>
      <c r="J9267" s="3"/>
      <c r="K9267" s="3"/>
      <c r="L9267" s="3"/>
    </row>
    <row r="9268" spans="9:12" x14ac:dyDescent="0.25">
      <c r="I9268" s="3"/>
      <c r="J9268" s="3"/>
      <c r="K9268" s="3"/>
      <c r="L9268" s="3"/>
    </row>
    <row r="9269" spans="9:12" x14ac:dyDescent="0.25">
      <c r="I9269" s="3"/>
      <c r="J9269" s="3"/>
      <c r="K9269" s="3"/>
      <c r="L9269" s="3"/>
    </row>
    <row r="9270" spans="9:12" x14ac:dyDescent="0.25">
      <c r="I9270" s="3"/>
      <c r="J9270" s="3"/>
      <c r="K9270" s="3"/>
      <c r="L9270" s="3"/>
    </row>
    <row r="9271" spans="9:12" x14ac:dyDescent="0.25">
      <c r="I9271" s="3"/>
      <c r="J9271" s="3"/>
      <c r="K9271" s="3"/>
      <c r="L9271" s="3"/>
    </row>
    <row r="9272" spans="9:12" x14ac:dyDescent="0.25">
      <c r="I9272" s="3"/>
      <c r="J9272" s="3"/>
      <c r="K9272" s="3"/>
      <c r="L9272" s="3"/>
    </row>
    <row r="9273" spans="9:12" x14ac:dyDescent="0.25">
      <c r="I9273" s="3"/>
      <c r="J9273" s="3"/>
      <c r="K9273" s="3"/>
      <c r="L9273" s="3"/>
    </row>
    <row r="9274" spans="9:12" x14ac:dyDescent="0.25">
      <c r="I9274" s="3"/>
      <c r="J9274" s="3"/>
      <c r="K9274" s="3"/>
      <c r="L9274" s="3"/>
    </row>
    <row r="9275" spans="9:12" x14ac:dyDescent="0.25">
      <c r="I9275" s="3"/>
      <c r="J9275" s="3"/>
      <c r="K9275" s="3"/>
      <c r="L9275" s="3"/>
    </row>
    <row r="9276" spans="9:12" x14ac:dyDescent="0.25">
      <c r="I9276" s="3"/>
      <c r="J9276" s="3"/>
      <c r="K9276" s="3"/>
      <c r="L9276" s="3"/>
    </row>
    <row r="9277" spans="9:12" x14ac:dyDescent="0.25">
      <c r="I9277" s="3"/>
      <c r="J9277" s="3"/>
      <c r="K9277" s="3"/>
      <c r="L9277" s="3"/>
    </row>
    <row r="9278" spans="9:12" x14ac:dyDescent="0.25">
      <c r="I9278" s="3"/>
      <c r="J9278" s="3"/>
      <c r="K9278" s="3"/>
      <c r="L9278" s="3"/>
    </row>
    <row r="9279" spans="9:12" x14ac:dyDescent="0.25">
      <c r="I9279" s="3"/>
      <c r="J9279" s="3"/>
      <c r="K9279" s="3"/>
      <c r="L9279" s="3"/>
    </row>
    <row r="9280" spans="9:12" x14ac:dyDescent="0.25">
      <c r="I9280" s="3"/>
      <c r="J9280" s="3"/>
      <c r="K9280" s="3"/>
      <c r="L9280" s="3"/>
    </row>
    <row r="9281" spans="9:12" x14ac:dyDescent="0.25">
      <c r="I9281" s="3"/>
      <c r="J9281" s="3"/>
      <c r="K9281" s="3"/>
      <c r="L9281" s="3"/>
    </row>
    <row r="9282" spans="9:12" x14ac:dyDescent="0.25">
      <c r="I9282" s="3"/>
      <c r="J9282" s="3"/>
      <c r="K9282" s="3"/>
      <c r="L9282" s="3"/>
    </row>
    <row r="9283" spans="9:12" x14ac:dyDescent="0.25">
      <c r="I9283" s="3"/>
      <c r="J9283" s="3"/>
      <c r="K9283" s="3"/>
      <c r="L9283" s="3"/>
    </row>
    <row r="9284" spans="9:12" x14ac:dyDescent="0.25">
      <c r="I9284" s="3"/>
      <c r="J9284" s="3"/>
      <c r="K9284" s="3"/>
      <c r="L9284" s="3"/>
    </row>
    <row r="9285" spans="9:12" x14ac:dyDescent="0.25">
      <c r="I9285" s="3"/>
      <c r="J9285" s="3"/>
      <c r="K9285" s="3"/>
      <c r="L9285" s="3"/>
    </row>
    <row r="9286" spans="9:12" x14ac:dyDescent="0.25">
      <c r="I9286" s="3"/>
      <c r="J9286" s="3"/>
      <c r="K9286" s="3"/>
      <c r="L9286" s="3"/>
    </row>
    <row r="9287" spans="9:12" x14ac:dyDescent="0.25">
      <c r="I9287" s="3"/>
      <c r="J9287" s="3"/>
      <c r="K9287" s="3"/>
      <c r="L9287" s="3"/>
    </row>
    <row r="9288" spans="9:12" x14ac:dyDescent="0.25">
      <c r="I9288" s="3"/>
      <c r="J9288" s="3"/>
      <c r="K9288" s="3"/>
      <c r="L9288" s="3"/>
    </row>
    <row r="9289" spans="9:12" x14ac:dyDescent="0.25">
      <c r="I9289" s="3"/>
      <c r="J9289" s="3"/>
      <c r="K9289" s="3"/>
      <c r="L9289" s="3"/>
    </row>
    <row r="9290" spans="9:12" x14ac:dyDescent="0.25">
      <c r="I9290" s="3"/>
      <c r="J9290" s="3"/>
      <c r="K9290" s="3"/>
      <c r="L9290" s="3"/>
    </row>
    <row r="9291" spans="9:12" x14ac:dyDescent="0.25">
      <c r="I9291" s="3"/>
      <c r="J9291" s="3"/>
      <c r="K9291" s="3"/>
      <c r="L9291" s="3"/>
    </row>
    <row r="9292" spans="9:12" x14ac:dyDescent="0.25">
      <c r="I9292" s="3"/>
      <c r="J9292" s="3"/>
      <c r="K9292" s="3"/>
      <c r="L9292" s="3"/>
    </row>
    <row r="9293" spans="9:12" x14ac:dyDescent="0.25">
      <c r="I9293" s="3"/>
      <c r="J9293" s="3"/>
      <c r="K9293" s="3"/>
      <c r="L9293" s="3"/>
    </row>
    <row r="9294" spans="9:12" x14ac:dyDescent="0.25">
      <c r="I9294" s="3"/>
      <c r="J9294" s="3"/>
      <c r="K9294" s="3"/>
      <c r="L9294" s="3"/>
    </row>
    <row r="9295" spans="9:12" x14ac:dyDescent="0.25">
      <c r="I9295" s="3"/>
      <c r="J9295" s="3"/>
      <c r="K9295" s="3"/>
      <c r="L9295" s="3"/>
    </row>
    <row r="9296" spans="9:12" x14ac:dyDescent="0.25">
      <c r="I9296" s="3"/>
      <c r="J9296" s="3"/>
      <c r="K9296" s="3"/>
      <c r="L9296" s="3"/>
    </row>
    <row r="9297" spans="9:12" x14ac:dyDescent="0.25">
      <c r="I9297" s="3"/>
      <c r="J9297" s="3"/>
      <c r="K9297" s="3"/>
      <c r="L9297" s="3"/>
    </row>
    <row r="9298" spans="9:12" x14ac:dyDescent="0.25">
      <c r="I9298" s="3"/>
      <c r="J9298" s="3"/>
      <c r="K9298" s="3"/>
      <c r="L9298" s="3"/>
    </row>
    <row r="9299" spans="9:12" x14ac:dyDescent="0.25">
      <c r="I9299" s="3"/>
      <c r="J9299" s="3"/>
      <c r="K9299" s="3"/>
      <c r="L9299" s="3"/>
    </row>
    <row r="9300" spans="9:12" x14ac:dyDescent="0.25">
      <c r="I9300" s="3"/>
      <c r="J9300" s="3"/>
      <c r="K9300" s="3"/>
      <c r="L9300" s="3"/>
    </row>
    <row r="9301" spans="9:12" x14ac:dyDescent="0.25">
      <c r="I9301" s="3"/>
      <c r="J9301" s="3"/>
      <c r="K9301" s="3"/>
      <c r="L9301" s="3"/>
    </row>
    <row r="9302" spans="9:12" x14ac:dyDescent="0.25">
      <c r="I9302" s="3"/>
      <c r="J9302" s="3"/>
      <c r="K9302" s="3"/>
      <c r="L9302" s="3"/>
    </row>
    <row r="9303" spans="9:12" x14ac:dyDescent="0.25">
      <c r="I9303" s="3"/>
      <c r="J9303" s="3"/>
      <c r="K9303" s="3"/>
      <c r="L9303" s="3"/>
    </row>
    <row r="9304" spans="9:12" x14ac:dyDescent="0.25">
      <c r="I9304" s="3"/>
      <c r="J9304" s="3"/>
      <c r="K9304" s="3"/>
      <c r="L9304" s="3"/>
    </row>
    <row r="9305" spans="9:12" x14ac:dyDescent="0.25">
      <c r="I9305" s="3"/>
      <c r="J9305" s="3"/>
      <c r="K9305" s="3"/>
      <c r="L9305" s="3"/>
    </row>
    <row r="9306" spans="9:12" x14ac:dyDescent="0.25">
      <c r="I9306" s="3"/>
      <c r="J9306" s="3"/>
      <c r="K9306" s="3"/>
      <c r="L9306" s="3"/>
    </row>
    <row r="9307" spans="9:12" x14ac:dyDescent="0.25">
      <c r="I9307" s="3"/>
      <c r="J9307" s="3"/>
      <c r="K9307" s="3"/>
      <c r="L9307" s="3"/>
    </row>
    <row r="9308" spans="9:12" x14ac:dyDescent="0.25">
      <c r="I9308" s="3"/>
      <c r="J9308" s="3"/>
      <c r="K9308" s="3"/>
      <c r="L9308" s="3"/>
    </row>
    <row r="9309" spans="9:12" x14ac:dyDescent="0.25">
      <c r="I9309" s="3"/>
      <c r="J9309" s="3"/>
      <c r="K9309" s="3"/>
      <c r="L9309" s="3"/>
    </row>
    <row r="9310" spans="9:12" x14ac:dyDescent="0.25">
      <c r="I9310" s="3"/>
      <c r="J9310" s="3"/>
      <c r="K9310" s="3"/>
      <c r="L9310" s="3"/>
    </row>
    <row r="9311" spans="9:12" x14ac:dyDescent="0.25">
      <c r="I9311" s="3"/>
      <c r="J9311" s="3"/>
      <c r="K9311" s="3"/>
      <c r="L9311" s="3"/>
    </row>
    <row r="9312" spans="9:12" x14ac:dyDescent="0.25">
      <c r="I9312" s="3"/>
      <c r="J9312" s="3"/>
      <c r="K9312" s="3"/>
      <c r="L9312" s="3"/>
    </row>
    <row r="9313" spans="9:12" x14ac:dyDescent="0.25">
      <c r="I9313" s="3"/>
      <c r="J9313" s="3"/>
      <c r="K9313" s="3"/>
      <c r="L9313" s="3"/>
    </row>
    <row r="9314" spans="9:12" x14ac:dyDescent="0.25">
      <c r="I9314" s="3"/>
      <c r="J9314" s="3"/>
      <c r="K9314" s="3"/>
      <c r="L9314" s="3"/>
    </row>
    <row r="9315" spans="9:12" x14ac:dyDescent="0.25">
      <c r="I9315" s="3"/>
      <c r="J9315" s="3"/>
      <c r="K9315" s="3"/>
      <c r="L9315" s="3"/>
    </row>
    <row r="9316" spans="9:12" x14ac:dyDescent="0.25">
      <c r="I9316" s="3"/>
      <c r="J9316" s="3"/>
      <c r="K9316" s="3"/>
      <c r="L9316" s="3"/>
    </row>
    <row r="9317" spans="9:12" x14ac:dyDescent="0.25">
      <c r="I9317" s="3"/>
      <c r="J9317" s="3"/>
      <c r="K9317" s="3"/>
      <c r="L9317" s="3"/>
    </row>
    <row r="9318" spans="9:12" x14ac:dyDescent="0.25">
      <c r="I9318" s="3"/>
      <c r="J9318" s="3"/>
      <c r="K9318" s="3"/>
      <c r="L9318" s="3"/>
    </row>
    <row r="9319" spans="9:12" x14ac:dyDescent="0.25">
      <c r="I9319" s="3"/>
      <c r="J9319" s="3"/>
      <c r="K9319" s="3"/>
      <c r="L9319" s="3"/>
    </row>
    <row r="9320" spans="9:12" x14ac:dyDescent="0.25">
      <c r="I9320" s="3"/>
      <c r="J9320" s="3"/>
      <c r="K9320" s="3"/>
      <c r="L9320" s="3"/>
    </row>
    <row r="9321" spans="9:12" x14ac:dyDescent="0.25">
      <c r="I9321" s="3"/>
      <c r="J9321" s="3"/>
      <c r="K9321" s="3"/>
      <c r="L9321" s="3"/>
    </row>
    <row r="9322" spans="9:12" x14ac:dyDescent="0.25">
      <c r="I9322" s="3"/>
      <c r="J9322" s="3"/>
      <c r="K9322" s="3"/>
      <c r="L9322" s="3"/>
    </row>
    <row r="9323" spans="9:12" x14ac:dyDescent="0.25">
      <c r="I9323" s="3"/>
      <c r="J9323" s="3"/>
      <c r="K9323" s="3"/>
      <c r="L9323" s="3"/>
    </row>
    <row r="9324" spans="9:12" x14ac:dyDescent="0.25">
      <c r="I9324" s="3"/>
      <c r="J9324" s="3"/>
      <c r="K9324" s="3"/>
      <c r="L9324" s="3"/>
    </row>
    <row r="9325" spans="9:12" x14ac:dyDescent="0.25">
      <c r="I9325" s="3"/>
      <c r="J9325" s="3"/>
      <c r="K9325" s="3"/>
      <c r="L9325" s="3"/>
    </row>
    <row r="9326" spans="9:12" x14ac:dyDescent="0.25">
      <c r="I9326" s="3"/>
      <c r="J9326" s="3"/>
      <c r="K9326" s="3"/>
      <c r="L9326" s="3"/>
    </row>
    <row r="9327" spans="9:12" x14ac:dyDescent="0.25">
      <c r="I9327" s="3"/>
      <c r="J9327" s="3"/>
      <c r="K9327" s="3"/>
      <c r="L9327" s="3"/>
    </row>
    <row r="9328" spans="9:12" x14ac:dyDescent="0.25">
      <c r="I9328" s="3"/>
      <c r="J9328" s="3"/>
      <c r="K9328" s="3"/>
      <c r="L9328" s="3"/>
    </row>
    <row r="9329" spans="9:12" x14ac:dyDescent="0.25">
      <c r="I9329" s="3"/>
      <c r="J9329" s="3"/>
      <c r="K9329" s="3"/>
      <c r="L9329" s="3"/>
    </row>
    <row r="9330" spans="9:12" x14ac:dyDescent="0.25">
      <c r="I9330" s="3"/>
      <c r="J9330" s="3"/>
      <c r="K9330" s="3"/>
      <c r="L9330" s="3"/>
    </row>
    <row r="9331" spans="9:12" x14ac:dyDescent="0.25">
      <c r="I9331" s="3"/>
      <c r="J9331" s="3"/>
      <c r="K9331" s="3"/>
      <c r="L9331" s="3"/>
    </row>
    <row r="9332" spans="9:12" x14ac:dyDescent="0.25">
      <c r="I9332" s="3"/>
      <c r="J9332" s="3"/>
      <c r="K9332" s="3"/>
      <c r="L9332" s="3"/>
    </row>
    <row r="9333" spans="9:12" x14ac:dyDescent="0.25">
      <c r="I9333" s="3"/>
      <c r="J9333" s="3"/>
      <c r="K9333" s="3"/>
      <c r="L9333" s="3"/>
    </row>
    <row r="9334" spans="9:12" x14ac:dyDescent="0.25">
      <c r="I9334" s="3"/>
      <c r="J9334" s="3"/>
      <c r="K9334" s="3"/>
      <c r="L9334" s="3"/>
    </row>
    <row r="9335" spans="9:12" x14ac:dyDescent="0.25">
      <c r="I9335" s="3"/>
      <c r="J9335" s="3"/>
      <c r="K9335" s="3"/>
      <c r="L9335" s="3"/>
    </row>
    <row r="9336" spans="9:12" x14ac:dyDescent="0.25">
      <c r="I9336" s="3"/>
      <c r="J9336" s="3"/>
      <c r="K9336" s="3"/>
      <c r="L9336" s="3"/>
    </row>
    <row r="9337" spans="9:12" x14ac:dyDescent="0.25">
      <c r="I9337" s="3"/>
      <c r="J9337" s="3"/>
      <c r="K9337" s="3"/>
      <c r="L9337" s="3"/>
    </row>
    <row r="9338" spans="9:12" x14ac:dyDescent="0.25">
      <c r="I9338" s="3"/>
      <c r="J9338" s="3"/>
      <c r="K9338" s="3"/>
      <c r="L9338" s="3"/>
    </row>
    <row r="9339" spans="9:12" x14ac:dyDescent="0.25">
      <c r="I9339" s="3"/>
      <c r="J9339" s="3"/>
      <c r="K9339" s="3"/>
      <c r="L9339" s="3"/>
    </row>
    <row r="9340" spans="9:12" x14ac:dyDescent="0.25">
      <c r="I9340" s="3"/>
      <c r="J9340" s="3"/>
      <c r="K9340" s="3"/>
      <c r="L9340" s="3"/>
    </row>
    <row r="9341" spans="9:12" x14ac:dyDescent="0.25">
      <c r="I9341" s="3"/>
      <c r="J9341" s="3"/>
      <c r="K9341" s="3"/>
      <c r="L9341" s="3"/>
    </row>
    <row r="9342" spans="9:12" x14ac:dyDescent="0.25">
      <c r="I9342" s="3"/>
      <c r="J9342" s="3"/>
      <c r="K9342" s="3"/>
      <c r="L9342" s="3"/>
    </row>
    <row r="9343" spans="9:12" x14ac:dyDescent="0.25">
      <c r="I9343" s="3"/>
      <c r="J9343" s="3"/>
      <c r="K9343" s="3"/>
      <c r="L9343" s="3"/>
    </row>
    <row r="9344" spans="9:12" x14ac:dyDescent="0.25">
      <c r="I9344" s="3"/>
      <c r="J9344" s="3"/>
      <c r="K9344" s="3"/>
      <c r="L9344" s="3"/>
    </row>
    <row r="9345" spans="9:12" x14ac:dyDescent="0.25">
      <c r="I9345" s="3"/>
      <c r="J9345" s="3"/>
      <c r="K9345" s="3"/>
      <c r="L9345" s="3"/>
    </row>
    <row r="9346" spans="9:12" x14ac:dyDescent="0.25">
      <c r="I9346" s="3"/>
      <c r="J9346" s="3"/>
      <c r="K9346" s="3"/>
      <c r="L9346" s="3"/>
    </row>
    <row r="9347" spans="9:12" x14ac:dyDescent="0.25">
      <c r="I9347" s="3"/>
      <c r="J9347" s="3"/>
      <c r="K9347" s="3"/>
      <c r="L9347" s="3"/>
    </row>
    <row r="9348" spans="9:12" x14ac:dyDescent="0.25">
      <c r="I9348" s="3"/>
      <c r="J9348" s="3"/>
      <c r="K9348" s="3"/>
      <c r="L9348" s="3"/>
    </row>
    <row r="9349" spans="9:12" x14ac:dyDescent="0.25">
      <c r="I9349" s="3"/>
      <c r="J9349" s="3"/>
      <c r="K9349" s="3"/>
      <c r="L9349" s="3"/>
    </row>
    <row r="9350" spans="9:12" x14ac:dyDescent="0.25">
      <c r="I9350" s="3"/>
      <c r="J9350" s="3"/>
      <c r="K9350" s="3"/>
      <c r="L9350" s="3"/>
    </row>
    <row r="9351" spans="9:12" x14ac:dyDescent="0.25">
      <c r="I9351" s="3"/>
      <c r="J9351" s="3"/>
      <c r="K9351" s="3"/>
      <c r="L9351" s="3"/>
    </row>
    <row r="9352" spans="9:12" x14ac:dyDescent="0.25">
      <c r="I9352" s="3"/>
      <c r="J9352" s="3"/>
      <c r="K9352" s="3"/>
      <c r="L9352" s="3"/>
    </row>
    <row r="9353" spans="9:12" x14ac:dyDescent="0.25">
      <c r="I9353" s="3"/>
      <c r="J9353" s="3"/>
      <c r="K9353" s="3"/>
      <c r="L9353" s="3"/>
    </row>
    <row r="9354" spans="9:12" x14ac:dyDescent="0.25">
      <c r="I9354" s="3"/>
      <c r="J9354" s="3"/>
      <c r="K9354" s="3"/>
      <c r="L9354" s="3"/>
    </row>
    <row r="9355" spans="9:12" x14ac:dyDescent="0.25">
      <c r="I9355" s="3"/>
      <c r="J9355" s="3"/>
      <c r="K9355" s="3"/>
      <c r="L9355" s="3"/>
    </row>
    <row r="9356" spans="9:12" x14ac:dyDescent="0.25">
      <c r="I9356" s="3"/>
      <c r="J9356" s="3"/>
      <c r="K9356" s="3"/>
      <c r="L9356" s="3"/>
    </row>
    <row r="9357" spans="9:12" x14ac:dyDescent="0.25">
      <c r="I9357" s="3"/>
      <c r="J9357" s="3"/>
      <c r="K9357" s="3"/>
      <c r="L9357" s="3"/>
    </row>
    <row r="9358" spans="9:12" x14ac:dyDescent="0.25">
      <c r="I9358" s="3"/>
      <c r="J9358" s="3"/>
      <c r="K9358" s="3"/>
      <c r="L9358" s="3"/>
    </row>
    <row r="9359" spans="9:12" x14ac:dyDescent="0.25">
      <c r="I9359" s="3"/>
      <c r="J9359" s="3"/>
      <c r="K9359" s="3"/>
      <c r="L9359" s="3"/>
    </row>
    <row r="9360" spans="9:12" x14ac:dyDescent="0.25">
      <c r="I9360" s="3"/>
      <c r="J9360" s="3"/>
      <c r="K9360" s="3"/>
      <c r="L9360" s="3"/>
    </row>
    <row r="9361" spans="9:12" x14ac:dyDescent="0.25">
      <c r="I9361" s="3"/>
      <c r="J9361" s="3"/>
      <c r="K9361" s="3"/>
      <c r="L9361" s="3"/>
    </row>
    <row r="9362" spans="9:12" x14ac:dyDescent="0.25">
      <c r="I9362" s="3"/>
      <c r="J9362" s="3"/>
      <c r="K9362" s="3"/>
      <c r="L9362" s="3"/>
    </row>
    <row r="9363" spans="9:12" x14ac:dyDescent="0.25">
      <c r="I9363" s="3"/>
      <c r="J9363" s="3"/>
      <c r="K9363" s="3"/>
      <c r="L9363" s="3"/>
    </row>
    <row r="9364" spans="9:12" x14ac:dyDescent="0.25">
      <c r="I9364" s="3"/>
      <c r="J9364" s="3"/>
      <c r="K9364" s="3"/>
      <c r="L9364" s="3"/>
    </row>
    <row r="9365" spans="9:12" x14ac:dyDescent="0.25">
      <c r="I9365" s="3"/>
      <c r="J9365" s="3"/>
      <c r="K9365" s="3"/>
      <c r="L9365" s="3"/>
    </row>
    <row r="9366" spans="9:12" x14ac:dyDescent="0.25">
      <c r="I9366" s="3"/>
      <c r="J9366" s="3"/>
      <c r="K9366" s="3"/>
      <c r="L9366" s="3"/>
    </row>
    <row r="9367" spans="9:12" x14ac:dyDescent="0.25">
      <c r="I9367" s="3"/>
      <c r="J9367" s="3"/>
      <c r="K9367" s="3"/>
      <c r="L9367" s="3"/>
    </row>
    <row r="9368" spans="9:12" x14ac:dyDescent="0.25">
      <c r="I9368" s="3"/>
      <c r="J9368" s="3"/>
      <c r="K9368" s="3"/>
      <c r="L9368" s="3"/>
    </row>
    <row r="9369" spans="9:12" x14ac:dyDescent="0.25">
      <c r="I9369" s="3"/>
      <c r="J9369" s="3"/>
      <c r="K9369" s="3"/>
      <c r="L9369" s="3"/>
    </row>
    <row r="9370" spans="9:12" x14ac:dyDescent="0.25">
      <c r="I9370" s="3"/>
      <c r="J9370" s="3"/>
      <c r="K9370" s="3"/>
      <c r="L9370" s="3"/>
    </row>
    <row r="9371" spans="9:12" x14ac:dyDescent="0.25">
      <c r="I9371" s="3"/>
      <c r="J9371" s="3"/>
      <c r="K9371" s="3"/>
      <c r="L9371" s="3"/>
    </row>
    <row r="9372" spans="9:12" x14ac:dyDescent="0.25">
      <c r="I9372" s="3"/>
      <c r="J9372" s="3"/>
      <c r="K9372" s="3"/>
      <c r="L9372" s="3"/>
    </row>
    <row r="9373" spans="9:12" x14ac:dyDescent="0.25">
      <c r="I9373" s="3"/>
      <c r="J9373" s="3"/>
      <c r="K9373" s="3"/>
      <c r="L9373" s="3"/>
    </row>
    <row r="9374" spans="9:12" x14ac:dyDescent="0.25">
      <c r="I9374" s="3"/>
      <c r="J9374" s="3"/>
      <c r="K9374" s="3"/>
      <c r="L9374" s="3"/>
    </row>
    <row r="9375" spans="9:12" x14ac:dyDescent="0.25">
      <c r="I9375" s="3"/>
      <c r="J9375" s="3"/>
      <c r="K9375" s="3"/>
      <c r="L9375" s="3"/>
    </row>
    <row r="9376" spans="9:12" x14ac:dyDescent="0.25">
      <c r="I9376" s="3"/>
      <c r="J9376" s="3"/>
      <c r="K9376" s="3"/>
      <c r="L9376" s="3"/>
    </row>
    <row r="9377" spans="9:12" x14ac:dyDescent="0.25">
      <c r="I9377" s="3"/>
      <c r="J9377" s="3"/>
      <c r="K9377" s="3"/>
      <c r="L9377" s="3"/>
    </row>
    <row r="9378" spans="9:12" x14ac:dyDescent="0.25">
      <c r="I9378" s="3"/>
      <c r="J9378" s="3"/>
      <c r="K9378" s="3"/>
      <c r="L9378" s="3"/>
    </row>
    <row r="9379" spans="9:12" x14ac:dyDescent="0.25">
      <c r="I9379" s="3"/>
      <c r="J9379" s="3"/>
      <c r="K9379" s="3"/>
      <c r="L9379" s="3"/>
    </row>
    <row r="9380" spans="9:12" x14ac:dyDescent="0.25">
      <c r="I9380" s="3"/>
      <c r="J9380" s="3"/>
      <c r="K9380" s="3"/>
      <c r="L9380" s="3"/>
    </row>
    <row r="9381" spans="9:12" x14ac:dyDescent="0.25">
      <c r="I9381" s="3"/>
      <c r="J9381" s="3"/>
      <c r="K9381" s="3"/>
      <c r="L9381" s="3"/>
    </row>
    <row r="9382" spans="9:12" x14ac:dyDescent="0.25">
      <c r="I9382" s="3"/>
      <c r="J9382" s="3"/>
      <c r="K9382" s="3"/>
      <c r="L9382" s="3"/>
    </row>
    <row r="9383" spans="9:12" x14ac:dyDescent="0.25">
      <c r="I9383" s="3"/>
      <c r="J9383" s="3"/>
      <c r="K9383" s="3"/>
      <c r="L9383" s="3"/>
    </row>
    <row r="9384" spans="9:12" x14ac:dyDescent="0.25">
      <c r="I9384" s="3"/>
      <c r="J9384" s="3"/>
      <c r="K9384" s="3"/>
      <c r="L9384" s="3"/>
    </row>
    <row r="9385" spans="9:12" x14ac:dyDescent="0.25">
      <c r="I9385" s="3"/>
      <c r="J9385" s="3"/>
      <c r="K9385" s="3"/>
      <c r="L9385" s="3"/>
    </row>
    <row r="9386" spans="9:12" x14ac:dyDescent="0.25">
      <c r="I9386" s="3"/>
      <c r="J9386" s="3"/>
      <c r="K9386" s="3"/>
      <c r="L9386" s="3"/>
    </row>
    <row r="9387" spans="9:12" x14ac:dyDescent="0.25">
      <c r="I9387" s="3"/>
      <c r="J9387" s="3"/>
      <c r="K9387" s="3"/>
      <c r="L9387" s="3"/>
    </row>
    <row r="9388" spans="9:12" x14ac:dyDescent="0.25">
      <c r="I9388" s="3"/>
      <c r="J9388" s="3"/>
      <c r="K9388" s="3"/>
      <c r="L9388" s="3"/>
    </row>
    <row r="9389" spans="9:12" x14ac:dyDescent="0.25">
      <c r="I9389" s="3"/>
      <c r="J9389" s="3"/>
      <c r="K9389" s="3"/>
      <c r="L9389" s="3"/>
    </row>
    <row r="9390" spans="9:12" x14ac:dyDescent="0.25">
      <c r="I9390" s="3"/>
      <c r="J9390" s="3"/>
      <c r="K9390" s="3"/>
      <c r="L9390" s="3"/>
    </row>
    <row r="9391" spans="9:12" x14ac:dyDescent="0.25">
      <c r="I9391" s="3"/>
      <c r="J9391" s="3"/>
      <c r="K9391" s="3"/>
      <c r="L9391" s="3"/>
    </row>
    <row r="9392" spans="9:12" x14ac:dyDescent="0.25">
      <c r="I9392" s="3"/>
      <c r="J9392" s="3"/>
      <c r="K9392" s="3"/>
      <c r="L9392" s="3"/>
    </row>
    <row r="9393" spans="9:12" x14ac:dyDescent="0.25">
      <c r="I9393" s="3"/>
      <c r="J9393" s="3"/>
      <c r="K9393" s="3"/>
      <c r="L9393" s="3"/>
    </row>
    <row r="9394" spans="9:12" x14ac:dyDescent="0.25">
      <c r="I9394" s="3"/>
      <c r="J9394" s="3"/>
      <c r="K9394" s="3"/>
      <c r="L9394" s="3"/>
    </row>
    <row r="9395" spans="9:12" x14ac:dyDescent="0.25">
      <c r="I9395" s="3"/>
      <c r="J9395" s="3"/>
      <c r="K9395" s="3"/>
      <c r="L9395" s="3"/>
    </row>
    <row r="9396" spans="9:12" x14ac:dyDescent="0.25">
      <c r="I9396" s="3"/>
      <c r="J9396" s="3"/>
      <c r="K9396" s="3"/>
      <c r="L9396" s="3"/>
    </row>
    <row r="9397" spans="9:12" x14ac:dyDescent="0.25">
      <c r="I9397" s="3"/>
      <c r="J9397" s="3"/>
      <c r="K9397" s="3"/>
      <c r="L9397" s="3"/>
    </row>
    <row r="9398" spans="9:12" x14ac:dyDescent="0.25">
      <c r="I9398" s="3"/>
      <c r="J9398" s="3"/>
      <c r="K9398" s="3"/>
      <c r="L9398" s="3"/>
    </row>
    <row r="9399" spans="9:12" x14ac:dyDescent="0.25">
      <c r="I9399" s="3"/>
      <c r="J9399" s="3"/>
      <c r="K9399" s="3"/>
      <c r="L9399" s="3"/>
    </row>
    <row r="9400" spans="9:12" x14ac:dyDescent="0.25">
      <c r="I9400" s="3"/>
      <c r="J9400" s="3"/>
      <c r="K9400" s="3"/>
      <c r="L9400" s="3"/>
    </row>
    <row r="9401" spans="9:12" x14ac:dyDescent="0.25">
      <c r="I9401" s="3"/>
      <c r="J9401" s="3"/>
      <c r="K9401" s="3"/>
      <c r="L9401" s="3"/>
    </row>
    <row r="9402" spans="9:12" x14ac:dyDescent="0.25">
      <c r="I9402" s="3"/>
      <c r="J9402" s="3"/>
      <c r="K9402" s="3"/>
      <c r="L9402" s="3"/>
    </row>
    <row r="9403" spans="9:12" x14ac:dyDescent="0.25">
      <c r="I9403" s="3"/>
      <c r="J9403" s="3"/>
      <c r="K9403" s="3"/>
      <c r="L9403" s="3"/>
    </row>
    <row r="9404" spans="9:12" x14ac:dyDescent="0.25">
      <c r="I9404" s="3"/>
      <c r="J9404" s="3"/>
      <c r="K9404" s="3"/>
      <c r="L9404" s="3"/>
    </row>
    <row r="9405" spans="9:12" x14ac:dyDescent="0.25">
      <c r="I9405" s="3"/>
      <c r="J9405" s="3"/>
      <c r="K9405" s="3"/>
      <c r="L9405" s="3"/>
    </row>
    <row r="9406" spans="9:12" x14ac:dyDescent="0.25">
      <c r="I9406" s="3"/>
      <c r="J9406" s="3"/>
      <c r="K9406" s="3"/>
      <c r="L9406" s="3"/>
    </row>
    <row r="9407" spans="9:12" x14ac:dyDescent="0.25">
      <c r="I9407" s="3"/>
      <c r="J9407" s="3"/>
      <c r="K9407" s="3"/>
      <c r="L9407" s="3"/>
    </row>
    <row r="9408" spans="9:12" x14ac:dyDescent="0.25">
      <c r="I9408" s="3"/>
      <c r="J9408" s="3"/>
      <c r="K9408" s="3"/>
      <c r="L9408" s="3"/>
    </row>
    <row r="9409" spans="9:12" x14ac:dyDescent="0.25">
      <c r="I9409" s="3"/>
      <c r="J9409" s="3"/>
      <c r="K9409" s="3"/>
      <c r="L9409" s="3"/>
    </row>
    <row r="9410" spans="9:12" x14ac:dyDescent="0.25">
      <c r="I9410" s="3"/>
      <c r="J9410" s="3"/>
      <c r="K9410" s="3"/>
      <c r="L9410" s="3"/>
    </row>
    <row r="9411" spans="9:12" x14ac:dyDescent="0.25">
      <c r="I9411" s="3"/>
      <c r="J9411" s="3"/>
      <c r="K9411" s="3"/>
      <c r="L9411" s="3"/>
    </row>
    <row r="9412" spans="9:12" x14ac:dyDescent="0.25">
      <c r="I9412" s="3"/>
      <c r="J9412" s="3"/>
      <c r="K9412" s="3"/>
      <c r="L9412" s="3"/>
    </row>
    <row r="9413" spans="9:12" x14ac:dyDescent="0.25">
      <c r="I9413" s="3"/>
      <c r="J9413" s="3"/>
      <c r="K9413" s="3"/>
      <c r="L9413" s="3"/>
    </row>
    <row r="9414" spans="9:12" x14ac:dyDescent="0.25">
      <c r="I9414" s="3"/>
      <c r="J9414" s="3"/>
      <c r="K9414" s="3"/>
      <c r="L9414" s="3"/>
    </row>
    <row r="9415" spans="9:12" x14ac:dyDescent="0.25">
      <c r="I9415" s="3"/>
      <c r="J9415" s="3"/>
      <c r="K9415" s="3"/>
      <c r="L9415" s="3"/>
    </row>
    <row r="9416" spans="9:12" x14ac:dyDescent="0.25">
      <c r="I9416" s="3"/>
      <c r="J9416" s="3"/>
      <c r="K9416" s="3"/>
      <c r="L9416" s="3"/>
    </row>
    <row r="9417" spans="9:12" x14ac:dyDescent="0.25">
      <c r="I9417" s="3"/>
      <c r="J9417" s="3"/>
      <c r="K9417" s="3"/>
      <c r="L9417" s="3"/>
    </row>
    <row r="9418" spans="9:12" x14ac:dyDescent="0.25">
      <c r="I9418" s="3"/>
      <c r="J9418" s="3"/>
      <c r="K9418" s="3"/>
      <c r="L9418" s="3"/>
    </row>
    <row r="9419" spans="9:12" x14ac:dyDescent="0.25">
      <c r="I9419" s="3"/>
      <c r="J9419" s="3"/>
      <c r="K9419" s="3"/>
      <c r="L9419" s="3"/>
    </row>
    <row r="9420" spans="9:12" x14ac:dyDescent="0.25">
      <c r="I9420" s="3"/>
      <c r="J9420" s="3"/>
      <c r="K9420" s="3"/>
      <c r="L9420" s="3"/>
    </row>
    <row r="9421" spans="9:12" x14ac:dyDescent="0.25">
      <c r="I9421" s="3"/>
      <c r="J9421" s="3"/>
      <c r="K9421" s="3"/>
      <c r="L9421" s="3"/>
    </row>
    <row r="9422" spans="9:12" x14ac:dyDescent="0.25">
      <c r="I9422" s="3"/>
      <c r="J9422" s="3"/>
      <c r="K9422" s="3"/>
      <c r="L9422" s="3"/>
    </row>
    <row r="9423" spans="9:12" x14ac:dyDescent="0.25">
      <c r="I9423" s="3"/>
      <c r="J9423" s="3"/>
      <c r="K9423" s="3"/>
      <c r="L9423" s="3"/>
    </row>
    <row r="9424" spans="9:12" x14ac:dyDescent="0.25">
      <c r="I9424" s="3"/>
      <c r="J9424" s="3"/>
      <c r="K9424" s="3"/>
      <c r="L9424" s="3"/>
    </row>
    <row r="9425" spans="9:12" x14ac:dyDescent="0.25">
      <c r="I9425" s="3"/>
      <c r="J9425" s="3"/>
      <c r="K9425" s="3"/>
      <c r="L9425" s="3"/>
    </row>
    <row r="9426" spans="9:12" x14ac:dyDescent="0.25">
      <c r="I9426" s="3"/>
      <c r="J9426" s="3"/>
      <c r="K9426" s="3"/>
      <c r="L9426" s="3"/>
    </row>
    <row r="9427" spans="9:12" x14ac:dyDescent="0.25">
      <c r="I9427" s="3"/>
      <c r="J9427" s="3"/>
      <c r="K9427" s="3"/>
      <c r="L9427" s="3"/>
    </row>
    <row r="9428" spans="9:12" x14ac:dyDescent="0.25">
      <c r="I9428" s="3"/>
      <c r="J9428" s="3"/>
      <c r="K9428" s="3"/>
      <c r="L9428" s="3"/>
    </row>
    <row r="9429" spans="9:12" x14ac:dyDescent="0.25">
      <c r="I9429" s="3"/>
      <c r="J9429" s="3"/>
      <c r="K9429" s="3"/>
      <c r="L9429" s="3"/>
    </row>
    <row r="9430" spans="9:12" x14ac:dyDescent="0.25">
      <c r="I9430" s="3"/>
      <c r="J9430" s="3"/>
      <c r="K9430" s="3"/>
      <c r="L9430" s="3"/>
    </row>
    <row r="9431" spans="9:12" x14ac:dyDescent="0.25">
      <c r="I9431" s="3"/>
      <c r="J9431" s="3"/>
      <c r="K9431" s="3"/>
      <c r="L9431" s="3"/>
    </row>
    <row r="9432" spans="9:12" x14ac:dyDescent="0.25">
      <c r="I9432" s="3"/>
      <c r="J9432" s="3"/>
      <c r="K9432" s="3"/>
      <c r="L9432" s="3"/>
    </row>
    <row r="9433" spans="9:12" x14ac:dyDescent="0.25">
      <c r="I9433" s="3"/>
      <c r="J9433" s="3"/>
      <c r="K9433" s="3"/>
      <c r="L9433" s="3"/>
    </row>
    <row r="9434" spans="9:12" x14ac:dyDescent="0.25">
      <c r="I9434" s="3"/>
      <c r="J9434" s="3"/>
      <c r="K9434" s="3"/>
      <c r="L9434" s="3"/>
    </row>
    <row r="9435" spans="9:12" x14ac:dyDescent="0.25">
      <c r="I9435" s="3"/>
      <c r="J9435" s="3"/>
      <c r="K9435" s="3"/>
      <c r="L9435" s="3"/>
    </row>
    <row r="9436" spans="9:12" x14ac:dyDescent="0.25">
      <c r="I9436" s="3"/>
      <c r="J9436" s="3"/>
      <c r="K9436" s="3"/>
      <c r="L9436" s="3"/>
    </row>
    <row r="9437" spans="9:12" x14ac:dyDescent="0.25">
      <c r="I9437" s="3"/>
      <c r="J9437" s="3"/>
      <c r="K9437" s="3"/>
      <c r="L9437" s="3"/>
    </row>
    <row r="9438" spans="9:12" x14ac:dyDescent="0.25">
      <c r="I9438" s="3"/>
      <c r="J9438" s="3"/>
      <c r="K9438" s="3"/>
      <c r="L9438" s="3"/>
    </row>
    <row r="9439" spans="9:12" x14ac:dyDescent="0.25">
      <c r="I9439" s="3"/>
      <c r="J9439" s="3"/>
      <c r="K9439" s="3"/>
      <c r="L9439" s="3"/>
    </row>
    <row r="9440" spans="9:12" x14ac:dyDescent="0.25">
      <c r="I9440" s="3"/>
      <c r="J9440" s="3"/>
      <c r="K9440" s="3"/>
      <c r="L9440" s="3"/>
    </row>
    <row r="9441" spans="9:12" x14ac:dyDescent="0.25">
      <c r="I9441" s="3"/>
      <c r="J9441" s="3"/>
      <c r="K9441" s="3"/>
      <c r="L9441" s="3"/>
    </row>
    <row r="9442" spans="9:12" x14ac:dyDescent="0.25">
      <c r="I9442" s="3"/>
      <c r="J9442" s="3"/>
      <c r="K9442" s="3"/>
      <c r="L9442" s="3"/>
    </row>
    <row r="9443" spans="9:12" x14ac:dyDescent="0.25">
      <c r="I9443" s="3"/>
      <c r="J9443" s="3"/>
      <c r="K9443" s="3"/>
      <c r="L9443" s="3"/>
    </row>
    <row r="9444" spans="9:12" x14ac:dyDescent="0.25">
      <c r="I9444" s="3"/>
      <c r="J9444" s="3"/>
      <c r="K9444" s="3"/>
      <c r="L9444" s="3"/>
    </row>
    <row r="9445" spans="9:12" x14ac:dyDescent="0.25">
      <c r="I9445" s="3"/>
      <c r="J9445" s="3"/>
      <c r="K9445" s="3"/>
      <c r="L9445" s="3"/>
    </row>
    <row r="9446" spans="9:12" x14ac:dyDescent="0.25">
      <c r="I9446" s="3"/>
      <c r="J9446" s="3"/>
      <c r="K9446" s="3"/>
      <c r="L9446" s="3"/>
    </row>
    <row r="9447" spans="9:12" x14ac:dyDescent="0.25">
      <c r="I9447" s="3"/>
      <c r="J9447" s="3"/>
      <c r="K9447" s="3"/>
      <c r="L9447" s="3"/>
    </row>
    <row r="9448" spans="9:12" x14ac:dyDescent="0.25">
      <c r="I9448" s="3"/>
      <c r="J9448" s="3"/>
      <c r="K9448" s="3"/>
      <c r="L9448" s="3"/>
    </row>
    <row r="9449" spans="9:12" x14ac:dyDescent="0.25">
      <c r="I9449" s="3"/>
      <c r="J9449" s="3"/>
      <c r="K9449" s="3"/>
      <c r="L9449" s="3"/>
    </row>
    <row r="9450" spans="9:12" x14ac:dyDescent="0.25">
      <c r="I9450" s="3"/>
      <c r="J9450" s="3"/>
      <c r="K9450" s="3"/>
      <c r="L9450" s="3"/>
    </row>
    <row r="9451" spans="9:12" x14ac:dyDescent="0.25">
      <c r="I9451" s="3"/>
      <c r="J9451" s="3"/>
      <c r="K9451" s="3"/>
      <c r="L9451" s="3"/>
    </row>
    <row r="9452" spans="9:12" x14ac:dyDescent="0.25">
      <c r="I9452" s="3"/>
      <c r="J9452" s="3"/>
      <c r="K9452" s="3"/>
      <c r="L9452" s="3"/>
    </row>
    <row r="9453" spans="9:12" x14ac:dyDescent="0.25">
      <c r="I9453" s="3"/>
      <c r="J9453" s="3"/>
      <c r="K9453" s="3"/>
      <c r="L9453" s="3"/>
    </row>
    <row r="9454" spans="9:12" x14ac:dyDescent="0.25">
      <c r="I9454" s="3"/>
      <c r="J9454" s="3"/>
      <c r="K9454" s="3"/>
      <c r="L9454" s="3"/>
    </row>
    <row r="9455" spans="9:12" x14ac:dyDescent="0.25">
      <c r="I9455" s="3"/>
      <c r="J9455" s="3"/>
      <c r="K9455" s="3"/>
      <c r="L9455" s="3"/>
    </row>
    <row r="9456" spans="9:12" x14ac:dyDescent="0.25">
      <c r="I9456" s="3"/>
      <c r="J9456" s="3"/>
      <c r="K9456" s="3"/>
      <c r="L9456" s="3"/>
    </row>
    <row r="9457" spans="9:12" x14ac:dyDescent="0.25">
      <c r="I9457" s="3"/>
      <c r="J9457" s="3"/>
      <c r="K9457" s="3"/>
      <c r="L9457" s="3"/>
    </row>
    <row r="9458" spans="9:12" x14ac:dyDescent="0.25">
      <c r="I9458" s="3"/>
      <c r="J9458" s="3"/>
      <c r="K9458" s="3"/>
      <c r="L9458" s="3"/>
    </row>
    <row r="9459" spans="9:12" x14ac:dyDescent="0.25">
      <c r="I9459" s="3"/>
      <c r="J9459" s="3"/>
      <c r="K9459" s="3"/>
      <c r="L9459" s="3"/>
    </row>
    <row r="9460" spans="9:12" x14ac:dyDescent="0.25">
      <c r="I9460" s="3"/>
      <c r="J9460" s="3"/>
      <c r="K9460" s="3"/>
      <c r="L9460" s="3"/>
    </row>
    <row r="9461" spans="9:12" x14ac:dyDescent="0.25">
      <c r="I9461" s="3"/>
      <c r="J9461" s="3"/>
      <c r="K9461" s="3"/>
      <c r="L9461" s="3"/>
    </row>
    <row r="9462" spans="9:12" x14ac:dyDescent="0.25">
      <c r="I9462" s="3"/>
      <c r="J9462" s="3"/>
      <c r="K9462" s="3"/>
      <c r="L9462" s="3"/>
    </row>
    <row r="9463" spans="9:12" x14ac:dyDescent="0.25">
      <c r="I9463" s="3"/>
      <c r="J9463" s="3"/>
      <c r="K9463" s="3"/>
      <c r="L9463" s="3"/>
    </row>
    <row r="9464" spans="9:12" x14ac:dyDescent="0.25">
      <c r="I9464" s="3"/>
      <c r="J9464" s="3"/>
      <c r="K9464" s="3"/>
      <c r="L9464" s="3"/>
    </row>
    <row r="9465" spans="9:12" x14ac:dyDescent="0.25">
      <c r="I9465" s="3"/>
      <c r="J9465" s="3"/>
      <c r="K9465" s="3"/>
      <c r="L9465" s="3"/>
    </row>
    <row r="9466" spans="9:12" x14ac:dyDescent="0.25">
      <c r="I9466" s="3"/>
      <c r="J9466" s="3"/>
      <c r="K9466" s="3"/>
      <c r="L9466" s="3"/>
    </row>
    <row r="9467" spans="9:12" x14ac:dyDescent="0.25">
      <c r="I9467" s="3"/>
      <c r="J9467" s="3"/>
      <c r="K9467" s="3"/>
      <c r="L9467" s="3"/>
    </row>
    <row r="9468" spans="9:12" x14ac:dyDescent="0.25">
      <c r="I9468" s="3"/>
      <c r="J9468" s="3"/>
      <c r="K9468" s="3"/>
      <c r="L9468" s="3"/>
    </row>
    <row r="9469" spans="9:12" x14ac:dyDescent="0.25">
      <c r="I9469" s="3"/>
      <c r="J9469" s="3"/>
      <c r="K9469" s="3"/>
      <c r="L9469" s="3"/>
    </row>
    <row r="9470" spans="9:12" x14ac:dyDescent="0.25">
      <c r="I9470" s="3"/>
      <c r="J9470" s="3"/>
      <c r="K9470" s="3"/>
      <c r="L9470" s="3"/>
    </row>
    <row r="9471" spans="9:12" x14ac:dyDescent="0.25">
      <c r="I9471" s="3"/>
      <c r="J9471" s="3"/>
      <c r="K9471" s="3"/>
      <c r="L9471" s="3"/>
    </row>
    <row r="9472" spans="9:12" x14ac:dyDescent="0.25">
      <c r="I9472" s="3"/>
      <c r="J9472" s="3"/>
      <c r="K9472" s="3"/>
      <c r="L9472" s="3"/>
    </row>
    <row r="9473" spans="9:12" x14ac:dyDescent="0.25">
      <c r="I9473" s="3"/>
      <c r="J9473" s="3"/>
      <c r="K9473" s="3"/>
      <c r="L9473" s="3"/>
    </row>
    <row r="9474" spans="9:12" x14ac:dyDescent="0.25">
      <c r="I9474" s="3"/>
      <c r="J9474" s="3"/>
      <c r="K9474" s="3"/>
      <c r="L9474" s="3"/>
    </row>
    <row r="9475" spans="9:12" x14ac:dyDescent="0.25">
      <c r="I9475" s="3"/>
      <c r="J9475" s="3"/>
      <c r="K9475" s="3"/>
      <c r="L9475" s="3"/>
    </row>
    <row r="9476" spans="9:12" x14ac:dyDescent="0.25">
      <c r="I9476" s="3"/>
      <c r="J9476" s="3"/>
      <c r="K9476" s="3"/>
      <c r="L9476" s="3"/>
    </row>
    <row r="9477" spans="9:12" x14ac:dyDescent="0.25">
      <c r="I9477" s="3"/>
      <c r="J9477" s="3"/>
      <c r="K9477" s="3"/>
      <c r="L9477" s="3"/>
    </row>
    <row r="9478" spans="9:12" x14ac:dyDescent="0.25">
      <c r="I9478" s="3"/>
      <c r="J9478" s="3"/>
      <c r="K9478" s="3"/>
      <c r="L9478" s="3"/>
    </row>
    <row r="9479" spans="9:12" x14ac:dyDescent="0.25">
      <c r="I9479" s="3"/>
      <c r="J9479" s="3"/>
      <c r="K9479" s="3"/>
      <c r="L9479" s="3"/>
    </row>
    <row r="9480" spans="9:12" x14ac:dyDescent="0.25">
      <c r="I9480" s="3"/>
      <c r="J9480" s="3"/>
      <c r="K9480" s="3"/>
      <c r="L9480" s="3"/>
    </row>
    <row r="9481" spans="9:12" x14ac:dyDescent="0.25">
      <c r="I9481" s="3"/>
      <c r="J9481" s="3"/>
      <c r="K9481" s="3"/>
      <c r="L9481" s="3"/>
    </row>
    <row r="9482" spans="9:12" x14ac:dyDescent="0.25">
      <c r="I9482" s="3"/>
      <c r="J9482" s="3"/>
      <c r="K9482" s="3"/>
      <c r="L9482" s="3"/>
    </row>
    <row r="9483" spans="9:12" x14ac:dyDescent="0.25">
      <c r="I9483" s="3"/>
      <c r="J9483" s="3"/>
      <c r="K9483" s="3"/>
      <c r="L9483" s="3"/>
    </row>
    <row r="9484" spans="9:12" x14ac:dyDescent="0.25">
      <c r="I9484" s="4"/>
      <c r="J9484" s="4"/>
      <c r="K9484" s="4"/>
      <c r="L9484" s="4"/>
    </row>
    <row r="9485" spans="9:12" x14ac:dyDescent="0.25">
      <c r="I9485" s="3"/>
      <c r="J9485" s="3"/>
      <c r="K9485" s="3"/>
      <c r="L9485" s="3"/>
    </row>
    <row r="9486" spans="9:12" x14ac:dyDescent="0.25">
      <c r="I9486" s="3"/>
      <c r="J9486" s="3"/>
      <c r="K9486" s="3"/>
      <c r="L9486" s="3"/>
    </row>
    <row r="9487" spans="9:12" x14ac:dyDescent="0.25">
      <c r="I9487" s="3"/>
      <c r="J9487" s="3"/>
      <c r="K9487" s="3"/>
      <c r="L9487" s="3"/>
    </row>
    <row r="9488" spans="9:12" x14ac:dyDescent="0.25">
      <c r="I9488" s="3"/>
      <c r="J9488" s="3"/>
      <c r="K9488" s="3"/>
      <c r="L9488" s="3"/>
    </row>
    <row r="9489" spans="9:12" x14ac:dyDescent="0.25">
      <c r="I9489" s="3"/>
      <c r="J9489" s="3"/>
      <c r="K9489" s="3"/>
      <c r="L9489" s="3"/>
    </row>
    <row r="9490" spans="9:12" x14ac:dyDescent="0.25">
      <c r="I9490" s="3"/>
      <c r="J9490" s="3"/>
      <c r="K9490" s="3"/>
      <c r="L9490" s="3"/>
    </row>
    <row r="9491" spans="9:12" x14ac:dyDescent="0.25">
      <c r="I9491" s="3"/>
      <c r="J9491" s="3"/>
      <c r="K9491" s="3"/>
      <c r="L9491" s="3"/>
    </row>
    <row r="9492" spans="9:12" x14ac:dyDescent="0.25">
      <c r="I9492" s="3"/>
      <c r="J9492" s="3"/>
      <c r="K9492" s="3"/>
      <c r="L9492" s="3"/>
    </row>
    <row r="9493" spans="9:12" x14ac:dyDescent="0.25">
      <c r="I9493" s="3"/>
      <c r="J9493" s="3"/>
      <c r="K9493" s="3"/>
      <c r="L9493" s="3"/>
    </row>
    <row r="9494" spans="9:12" x14ac:dyDescent="0.25">
      <c r="I9494" s="3"/>
      <c r="J9494" s="3"/>
      <c r="K9494" s="3"/>
      <c r="L9494" s="3"/>
    </row>
    <row r="9495" spans="9:12" x14ac:dyDescent="0.25">
      <c r="I9495" s="3"/>
      <c r="J9495" s="3"/>
      <c r="K9495" s="3"/>
      <c r="L9495" s="3"/>
    </row>
    <row r="9496" spans="9:12" x14ac:dyDescent="0.25">
      <c r="I9496" s="3"/>
      <c r="J9496" s="3"/>
      <c r="K9496" s="3"/>
      <c r="L9496" s="3"/>
    </row>
    <row r="9497" spans="9:12" x14ac:dyDescent="0.25">
      <c r="I9497" s="3"/>
      <c r="J9497" s="3"/>
      <c r="K9497" s="3"/>
      <c r="L9497" s="3"/>
    </row>
    <row r="9498" spans="9:12" x14ac:dyDescent="0.25">
      <c r="I9498" s="3"/>
      <c r="J9498" s="3"/>
      <c r="K9498" s="3"/>
      <c r="L9498" s="3"/>
    </row>
    <row r="9499" spans="9:12" x14ac:dyDescent="0.25">
      <c r="I9499" s="3"/>
      <c r="J9499" s="3"/>
      <c r="K9499" s="3"/>
      <c r="L9499" s="3"/>
    </row>
    <row r="9500" spans="9:12" x14ac:dyDescent="0.25">
      <c r="I9500" s="3"/>
      <c r="J9500" s="3"/>
      <c r="K9500" s="3"/>
      <c r="L9500" s="3"/>
    </row>
    <row r="9501" spans="9:12" x14ac:dyDescent="0.25">
      <c r="I9501" s="3"/>
      <c r="J9501" s="3"/>
      <c r="K9501" s="3"/>
      <c r="L9501" s="3"/>
    </row>
    <row r="9502" spans="9:12" x14ac:dyDescent="0.25">
      <c r="I9502" s="3"/>
      <c r="J9502" s="3"/>
      <c r="K9502" s="3"/>
      <c r="L9502" s="3"/>
    </row>
    <row r="9503" spans="9:12" x14ac:dyDescent="0.25">
      <c r="I9503" s="3"/>
      <c r="J9503" s="3"/>
      <c r="K9503" s="3"/>
      <c r="L9503" s="3"/>
    </row>
    <row r="9504" spans="9:12" x14ac:dyDescent="0.25">
      <c r="I9504" s="3"/>
      <c r="J9504" s="3"/>
      <c r="K9504" s="3"/>
      <c r="L9504" s="3"/>
    </row>
    <row r="9505" spans="9:12" x14ac:dyDescent="0.25">
      <c r="I9505" s="3"/>
      <c r="J9505" s="3"/>
      <c r="K9505" s="3"/>
      <c r="L9505" s="3"/>
    </row>
    <row r="9506" spans="9:12" x14ac:dyDescent="0.25">
      <c r="I9506" s="3"/>
      <c r="J9506" s="3"/>
      <c r="K9506" s="3"/>
      <c r="L9506" s="3"/>
    </row>
    <row r="9507" spans="9:12" x14ac:dyDescent="0.25">
      <c r="I9507" s="3"/>
      <c r="J9507" s="3"/>
      <c r="K9507" s="3"/>
      <c r="L9507" s="3"/>
    </row>
    <row r="9508" spans="9:12" x14ac:dyDescent="0.25">
      <c r="I9508" s="3"/>
      <c r="J9508" s="3"/>
      <c r="K9508" s="3"/>
      <c r="L9508" s="3"/>
    </row>
    <row r="9509" spans="9:12" x14ac:dyDescent="0.25">
      <c r="I9509" s="3"/>
      <c r="J9509" s="3"/>
      <c r="K9509" s="3"/>
      <c r="L9509" s="3"/>
    </row>
    <row r="9510" spans="9:12" x14ac:dyDescent="0.25">
      <c r="I9510" s="3"/>
      <c r="J9510" s="3"/>
      <c r="K9510" s="3"/>
      <c r="L9510" s="3"/>
    </row>
    <row r="9511" spans="9:12" x14ac:dyDescent="0.25">
      <c r="I9511" s="3"/>
      <c r="J9511" s="3"/>
      <c r="K9511" s="3"/>
      <c r="L9511" s="3"/>
    </row>
    <row r="9512" spans="9:12" x14ac:dyDescent="0.25">
      <c r="I9512" s="3"/>
      <c r="J9512" s="3"/>
      <c r="K9512" s="3"/>
      <c r="L9512" s="3"/>
    </row>
    <row r="9513" spans="9:12" x14ac:dyDescent="0.25">
      <c r="I9513" s="3"/>
      <c r="J9513" s="3"/>
      <c r="K9513" s="3"/>
      <c r="L9513" s="3"/>
    </row>
    <row r="9514" spans="9:12" x14ac:dyDescent="0.25">
      <c r="I9514" s="3"/>
      <c r="J9514" s="3"/>
      <c r="K9514" s="3"/>
      <c r="L9514" s="3"/>
    </row>
    <row r="9515" spans="9:12" x14ac:dyDescent="0.25">
      <c r="I9515" s="3"/>
      <c r="J9515" s="3"/>
      <c r="K9515" s="3"/>
      <c r="L9515" s="3"/>
    </row>
    <row r="9516" spans="9:12" x14ac:dyDescent="0.25">
      <c r="I9516" s="3"/>
      <c r="J9516" s="3"/>
      <c r="K9516" s="3"/>
      <c r="L9516" s="3"/>
    </row>
    <row r="9517" spans="9:12" x14ac:dyDescent="0.25">
      <c r="I9517" s="3"/>
      <c r="J9517" s="3"/>
      <c r="K9517" s="3"/>
      <c r="L9517" s="3"/>
    </row>
    <row r="9518" spans="9:12" x14ac:dyDescent="0.25">
      <c r="I9518" s="3"/>
      <c r="J9518" s="3"/>
      <c r="K9518" s="3"/>
      <c r="L9518" s="3"/>
    </row>
    <row r="9519" spans="9:12" x14ac:dyDescent="0.25">
      <c r="I9519" s="3"/>
      <c r="J9519" s="3"/>
      <c r="K9519" s="3"/>
      <c r="L9519" s="3"/>
    </row>
    <row r="9520" spans="9:12" x14ac:dyDescent="0.25">
      <c r="I9520" s="3"/>
      <c r="J9520" s="3"/>
      <c r="K9520" s="3"/>
      <c r="L9520" s="3"/>
    </row>
    <row r="9521" spans="9:12" x14ac:dyDescent="0.25">
      <c r="I9521" s="3"/>
      <c r="J9521" s="3"/>
      <c r="K9521" s="3"/>
      <c r="L9521" s="3"/>
    </row>
    <row r="9522" spans="9:12" x14ac:dyDescent="0.25">
      <c r="I9522" s="3"/>
      <c r="J9522" s="3"/>
      <c r="K9522" s="3"/>
      <c r="L9522" s="3"/>
    </row>
    <row r="9523" spans="9:12" x14ac:dyDescent="0.25">
      <c r="I9523" s="3"/>
      <c r="J9523" s="3"/>
      <c r="K9523" s="3"/>
      <c r="L9523" s="3"/>
    </row>
    <row r="9524" spans="9:12" x14ac:dyDescent="0.25">
      <c r="I9524" s="3"/>
      <c r="J9524" s="3"/>
      <c r="K9524" s="3"/>
      <c r="L9524" s="3"/>
    </row>
    <row r="9525" spans="9:12" x14ac:dyDescent="0.25">
      <c r="I9525" s="3"/>
      <c r="J9525" s="3"/>
      <c r="K9525" s="3"/>
      <c r="L9525" s="3"/>
    </row>
    <row r="9526" spans="9:12" x14ac:dyDescent="0.25">
      <c r="I9526" s="3"/>
      <c r="J9526" s="3"/>
      <c r="K9526" s="3"/>
      <c r="L9526" s="3"/>
    </row>
    <row r="9527" spans="9:12" x14ac:dyDescent="0.25">
      <c r="I9527" s="3"/>
      <c r="J9527" s="3"/>
      <c r="K9527" s="3"/>
      <c r="L9527" s="3"/>
    </row>
    <row r="9528" spans="9:12" x14ac:dyDescent="0.25">
      <c r="I9528" s="3"/>
      <c r="J9528" s="3"/>
      <c r="K9528" s="3"/>
      <c r="L9528" s="3"/>
    </row>
    <row r="9529" spans="9:12" x14ac:dyDescent="0.25">
      <c r="I9529" s="3"/>
      <c r="J9529" s="3"/>
      <c r="K9529" s="3"/>
      <c r="L9529" s="3"/>
    </row>
    <row r="9530" spans="9:12" x14ac:dyDescent="0.25">
      <c r="I9530" s="3"/>
      <c r="J9530" s="3"/>
      <c r="K9530" s="3"/>
      <c r="L9530" s="3"/>
    </row>
    <row r="9531" spans="9:12" x14ac:dyDescent="0.25">
      <c r="I9531" s="3"/>
      <c r="J9531" s="3"/>
      <c r="K9531" s="3"/>
      <c r="L9531" s="3"/>
    </row>
    <row r="9532" spans="9:12" x14ac:dyDescent="0.25">
      <c r="I9532" s="3"/>
      <c r="J9532" s="3"/>
      <c r="K9532" s="3"/>
      <c r="L9532" s="3"/>
    </row>
    <row r="9533" spans="9:12" x14ac:dyDescent="0.25">
      <c r="I9533" s="3"/>
      <c r="J9533" s="3"/>
      <c r="K9533" s="3"/>
      <c r="L9533" s="3"/>
    </row>
    <row r="9534" spans="9:12" x14ac:dyDescent="0.25">
      <c r="I9534" s="3"/>
      <c r="J9534" s="3"/>
      <c r="K9534" s="3"/>
      <c r="L9534" s="3"/>
    </row>
    <row r="9535" spans="9:12" x14ac:dyDescent="0.25">
      <c r="I9535" s="3"/>
      <c r="J9535" s="3"/>
      <c r="K9535" s="3"/>
      <c r="L9535" s="3"/>
    </row>
    <row r="9536" spans="9:12" x14ac:dyDescent="0.25">
      <c r="I9536" s="3"/>
      <c r="J9536" s="3"/>
      <c r="K9536" s="3"/>
      <c r="L9536" s="3"/>
    </row>
    <row r="9537" spans="9:12" x14ac:dyDescent="0.25">
      <c r="I9537" s="3"/>
      <c r="J9537" s="3"/>
      <c r="K9537" s="3"/>
      <c r="L9537" s="3"/>
    </row>
    <row r="9538" spans="9:12" x14ac:dyDescent="0.25">
      <c r="I9538" s="3"/>
      <c r="J9538" s="3"/>
      <c r="K9538" s="3"/>
      <c r="L9538" s="3"/>
    </row>
    <row r="9539" spans="9:12" x14ac:dyDescent="0.25">
      <c r="I9539" s="3"/>
      <c r="J9539" s="3"/>
      <c r="K9539" s="3"/>
      <c r="L9539" s="3"/>
    </row>
    <row r="9540" spans="9:12" x14ac:dyDescent="0.25">
      <c r="I9540" s="3"/>
      <c r="J9540" s="3"/>
      <c r="K9540" s="3"/>
      <c r="L9540" s="3"/>
    </row>
    <row r="9541" spans="9:12" x14ac:dyDescent="0.25">
      <c r="I9541" s="3"/>
      <c r="J9541" s="3"/>
      <c r="K9541" s="3"/>
      <c r="L9541" s="3"/>
    </row>
    <row r="9542" spans="9:12" x14ac:dyDescent="0.25">
      <c r="I9542" s="3"/>
      <c r="J9542" s="3"/>
      <c r="K9542" s="3"/>
      <c r="L9542" s="3"/>
    </row>
    <row r="9543" spans="9:12" x14ac:dyDescent="0.25">
      <c r="I9543" s="3"/>
      <c r="J9543" s="3"/>
      <c r="K9543" s="3"/>
      <c r="L9543" s="3"/>
    </row>
    <row r="9544" spans="9:12" x14ac:dyDescent="0.25">
      <c r="I9544" s="3"/>
      <c r="J9544" s="3"/>
      <c r="K9544" s="3"/>
      <c r="L9544" s="3"/>
    </row>
    <row r="9545" spans="9:12" x14ac:dyDescent="0.25">
      <c r="I9545" s="3"/>
      <c r="J9545" s="3"/>
      <c r="K9545" s="3"/>
      <c r="L9545" s="3"/>
    </row>
    <row r="9546" spans="9:12" x14ac:dyDescent="0.25">
      <c r="I9546" s="3"/>
      <c r="J9546" s="3"/>
      <c r="K9546" s="3"/>
      <c r="L9546" s="3"/>
    </row>
    <row r="9547" spans="9:12" x14ac:dyDescent="0.25">
      <c r="I9547" s="3"/>
      <c r="J9547" s="3"/>
      <c r="K9547" s="3"/>
      <c r="L9547" s="3"/>
    </row>
    <row r="9548" spans="9:12" x14ac:dyDescent="0.25">
      <c r="I9548" s="3"/>
      <c r="J9548" s="3"/>
      <c r="K9548" s="3"/>
      <c r="L9548" s="3"/>
    </row>
    <row r="9549" spans="9:12" x14ac:dyDescent="0.25">
      <c r="I9549" s="3"/>
      <c r="J9549" s="3"/>
      <c r="K9549" s="3"/>
      <c r="L9549" s="3"/>
    </row>
    <row r="9550" spans="9:12" x14ac:dyDescent="0.25">
      <c r="I9550" s="3"/>
      <c r="J9550" s="3"/>
      <c r="K9550" s="3"/>
      <c r="L9550" s="3"/>
    </row>
    <row r="9551" spans="9:12" x14ac:dyDescent="0.25">
      <c r="I9551" s="3"/>
      <c r="J9551" s="3"/>
      <c r="K9551" s="3"/>
      <c r="L9551" s="3"/>
    </row>
    <row r="9552" spans="9:12" x14ac:dyDescent="0.25">
      <c r="I9552" s="3"/>
      <c r="J9552" s="3"/>
      <c r="K9552" s="3"/>
      <c r="L9552" s="3"/>
    </row>
    <row r="9553" spans="9:12" x14ac:dyDescent="0.25">
      <c r="I9553" s="3"/>
      <c r="J9553" s="3"/>
      <c r="K9553" s="3"/>
      <c r="L9553" s="3"/>
    </row>
    <row r="9554" spans="9:12" x14ac:dyDescent="0.25">
      <c r="I9554" s="3"/>
      <c r="J9554" s="3"/>
      <c r="K9554" s="3"/>
      <c r="L9554" s="3"/>
    </row>
    <row r="9555" spans="9:12" x14ac:dyDescent="0.25">
      <c r="I9555" s="3"/>
      <c r="J9555" s="3"/>
      <c r="K9555" s="3"/>
      <c r="L9555" s="3"/>
    </row>
    <row r="9556" spans="9:12" x14ac:dyDescent="0.25">
      <c r="I9556" s="3"/>
      <c r="J9556" s="3"/>
      <c r="K9556" s="3"/>
      <c r="L9556" s="3"/>
    </row>
    <row r="9557" spans="9:12" x14ac:dyDescent="0.25">
      <c r="I9557" s="3"/>
      <c r="J9557" s="3"/>
      <c r="K9557" s="3"/>
      <c r="L9557" s="3"/>
    </row>
    <row r="9558" spans="9:12" x14ac:dyDescent="0.25">
      <c r="I9558" s="3"/>
      <c r="J9558" s="3"/>
      <c r="K9558" s="3"/>
      <c r="L9558" s="3"/>
    </row>
    <row r="9559" spans="9:12" x14ac:dyDescent="0.25">
      <c r="I9559" s="3"/>
      <c r="J9559" s="3"/>
      <c r="K9559" s="3"/>
      <c r="L9559" s="3"/>
    </row>
    <row r="9560" spans="9:12" x14ac:dyDescent="0.25">
      <c r="I9560" s="3"/>
      <c r="J9560" s="3"/>
      <c r="K9560" s="3"/>
      <c r="L9560" s="3"/>
    </row>
    <row r="9561" spans="9:12" x14ac:dyDescent="0.25">
      <c r="I9561" s="3"/>
      <c r="J9561" s="3"/>
      <c r="K9561" s="3"/>
      <c r="L9561" s="3"/>
    </row>
    <row r="9562" spans="9:12" x14ac:dyDescent="0.25">
      <c r="I9562" s="3"/>
      <c r="J9562" s="3"/>
      <c r="K9562" s="3"/>
      <c r="L9562" s="3"/>
    </row>
    <row r="9563" spans="9:12" x14ac:dyDescent="0.25">
      <c r="I9563" s="3"/>
      <c r="J9563" s="3"/>
      <c r="K9563" s="3"/>
      <c r="L9563" s="3"/>
    </row>
    <row r="9564" spans="9:12" x14ac:dyDescent="0.25">
      <c r="I9564" s="3"/>
      <c r="J9564" s="3"/>
      <c r="K9564" s="3"/>
      <c r="L9564" s="3"/>
    </row>
    <row r="9565" spans="9:12" x14ac:dyDescent="0.25">
      <c r="I9565" s="3"/>
      <c r="J9565" s="3"/>
      <c r="K9565" s="3"/>
      <c r="L9565" s="3"/>
    </row>
    <row r="9566" spans="9:12" x14ac:dyDescent="0.25">
      <c r="I9566" s="3"/>
      <c r="J9566" s="3"/>
      <c r="K9566" s="3"/>
      <c r="L9566" s="3"/>
    </row>
    <row r="9567" spans="9:12" x14ac:dyDescent="0.25">
      <c r="I9567" s="3"/>
      <c r="J9567" s="3"/>
      <c r="K9567" s="3"/>
      <c r="L9567" s="3"/>
    </row>
    <row r="9568" spans="9:12" x14ac:dyDescent="0.25">
      <c r="I9568" s="3"/>
      <c r="J9568" s="3"/>
      <c r="K9568" s="3"/>
      <c r="L9568" s="3"/>
    </row>
    <row r="9569" spans="9:12" x14ac:dyDescent="0.25">
      <c r="I9569" s="3"/>
      <c r="J9569" s="3"/>
      <c r="K9569" s="3"/>
      <c r="L9569" s="3"/>
    </row>
    <row r="9570" spans="9:12" x14ac:dyDescent="0.25">
      <c r="I9570" s="3"/>
      <c r="J9570" s="3"/>
      <c r="K9570" s="3"/>
      <c r="L9570" s="3"/>
    </row>
    <row r="9571" spans="9:12" x14ac:dyDescent="0.25">
      <c r="I9571" s="3"/>
      <c r="J9571" s="3"/>
      <c r="K9571" s="3"/>
      <c r="L9571" s="3"/>
    </row>
    <row r="9572" spans="9:12" x14ac:dyDescent="0.25">
      <c r="I9572" s="3"/>
      <c r="J9572" s="3"/>
      <c r="K9572" s="3"/>
      <c r="L9572" s="3"/>
    </row>
    <row r="9573" spans="9:12" x14ac:dyDescent="0.25">
      <c r="I9573" s="3"/>
      <c r="J9573" s="3"/>
      <c r="K9573" s="3"/>
      <c r="L9573" s="3"/>
    </row>
    <row r="9574" spans="9:12" x14ac:dyDescent="0.25">
      <c r="I9574" s="3"/>
      <c r="J9574" s="3"/>
      <c r="K9574" s="3"/>
      <c r="L9574" s="3"/>
    </row>
    <row r="9575" spans="9:12" x14ac:dyDescent="0.25">
      <c r="I9575" s="3"/>
      <c r="J9575" s="3"/>
      <c r="K9575" s="3"/>
      <c r="L9575" s="3"/>
    </row>
    <row r="9576" spans="9:12" x14ac:dyDescent="0.25">
      <c r="I9576" s="3"/>
      <c r="J9576" s="3"/>
      <c r="K9576" s="3"/>
      <c r="L9576" s="3"/>
    </row>
    <row r="9577" spans="9:12" x14ac:dyDescent="0.25">
      <c r="I9577" s="3"/>
      <c r="J9577" s="3"/>
      <c r="K9577" s="3"/>
      <c r="L9577" s="3"/>
    </row>
    <row r="9578" spans="9:12" x14ac:dyDescent="0.25">
      <c r="I9578" s="3"/>
      <c r="J9578" s="3"/>
      <c r="K9578" s="3"/>
      <c r="L9578" s="3"/>
    </row>
    <row r="9579" spans="9:12" x14ac:dyDescent="0.25">
      <c r="I9579" s="3"/>
      <c r="J9579" s="3"/>
      <c r="K9579" s="3"/>
      <c r="L9579" s="3"/>
    </row>
    <row r="9580" spans="9:12" x14ac:dyDescent="0.25">
      <c r="I9580" s="3"/>
      <c r="J9580" s="3"/>
      <c r="K9580" s="3"/>
      <c r="L9580" s="3"/>
    </row>
    <row r="9581" spans="9:12" x14ac:dyDescent="0.25">
      <c r="I9581" s="3"/>
      <c r="J9581" s="3"/>
      <c r="K9581" s="3"/>
      <c r="L9581" s="3"/>
    </row>
    <row r="9582" spans="9:12" x14ac:dyDescent="0.25">
      <c r="I9582" s="3"/>
      <c r="J9582" s="3"/>
      <c r="K9582" s="3"/>
      <c r="L9582" s="3"/>
    </row>
    <row r="9583" spans="9:12" x14ac:dyDescent="0.25">
      <c r="I9583" s="3"/>
      <c r="J9583" s="3"/>
      <c r="K9583" s="3"/>
      <c r="L9583" s="3"/>
    </row>
    <row r="9584" spans="9:12" x14ac:dyDescent="0.25">
      <c r="I9584" s="3"/>
      <c r="J9584" s="3"/>
      <c r="K9584" s="3"/>
      <c r="L9584" s="3"/>
    </row>
    <row r="9585" spans="9:12" x14ac:dyDescent="0.25">
      <c r="I9585" s="3"/>
      <c r="J9585" s="3"/>
      <c r="K9585" s="3"/>
      <c r="L9585" s="3"/>
    </row>
    <row r="9586" spans="9:12" x14ac:dyDescent="0.25">
      <c r="I9586" s="3"/>
      <c r="J9586" s="3"/>
      <c r="K9586" s="3"/>
      <c r="L9586" s="3"/>
    </row>
    <row r="9587" spans="9:12" x14ac:dyDescent="0.25">
      <c r="I9587" s="3"/>
      <c r="J9587" s="3"/>
      <c r="K9587" s="3"/>
      <c r="L9587" s="3"/>
    </row>
    <row r="9588" spans="9:12" x14ac:dyDescent="0.25">
      <c r="I9588" s="3"/>
      <c r="J9588" s="3"/>
      <c r="K9588" s="3"/>
      <c r="L9588" s="3"/>
    </row>
    <row r="9589" spans="9:12" x14ac:dyDescent="0.25">
      <c r="I9589" s="3"/>
      <c r="J9589" s="3"/>
      <c r="K9589" s="3"/>
      <c r="L9589" s="3"/>
    </row>
    <row r="9590" spans="9:12" x14ac:dyDescent="0.25">
      <c r="I9590" s="3"/>
      <c r="J9590" s="3"/>
      <c r="K9590" s="3"/>
      <c r="L9590" s="3"/>
    </row>
    <row r="9591" spans="9:12" x14ac:dyDescent="0.25">
      <c r="I9591" s="3"/>
      <c r="J9591" s="3"/>
      <c r="K9591" s="3"/>
      <c r="L9591" s="3"/>
    </row>
    <row r="9592" spans="9:12" x14ac:dyDescent="0.25">
      <c r="I9592" s="3"/>
      <c r="J9592" s="3"/>
      <c r="K9592" s="3"/>
      <c r="L9592" s="3"/>
    </row>
    <row r="9593" spans="9:12" x14ac:dyDescent="0.25">
      <c r="I9593" s="3"/>
      <c r="J9593" s="3"/>
      <c r="K9593" s="3"/>
      <c r="L9593" s="3"/>
    </row>
    <row r="9594" spans="9:12" x14ac:dyDescent="0.25">
      <c r="I9594" s="3"/>
      <c r="J9594" s="3"/>
      <c r="K9594" s="3"/>
      <c r="L9594" s="3"/>
    </row>
    <row r="9595" spans="9:12" x14ac:dyDescent="0.25">
      <c r="I9595" s="3"/>
      <c r="J9595" s="3"/>
      <c r="K9595" s="3"/>
      <c r="L9595" s="3"/>
    </row>
    <row r="9596" spans="9:12" x14ac:dyDescent="0.25">
      <c r="I9596" s="3"/>
      <c r="J9596" s="3"/>
      <c r="K9596" s="3"/>
      <c r="L9596" s="3"/>
    </row>
    <row r="9597" spans="9:12" x14ac:dyDescent="0.25">
      <c r="I9597" s="3"/>
      <c r="J9597" s="3"/>
      <c r="K9597" s="3"/>
      <c r="L9597" s="3"/>
    </row>
    <row r="9598" spans="9:12" x14ac:dyDescent="0.25">
      <c r="I9598" s="3"/>
      <c r="J9598" s="3"/>
      <c r="K9598" s="3"/>
      <c r="L9598" s="3"/>
    </row>
    <row r="9599" spans="9:12" x14ac:dyDescent="0.25">
      <c r="I9599" s="3"/>
      <c r="J9599" s="3"/>
      <c r="K9599" s="3"/>
      <c r="L9599" s="3"/>
    </row>
    <row r="9600" spans="9:12" x14ac:dyDescent="0.25">
      <c r="I9600" s="3"/>
      <c r="J9600" s="3"/>
      <c r="K9600" s="3"/>
      <c r="L9600" s="3"/>
    </row>
    <row r="9601" spans="9:12" x14ac:dyDescent="0.25">
      <c r="I9601" s="3"/>
      <c r="J9601" s="3"/>
      <c r="K9601" s="3"/>
      <c r="L9601" s="3"/>
    </row>
    <row r="9602" spans="9:12" x14ac:dyDescent="0.25">
      <c r="I9602" s="3"/>
      <c r="J9602" s="3"/>
      <c r="K9602" s="3"/>
      <c r="L9602" s="3"/>
    </row>
    <row r="9603" spans="9:12" x14ac:dyDescent="0.25">
      <c r="I9603" s="3"/>
      <c r="J9603" s="3"/>
      <c r="K9603" s="3"/>
      <c r="L9603" s="3"/>
    </row>
    <row r="9604" spans="9:12" x14ac:dyDescent="0.25">
      <c r="I9604" s="3"/>
      <c r="J9604" s="3"/>
      <c r="K9604" s="3"/>
      <c r="L9604" s="3"/>
    </row>
    <row r="9605" spans="9:12" x14ac:dyDescent="0.25">
      <c r="I9605" s="3"/>
      <c r="J9605" s="3"/>
      <c r="K9605" s="3"/>
      <c r="L9605" s="3"/>
    </row>
    <row r="9606" spans="9:12" x14ac:dyDescent="0.25">
      <c r="I9606" s="3"/>
      <c r="J9606" s="3"/>
      <c r="K9606" s="3"/>
      <c r="L9606" s="3"/>
    </row>
    <row r="9607" spans="9:12" x14ac:dyDescent="0.25">
      <c r="I9607" s="3"/>
      <c r="J9607" s="3"/>
      <c r="K9607" s="3"/>
      <c r="L9607" s="3"/>
    </row>
    <row r="9608" spans="9:12" x14ac:dyDescent="0.25">
      <c r="I9608" s="3"/>
      <c r="J9608" s="3"/>
      <c r="K9608" s="3"/>
      <c r="L9608" s="3"/>
    </row>
    <row r="9609" spans="9:12" x14ac:dyDescent="0.25">
      <c r="I9609" s="3"/>
      <c r="J9609" s="3"/>
      <c r="K9609" s="3"/>
      <c r="L9609" s="3"/>
    </row>
    <row r="9610" spans="9:12" x14ac:dyDescent="0.25">
      <c r="I9610" s="3"/>
      <c r="J9610" s="3"/>
      <c r="K9610" s="3"/>
      <c r="L9610" s="3"/>
    </row>
    <row r="9611" spans="9:12" x14ac:dyDescent="0.25">
      <c r="I9611" s="3"/>
      <c r="J9611" s="3"/>
      <c r="K9611" s="3"/>
      <c r="L9611" s="3"/>
    </row>
    <row r="9612" spans="9:12" x14ac:dyDescent="0.25">
      <c r="I9612" s="3"/>
      <c r="J9612" s="3"/>
      <c r="K9612" s="3"/>
      <c r="L9612" s="3"/>
    </row>
    <row r="9613" spans="9:12" x14ac:dyDescent="0.25">
      <c r="I9613" s="3"/>
      <c r="J9613" s="3"/>
      <c r="K9613" s="3"/>
      <c r="L9613" s="3"/>
    </row>
    <row r="9614" spans="9:12" x14ac:dyDescent="0.25">
      <c r="I9614" s="3"/>
      <c r="J9614" s="3"/>
      <c r="K9614" s="3"/>
      <c r="L9614" s="3"/>
    </row>
    <row r="9615" spans="9:12" x14ac:dyDescent="0.25">
      <c r="I9615" s="3"/>
      <c r="J9615" s="3"/>
      <c r="K9615" s="3"/>
      <c r="L9615" s="3"/>
    </row>
    <row r="9616" spans="9:12" x14ac:dyDescent="0.25">
      <c r="I9616" s="3"/>
      <c r="J9616" s="3"/>
      <c r="K9616" s="3"/>
      <c r="L9616" s="3"/>
    </row>
    <row r="9617" spans="9:12" x14ac:dyDescent="0.25">
      <c r="I9617" s="3"/>
      <c r="J9617" s="3"/>
      <c r="K9617" s="3"/>
      <c r="L9617" s="3"/>
    </row>
    <row r="9618" spans="9:12" x14ac:dyDescent="0.25">
      <c r="I9618" s="3"/>
      <c r="J9618" s="3"/>
      <c r="K9618" s="3"/>
      <c r="L9618" s="3"/>
    </row>
    <row r="9619" spans="9:12" x14ac:dyDescent="0.25">
      <c r="I9619" s="3"/>
      <c r="J9619" s="3"/>
      <c r="K9619" s="3"/>
      <c r="L9619" s="3"/>
    </row>
    <row r="9620" spans="9:12" x14ac:dyDescent="0.25">
      <c r="I9620" s="3"/>
      <c r="J9620" s="3"/>
      <c r="K9620" s="3"/>
      <c r="L9620" s="3"/>
    </row>
    <row r="9621" spans="9:12" x14ac:dyDescent="0.25">
      <c r="I9621" s="3"/>
      <c r="J9621" s="3"/>
      <c r="K9621" s="3"/>
      <c r="L9621" s="3"/>
    </row>
    <row r="9622" spans="9:12" x14ac:dyDescent="0.25">
      <c r="I9622" s="3"/>
      <c r="J9622" s="3"/>
      <c r="K9622" s="3"/>
      <c r="L9622" s="3"/>
    </row>
    <row r="9623" spans="9:12" x14ac:dyDescent="0.25">
      <c r="I9623" s="3"/>
      <c r="J9623" s="3"/>
      <c r="K9623" s="3"/>
      <c r="L9623" s="3"/>
    </row>
    <row r="9624" spans="9:12" x14ac:dyDescent="0.25">
      <c r="I9624" s="3"/>
      <c r="J9624" s="3"/>
      <c r="K9624" s="3"/>
      <c r="L9624" s="3"/>
    </row>
    <row r="9625" spans="9:12" x14ac:dyDescent="0.25">
      <c r="I9625" s="3"/>
      <c r="J9625" s="3"/>
      <c r="K9625" s="3"/>
      <c r="L9625" s="3"/>
    </row>
    <row r="9626" spans="9:12" x14ac:dyDescent="0.25">
      <c r="I9626" s="3"/>
      <c r="J9626" s="3"/>
      <c r="K9626" s="3"/>
      <c r="L9626" s="3"/>
    </row>
    <row r="9627" spans="9:12" x14ac:dyDescent="0.25">
      <c r="I9627" s="3"/>
      <c r="J9627" s="3"/>
      <c r="K9627" s="3"/>
      <c r="L9627" s="3"/>
    </row>
    <row r="9628" spans="9:12" x14ac:dyDescent="0.25">
      <c r="I9628" s="3"/>
      <c r="J9628" s="3"/>
      <c r="K9628" s="3"/>
      <c r="L9628" s="3"/>
    </row>
    <row r="9629" spans="9:12" x14ac:dyDescent="0.25">
      <c r="I9629" s="3"/>
      <c r="J9629" s="3"/>
      <c r="K9629" s="3"/>
      <c r="L9629" s="3"/>
    </row>
    <row r="9630" spans="9:12" x14ac:dyDescent="0.25">
      <c r="I9630" s="3"/>
      <c r="J9630" s="3"/>
      <c r="K9630" s="3"/>
      <c r="L9630" s="3"/>
    </row>
    <row r="9631" spans="9:12" x14ac:dyDescent="0.25">
      <c r="I9631" s="3"/>
      <c r="J9631" s="3"/>
      <c r="K9631" s="3"/>
      <c r="L9631" s="3"/>
    </row>
    <row r="9632" spans="9:12" x14ac:dyDescent="0.25">
      <c r="I9632" s="3"/>
      <c r="J9632" s="3"/>
      <c r="K9632" s="3"/>
      <c r="L9632" s="3"/>
    </row>
    <row r="9633" spans="9:12" x14ac:dyDescent="0.25">
      <c r="I9633" s="3"/>
      <c r="J9633" s="3"/>
      <c r="K9633" s="3"/>
      <c r="L9633" s="3"/>
    </row>
    <row r="9634" spans="9:12" x14ac:dyDescent="0.25">
      <c r="I9634" s="3"/>
      <c r="J9634" s="3"/>
      <c r="K9634" s="3"/>
      <c r="L9634" s="3"/>
    </row>
    <row r="9635" spans="9:12" x14ac:dyDescent="0.25">
      <c r="I9635" s="3"/>
      <c r="J9635" s="3"/>
      <c r="K9635" s="3"/>
      <c r="L9635" s="3"/>
    </row>
    <row r="9636" spans="9:12" x14ac:dyDescent="0.25">
      <c r="I9636" s="3"/>
      <c r="J9636" s="3"/>
      <c r="K9636" s="3"/>
      <c r="L9636" s="3"/>
    </row>
    <row r="9637" spans="9:12" x14ac:dyDescent="0.25">
      <c r="I9637" s="3"/>
      <c r="J9637" s="3"/>
      <c r="K9637" s="3"/>
      <c r="L9637" s="3"/>
    </row>
    <row r="9638" spans="9:12" x14ac:dyDescent="0.25">
      <c r="I9638" s="3"/>
      <c r="J9638" s="3"/>
      <c r="K9638" s="3"/>
      <c r="L9638" s="3"/>
    </row>
    <row r="9639" spans="9:12" x14ac:dyDescent="0.25">
      <c r="I9639" s="3"/>
      <c r="J9639" s="3"/>
      <c r="K9639" s="3"/>
      <c r="L9639" s="3"/>
    </row>
    <row r="9640" spans="9:12" x14ac:dyDescent="0.25">
      <c r="I9640" s="3"/>
      <c r="J9640" s="3"/>
      <c r="K9640" s="3"/>
      <c r="L9640" s="3"/>
    </row>
    <row r="9641" spans="9:12" x14ac:dyDescent="0.25">
      <c r="I9641" s="3"/>
      <c r="J9641" s="3"/>
      <c r="K9641" s="3"/>
      <c r="L9641" s="3"/>
    </row>
    <row r="9642" spans="9:12" x14ac:dyDescent="0.25">
      <c r="I9642" s="3"/>
      <c r="J9642" s="3"/>
      <c r="K9642" s="3"/>
      <c r="L9642" s="3"/>
    </row>
    <row r="9643" spans="9:12" x14ac:dyDescent="0.25">
      <c r="I9643" s="3"/>
      <c r="J9643" s="3"/>
      <c r="K9643" s="3"/>
      <c r="L9643" s="3"/>
    </row>
    <row r="9644" spans="9:12" x14ac:dyDescent="0.25">
      <c r="I9644" s="3"/>
      <c r="J9644" s="3"/>
      <c r="K9644" s="3"/>
      <c r="L9644" s="3"/>
    </row>
    <row r="9645" spans="9:12" x14ac:dyDescent="0.25">
      <c r="I9645" s="3"/>
      <c r="J9645" s="3"/>
      <c r="K9645" s="3"/>
      <c r="L9645" s="3"/>
    </row>
    <row r="9646" spans="9:12" x14ac:dyDescent="0.25">
      <c r="I9646" s="3"/>
      <c r="J9646" s="3"/>
      <c r="K9646" s="3"/>
      <c r="L9646" s="3"/>
    </row>
    <row r="9647" spans="9:12" x14ac:dyDescent="0.25">
      <c r="I9647" s="3"/>
      <c r="J9647" s="3"/>
      <c r="K9647" s="3"/>
      <c r="L9647" s="3"/>
    </row>
    <row r="9648" spans="9:12" x14ac:dyDescent="0.25">
      <c r="I9648" s="3"/>
      <c r="J9648" s="3"/>
      <c r="K9648" s="3"/>
      <c r="L9648" s="3"/>
    </row>
    <row r="9649" spans="9:12" x14ac:dyDescent="0.25">
      <c r="I9649" s="3"/>
      <c r="J9649" s="3"/>
      <c r="K9649" s="3"/>
      <c r="L9649" s="3"/>
    </row>
    <row r="9650" spans="9:12" x14ac:dyDescent="0.25">
      <c r="I9650" s="3"/>
      <c r="J9650" s="3"/>
      <c r="K9650" s="3"/>
      <c r="L9650" s="3"/>
    </row>
    <row r="9651" spans="9:12" x14ac:dyDescent="0.25">
      <c r="I9651" s="3"/>
      <c r="J9651" s="3"/>
      <c r="K9651" s="3"/>
      <c r="L9651" s="3"/>
    </row>
    <row r="9652" spans="9:12" x14ac:dyDescent="0.25">
      <c r="I9652" s="3"/>
      <c r="J9652" s="3"/>
      <c r="K9652" s="3"/>
      <c r="L9652" s="3"/>
    </row>
    <row r="9653" spans="9:12" x14ac:dyDescent="0.25">
      <c r="I9653" s="3"/>
      <c r="J9653" s="3"/>
      <c r="K9653" s="3"/>
      <c r="L9653" s="3"/>
    </row>
    <row r="9654" spans="9:12" x14ac:dyDescent="0.25">
      <c r="I9654" s="3"/>
      <c r="J9654" s="3"/>
      <c r="K9654" s="3"/>
      <c r="L9654" s="3"/>
    </row>
    <row r="9655" spans="9:12" x14ac:dyDescent="0.25">
      <c r="I9655" s="3"/>
      <c r="J9655" s="3"/>
      <c r="K9655" s="3"/>
      <c r="L9655" s="3"/>
    </row>
    <row r="9656" spans="9:12" x14ac:dyDescent="0.25">
      <c r="I9656" s="3"/>
      <c r="J9656" s="3"/>
      <c r="K9656" s="3"/>
      <c r="L9656" s="3"/>
    </row>
    <row r="9657" spans="9:12" x14ac:dyDescent="0.25">
      <c r="I9657" s="3"/>
      <c r="J9657" s="3"/>
      <c r="K9657" s="3"/>
      <c r="L9657" s="3"/>
    </row>
    <row r="9658" spans="9:12" x14ac:dyDescent="0.25">
      <c r="I9658" s="3"/>
      <c r="J9658" s="3"/>
      <c r="K9658" s="3"/>
      <c r="L9658" s="3"/>
    </row>
    <row r="9659" spans="9:12" x14ac:dyDescent="0.25">
      <c r="I9659" s="3"/>
      <c r="J9659" s="3"/>
      <c r="K9659" s="3"/>
      <c r="L9659" s="3"/>
    </row>
    <row r="9660" spans="9:12" x14ac:dyDescent="0.25">
      <c r="I9660" s="3"/>
      <c r="J9660" s="3"/>
      <c r="K9660" s="3"/>
      <c r="L9660" s="3"/>
    </row>
    <row r="9661" spans="9:12" x14ac:dyDescent="0.25">
      <c r="I9661" s="3"/>
      <c r="J9661" s="3"/>
      <c r="K9661" s="3"/>
      <c r="L9661" s="3"/>
    </row>
    <row r="9662" spans="9:12" x14ac:dyDescent="0.25">
      <c r="I9662" s="3"/>
      <c r="J9662" s="3"/>
      <c r="K9662" s="3"/>
      <c r="L9662" s="3"/>
    </row>
    <row r="9663" spans="9:12" x14ac:dyDescent="0.25">
      <c r="I9663" s="3"/>
      <c r="J9663" s="3"/>
      <c r="K9663" s="3"/>
      <c r="L9663" s="3"/>
    </row>
    <row r="9664" spans="9:12" x14ac:dyDescent="0.25">
      <c r="I9664" s="3"/>
      <c r="J9664" s="3"/>
      <c r="K9664" s="3"/>
      <c r="L9664" s="3"/>
    </row>
    <row r="9665" spans="9:12" x14ac:dyDescent="0.25">
      <c r="I9665" s="3"/>
      <c r="J9665" s="3"/>
      <c r="K9665" s="3"/>
      <c r="L9665" s="3"/>
    </row>
    <row r="9666" spans="9:12" x14ac:dyDescent="0.25">
      <c r="I9666" s="3"/>
      <c r="J9666" s="3"/>
      <c r="K9666" s="3"/>
      <c r="L9666" s="3"/>
    </row>
    <row r="9667" spans="9:12" x14ac:dyDescent="0.25">
      <c r="I9667" s="3"/>
      <c r="J9667" s="3"/>
      <c r="K9667" s="3"/>
      <c r="L9667" s="3"/>
    </row>
    <row r="9668" spans="9:12" x14ac:dyDescent="0.25">
      <c r="I9668" s="3"/>
      <c r="J9668" s="3"/>
      <c r="K9668" s="3"/>
      <c r="L9668" s="3"/>
    </row>
    <row r="9669" spans="9:12" x14ac:dyDescent="0.25">
      <c r="I9669" s="3"/>
      <c r="J9669" s="3"/>
      <c r="K9669" s="3"/>
      <c r="L9669" s="3"/>
    </row>
    <row r="9670" spans="9:12" x14ac:dyDescent="0.25">
      <c r="I9670" s="3"/>
      <c r="J9670" s="3"/>
      <c r="K9670" s="3"/>
      <c r="L9670" s="3"/>
    </row>
    <row r="9671" spans="9:12" x14ac:dyDescent="0.25">
      <c r="I9671" s="3"/>
      <c r="J9671" s="3"/>
      <c r="K9671" s="3"/>
      <c r="L9671" s="3"/>
    </row>
    <row r="9672" spans="9:12" x14ac:dyDescent="0.25">
      <c r="I9672" s="3"/>
      <c r="J9672" s="3"/>
      <c r="K9672" s="3"/>
      <c r="L9672" s="3"/>
    </row>
    <row r="9673" spans="9:12" x14ac:dyDescent="0.25">
      <c r="I9673" s="3"/>
      <c r="J9673" s="3"/>
      <c r="K9673" s="3"/>
      <c r="L9673" s="3"/>
    </row>
    <row r="9674" spans="9:12" x14ac:dyDescent="0.25">
      <c r="I9674" s="3"/>
      <c r="J9674" s="3"/>
      <c r="K9674" s="3"/>
      <c r="L9674" s="3"/>
    </row>
    <row r="9675" spans="9:12" x14ac:dyDescent="0.25">
      <c r="I9675" s="3"/>
      <c r="J9675" s="3"/>
      <c r="K9675" s="3"/>
      <c r="L9675" s="3"/>
    </row>
    <row r="9676" spans="9:12" x14ac:dyDescent="0.25">
      <c r="I9676" s="3"/>
      <c r="J9676" s="3"/>
      <c r="K9676" s="3"/>
      <c r="L9676" s="3"/>
    </row>
    <row r="9677" spans="9:12" x14ac:dyDescent="0.25">
      <c r="I9677" s="3"/>
      <c r="J9677" s="3"/>
      <c r="K9677" s="3"/>
      <c r="L9677" s="3"/>
    </row>
    <row r="9678" spans="9:12" x14ac:dyDescent="0.25">
      <c r="I9678" s="3"/>
      <c r="J9678" s="3"/>
      <c r="K9678" s="3"/>
      <c r="L9678" s="3"/>
    </row>
    <row r="9679" spans="9:12" x14ac:dyDescent="0.25">
      <c r="I9679" s="3"/>
      <c r="J9679" s="3"/>
      <c r="K9679" s="3"/>
      <c r="L9679" s="3"/>
    </row>
    <row r="9680" spans="9:12" x14ac:dyDescent="0.25">
      <c r="I9680" s="3"/>
      <c r="J9680" s="3"/>
      <c r="K9680" s="3"/>
      <c r="L9680" s="3"/>
    </row>
    <row r="9681" spans="9:12" x14ac:dyDescent="0.25">
      <c r="I9681" s="3"/>
      <c r="J9681" s="3"/>
      <c r="K9681" s="3"/>
      <c r="L9681" s="3"/>
    </row>
    <row r="9682" spans="9:12" x14ac:dyDescent="0.25">
      <c r="I9682" s="3"/>
      <c r="J9682" s="3"/>
      <c r="K9682" s="3"/>
      <c r="L9682" s="3"/>
    </row>
    <row r="9683" spans="9:12" x14ac:dyDescent="0.25">
      <c r="I9683" s="3"/>
      <c r="J9683" s="3"/>
      <c r="K9683" s="3"/>
      <c r="L9683" s="3"/>
    </row>
    <row r="9684" spans="9:12" x14ac:dyDescent="0.25">
      <c r="I9684" s="3"/>
      <c r="J9684" s="3"/>
      <c r="K9684" s="3"/>
      <c r="L9684" s="3"/>
    </row>
    <row r="9685" spans="9:12" x14ac:dyDescent="0.25">
      <c r="I9685" s="3"/>
      <c r="J9685" s="3"/>
      <c r="K9685" s="3"/>
      <c r="L9685" s="3"/>
    </row>
    <row r="9686" spans="9:12" x14ac:dyDescent="0.25">
      <c r="I9686" s="3"/>
      <c r="J9686" s="3"/>
      <c r="K9686" s="3"/>
      <c r="L9686" s="3"/>
    </row>
    <row r="9687" spans="9:12" x14ac:dyDescent="0.25">
      <c r="I9687" s="3"/>
      <c r="J9687" s="3"/>
      <c r="K9687" s="3"/>
      <c r="L9687" s="3"/>
    </row>
    <row r="9688" spans="9:12" x14ac:dyDescent="0.25">
      <c r="I9688" s="3"/>
      <c r="J9688" s="3"/>
      <c r="K9688" s="3"/>
      <c r="L9688" s="3"/>
    </row>
    <row r="9689" spans="9:12" x14ac:dyDescent="0.25">
      <c r="I9689" s="3"/>
      <c r="J9689" s="3"/>
      <c r="K9689" s="3"/>
      <c r="L9689" s="3"/>
    </row>
    <row r="9690" spans="9:12" x14ac:dyDescent="0.25">
      <c r="I9690" s="3"/>
      <c r="J9690" s="3"/>
      <c r="K9690" s="3"/>
      <c r="L9690" s="3"/>
    </row>
    <row r="9691" spans="9:12" x14ac:dyDescent="0.25">
      <c r="I9691" s="3"/>
      <c r="J9691" s="3"/>
      <c r="K9691" s="3"/>
      <c r="L9691" s="3"/>
    </row>
    <row r="9692" spans="9:12" x14ac:dyDescent="0.25">
      <c r="I9692" s="3"/>
      <c r="J9692" s="3"/>
      <c r="K9692" s="3"/>
      <c r="L9692" s="3"/>
    </row>
    <row r="9693" spans="9:12" x14ac:dyDescent="0.25">
      <c r="I9693" s="3"/>
      <c r="J9693" s="3"/>
      <c r="K9693" s="3"/>
      <c r="L9693" s="3"/>
    </row>
    <row r="9694" spans="9:12" x14ac:dyDescent="0.25">
      <c r="I9694" s="3"/>
      <c r="J9694" s="3"/>
      <c r="K9694" s="3"/>
      <c r="L9694" s="3"/>
    </row>
    <row r="9695" spans="9:12" x14ac:dyDescent="0.25">
      <c r="I9695" s="3"/>
      <c r="J9695" s="3"/>
      <c r="K9695" s="3"/>
      <c r="L9695" s="3"/>
    </row>
    <row r="9696" spans="9:12" x14ac:dyDescent="0.25">
      <c r="I9696" s="3"/>
      <c r="J9696" s="3"/>
      <c r="K9696" s="3"/>
      <c r="L9696" s="3"/>
    </row>
    <row r="9697" spans="9:12" x14ac:dyDescent="0.25">
      <c r="I9697" s="3"/>
      <c r="J9697" s="3"/>
      <c r="K9697" s="3"/>
      <c r="L9697" s="3"/>
    </row>
    <row r="9698" spans="9:12" x14ac:dyDescent="0.25">
      <c r="I9698" s="3"/>
      <c r="J9698" s="3"/>
      <c r="K9698" s="3"/>
      <c r="L9698" s="3"/>
    </row>
    <row r="9699" spans="9:12" x14ac:dyDescent="0.25">
      <c r="I9699" s="3"/>
      <c r="J9699" s="3"/>
      <c r="K9699" s="3"/>
      <c r="L9699" s="3"/>
    </row>
    <row r="9700" spans="9:12" x14ac:dyDescent="0.25">
      <c r="I9700" s="3"/>
      <c r="J9700" s="3"/>
      <c r="K9700" s="3"/>
      <c r="L9700" s="3"/>
    </row>
    <row r="9701" spans="9:12" x14ac:dyDescent="0.25">
      <c r="I9701" s="3"/>
      <c r="J9701" s="3"/>
      <c r="K9701" s="3"/>
      <c r="L9701" s="3"/>
    </row>
    <row r="9702" spans="9:12" x14ac:dyDescent="0.25">
      <c r="I9702" s="3"/>
      <c r="J9702" s="3"/>
      <c r="K9702" s="3"/>
      <c r="L9702" s="3"/>
    </row>
    <row r="9703" spans="9:12" x14ac:dyDescent="0.25">
      <c r="I9703" s="3"/>
      <c r="J9703" s="3"/>
      <c r="K9703" s="3"/>
      <c r="L9703" s="3"/>
    </row>
    <row r="9704" spans="9:12" x14ac:dyDescent="0.25">
      <c r="I9704" s="3"/>
      <c r="J9704" s="3"/>
      <c r="K9704" s="3"/>
      <c r="L9704" s="3"/>
    </row>
    <row r="9705" spans="9:12" x14ac:dyDescent="0.25">
      <c r="I9705" s="3"/>
      <c r="J9705" s="3"/>
      <c r="K9705" s="3"/>
      <c r="L9705" s="3"/>
    </row>
    <row r="9706" spans="9:12" x14ac:dyDescent="0.25">
      <c r="I9706" s="3"/>
      <c r="J9706" s="3"/>
      <c r="K9706" s="3"/>
      <c r="L9706" s="3"/>
    </row>
    <row r="9707" spans="9:12" x14ac:dyDescent="0.25">
      <c r="I9707" s="3"/>
      <c r="J9707" s="3"/>
      <c r="K9707" s="3"/>
      <c r="L9707" s="3"/>
    </row>
    <row r="9708" spans="9:12" x14ac:dyDescent="0.25">
      <c r="I9708" s="3"/>
      <c r="J9708" s="3"/>
      <c r="K9708" s="3"/>
      <c r="L9708" s="3"/>
    </row>
    <row r="9709" spans="9:12" x14ac:dyDescent="0.25">
      <c r="I9709" s="3"/>
      <c r="J9709" s="3"/>
      <c r="K9709" s="3"/>
      <c r="L9709" s="3"/>
    </row>
    <row r="9710" spans="9:12" x14ac:dyDescent="0.25">
      <c r="I9710" s="3"/>
      <c r="J9710" s="3"/>
      <c r="K9710" s="3"/>
      <c r="L9710" s="3"/>
    </row>
    <row r="9711" spans="9:12" x14ac:dyDescent="0.25">
      <c r="I9711" s="3"/>
      <c r="J9711" s="3"/>
      <c r="K9711" s="3"/>
      <c r="L9711" s="3"/>
    </row>
    <row r="9712" spans="9:12" x14ac:dyDescent="0.25">
      <c r="I9712" s="3"/>
      <c r="J9712" s="3"/>
      <c r="K9712" s="3"/>
      <c r="L9712" s="3"/>
    </row>
    <row r="9713" spans="9:12" x14ac:dyDescent="0.25">
      <c r="I9713" s="3"/>
      <c r="J9713" s="3"/>
      <c r="K9713" s="3"/>
      <c r="L9713" s="3"/>
    </row>
    <row r="9714" spans="9:12" x14ac:dyDescent="0.25">
      <c r="I9714" s="3"/>
      <c r="J9714" s="3"/>
      <c r="K9714" s="3"/>
      <c r="L9714" s="3"/>
    </row>
    <row r="9715" spans="9:12" x14ac:dyDescent="0.25">
      <c r="I9715" s="3"/>
      <c r="J9715" s="3"/>
      <c r="K9715" s="3"/>
      <c r="L9715" s="3"/>
    </row>
    <row r="9716" spans="9:12" x14ac:dyDescent="0.25">
      <c r="I9716" s="3"/>
      <c r="J9716" s="3"/>
      <c r="K9716" s="3"/>
      <c r="L9716" s="3"/>
    </row>
    <row r="9717" spans="9:12" x14ac:dyDescent="0.25">
      <c r="I9717" s="3"/>
      <c r="J9717" s="3"/>
      <c r="K9717" s="3"/>
      <c r="L9717" s="3"/>
    </row>
    <row r="9718" spans="9:12" x14ac:dyDescent="0.25">
      <c r="I9718" s="3"/>
      <c r="J9718" s="3"/>
      <c r="K9718" s="3"/>
      <c r="L9718" s="3"/>
    </row>
    <row r="9719" spans="9:12" x14ac:dyDescent="0.25">
      <c r="I9719" s="3"/>
      <c r="J9719" s="3"/>
      <c r="K9719" s="3"/>
      <c r="L9719" s="3"/>
    </row>
    <row r="9720" spans="9:12" x14ac:dyDescent="0.25">
      <c r="I9720" s="3"/>
      <c r="J9720" s="3"/>
      <c r="K9720" s="3"/>
      <c r="L9720" s="3"/>
    </row>
    <row r="9721" spans="9:12" x14ac:dyDescent="0.25">
      <c r="I9721" s="3"/>
      <c r="J9721" s="3"/>
      <c r="K9721" s="3"/>
      <c r="L9721" s="3"/>
    </row>
    <row r="9722" spans="9:12" x14ac:dyDescent="0.25">
      <c r="I9722" s="3"/>
      <c r="J9722" s="3"/>
      <c r="K9722" s="3"/>
      <c r="L9722" s="3"/>
    </row>
    <row r="9723" spans="9:12" x14ac:dyDescent="0.25">
      <c r="I9723" s="3"/>
      <c r="J9723" s="3"/>
      <c r="K9723" s="3"/>
      <c r="L9723" s="3"/>
    </row>
    <row r="9724" spans="9:12" x14ac:dyDescent="0.25">
      <c r="I9724" s="3"/>
      <c r="J9724" s="3"/>
      <c r="K9724" s="3"/>
      <c r="L9724" s="3"/>
    </row>
    <row r="9725" spans="9:12" x14ac:dyDescent="0.25">
      <c r="I9725" s="3"/>
      <c r="J9725" s="3"/>
      <c r="K9725" s="3"/>
      <c r="L9725" s="3"/>
    </row>
    <row r="9726" spans="9:12" x14ac:dyDescent="0.25">
      <c r="I9726" s="3"/>
      <c r="J9726" s="3"/>
      <c r="K9726" s="3"/>
      <c r="L9726" s="3"/>
    </row>
    <row r="9727" spans="9:12" x14ac:dyDescent="0.25">
      <c r="I9727" s="3"/>
      <c r="J9727" s="3"/>
      <c r="K9727" s="3"/>
      <c r="L9727" s="3"/>
    </row>
    <row r="9728" spans="9:12" x14ac:dyDescent="0.25">
      <c r="I9728" s="3"/>
      <c r="J9728" s="3"/>
      <c r="K9728" s="3"/>
      <c r="L9728" s="3"/>
    </row>
    <row r="9729" spans="9:12" x14ac:dyDescent="0.25">
      <c r="I9729" s="3"/>
      <c r="J9729" s="3"/>
      <c r="K9729" s="3"/>
      <c r="L9729" s="3"/>
    </row>
    <row r="9730" spans="9:12" x14ac:dyDescent="0.25">
      <c r="I9730" s="3"/>
      <c r="J9730" s="3"/>
      <c r="K9730" s="3"/>
      <c r="L9730" s="3"/>
    </row>
    <row r="9731" spans="9:12" x14ac:dyDescent="0.25">
      <c r="I9731" s="3"/>
      <c r="J9731" s="3"/>
      <c r="K9731" s="3"/>
      <c r="L9731" s="3"/>
    </row>
    <row r="9732" spans="9:12" x14ac:dyDescent="0.25">
      <c r="I9732" s="3"/>
      <c r="J9732" s="3"/>
      <c r="K9732" s="3"/>
      <c r="L9732" s="3"/>
    </row>
    <row r="9733" spans="9:12" x14ac:dyDescent="0.25">
      <c r="I9733" s="3"/>
      <c r="J9733" s="3"/>
      <c r="K9733" s="3"/>
      <c r="L9733" s="3"/>
    </row>
    <row r="9734" spans="9:12" x14ac:dyDescent="0.25">
      <c r="I9734" s="3"/>
      <c r="J9734" s="3"/>
      <c r="K9734" s="3"/>
      <c r="L9734" s="3"/>
    </row>
    <row r="9735" spans="9:12" x14ac:dyDescent="0.25">
      <c r="I9735" s="3"/>
      <c r="J9735" s="3"/>
      <c r="K9735" s="3"/>
      <c r="L9735" s="3"/>
    </row>
    <row r="9736" spans="9:12" x14ac:dyDescent="0.25">
      <c r="I9736" s="3"/>
      <c r="J9736" s="3"/>
      <c r="K9736" s="3"/>
      <c r="L9736" s="3"/>
    </row>
    <row r="9737" spans="9:12" x14ac:dyDescent="0.25">
      <c r="I9737" s="3"/>
      <c r="J9737" s="3"/>
      <c r="K9737" s="3"/>
      <c r="L9737" s="3"/>
    </row>
    <row r="9738" spans="9:12" x14ac:dyDescent="0.25">
      <c r="I9738" s="3"/>
      <c r="J9738" s="3"/>
      <c r="K9738" s="3"/>
      <c r="L9738" s="3"/>
    </row>
    <row r="9739" spans="9:12" x14ac:dyDescent="0.25">
      <c r="I9739" s="3"/>
      <c r="J9739" s="3"/>
      <c r="K9739" s="3"/>
      <c r="L9739" s="3"/>
    </row>
    <row r="9740" spans="9:12" x14ac:dyDescent="0.25">
      <c r="I9740" s="3"/>
      <c r="J9740" s="3"/>
      <c r="K9740" s="3"/>
      <c r="L9740" s="3"/>
    </row>
    <row r="9741" spans="9:12" x14ac:dyDescent="0.25">
      <c r="I9741" s="3"/>
      <c r="J9741" s="3"/>
      <c r="K9741" s="3"/>
      <c r="L9741" s="3"/>
    </row>
    <row r="9742" spans="9:12" x14ac:dyDescent="0.25">
      <c r="I9742" s="3"/>
      <c r="J9742" s="3"/>
      <c r="K9742" s="3"/>
      <c r="L9742" s="3"/>
    </row>
    <row r="9743" spans="9:12" x14ac:dyDescent="0.25">
      <c r="I9743" s="3"/>
      <c r="J9743" s="3"/>
      <c r="K9743" s="3"/>
      <c r="L9743" s="3"/>
    </row>
    <row r="9744" spans="9:12" x14ac:dyDescent="0.25">
      <c r="I9744" s="3"/>
      <c r="J9744" s="3"/>
      <c r="K9744" s="3"/>
      <c r="L9744" s="3"/>
    </row>
    <row r="9745" spans="9:12" x14ac:dyDescent="0.25">
      <c r="I9745" s="3"/>
      <c r="J9745" s="3"/>
      <c r="K9745" s="3"/>
      <c r="L9745" s="3"/>
    </row>
    <row r="9746" spans="9:12" x14ac:dyDescent="0.25">
      <c r="I9746" s="3"/>
      <c r="J9746" s="3"/>
      <c r="K9746" s="3"/>
      <c r="L9746" s="3"/>
    </row>
    <row r="9747" spans="9:12" x14ac:dyDescent="0.25">
      <c r="I9747" s="3"/>
      <c r="J9747" s="3"/>
      <c r="K9747" s="3"/>
      <c r="L9747" s="3"/>
    </row>
    <row r="9748" spans="9:12" x14ac:dyDescent="0.25">
      <c r="I9748" s="3"/>
      <c r="J9748" s="3"/>
      <c r="K9748" s="3"/>
      <c r="L9748" s="3"/>
    </row>
    <row r="9749" spans="9:12" x14ac:dyDescent="0.25">
      <c r="I9749" s="3"/>
      <c r="J9749" s="3"/>
      <c r="K9749" s="3"/>
      <c r="L9749" s="3"/>
    </row>
    <row r="9750" spans="9:12" x14ac:dyDescent="0.25">
      <c r="I9750" s="3"/>
      <c r="J9750" s="3"/>
      <c r="K9750" s="3"/>
      <c r="L9750" s="3"/>
    </row>
    <row r="9751" spans="9:12" x14ac:dyDescent="0.25">
      <c r="I9751" s="3"/>
      <c r="J9751" s="3"/>
      <c r="K9751" s="3"/>
      <c r="L9751" s="3"/>
    </row>
    <row r="9752" spans="9:12" x14ac:dyDescent="0.25">
      <c r="I9752" s="3"/>
      <c r="J9752" s="3"/>
      <c r="K9752" s="3"/>
      <c r="L9752" s="3"/>
    </row>
    <row r="9753" spans="9:12" x14ac:dyDescent="0.25">
      <c r="I9753" s="3"/>
      <c r="J9753" s="3"/>
      <c r="K9753" s="3"/>
      <c r="L9753" s="3"/>
    </row>
    <row r="9754" spans="9:12" x14ac:dyDescent="0.25">
      <c r="I9754" s="3"/>
      <c r="J9754" s="3"/>
      <c r="K9754" s="3"/>
      <c r="L9754" s="3"/>
    </row>
    <row r="9755" spans="9:12" x14ac:dyDescent="0.25">
      <c r="I9755" s="3"/>
      <c r="J9755" s="3"/>
      <c r="K9755" s="3"/>
      <c r="L9755" s="3"/>
    </row>
    <row r="9756" spans="9:12" x14ac:dyDescent="0.25">
      <c r="I9756" s="3"/>
      <c r="J9756" s="3"/>
      <c r="K9756" s="3"/>
      <c r="L9756" s="3"/>
    </row>
    <row r="9757" spans="9:12" x14ac:dyDescent="0.25">
      <c r="I9757" s="3"/>
      <c r="J9757" s="3"/>
      <c r="K9757" s="3"/>
      <c r="L9757" s="3"/>
    </row>
    <row r="9758" spans="9:12" x14ac:dyDescent="0.25">
      <c r="I9758" s="3"/>
      <c r="J9758" s="3"/>
      <c r="K9758" s="3"/>
      <c r="L9758" s="3"/>
    </row>
    <row r="9759" spans="9:12" x14ac:dyDescent="0.25">
      <c r="I9759" s="3"/>
      <c r="J9759" s="3"/>
      <c r="K9759" s="3"/>
      <c r="L9759" s="3"/>
    </row>
    <row r="9760" spans="9:12" x14ac:dyDescent="0.25">
      <c r="I9760" s="3"/>
      <c r="J9760" s="3"/>
      <c r="K9760" s="3"/>
      <c r="L9760" s="3"/>
    </row>
    <row r="9761" spans="9:12" x14ac:dyDescent="0.25">
      <c r="I9761" s="3"/>
      <c r="J9761" s="3"/>
      <c r="K9761" s="3"/>
      <c r="L9761" s="3"/>
    </row>
    <row r="9762" spans="9:12" x14ac:dyDescent="0.25">
      <c r="I9762" s="3"/>
      <c r="J9762" s="3"/>
      <c r="K9762" s="3"/>
      <c r="L9762" s="3"/>
    </row>
    <row r="9763" spans="9:12" x14ac:dyDescent="0.25">
      <c r="I9763" s="3"/>
      <c r="J9763" s="3"/>
      <c r="K9763" s="3"/>
      <c r="L9763" s="3"/>
    </row>
    <row r="9764" spans="9:12" x14ac:dyDescent="0.25">
      <c r="I9764" s="3"/>
      <c r="J9764" s="3"/>
      <c r="K9764" s="3"/>
      <c r="L9764" s="3"/>
    </row>
    <row r="9765" spans="9:12" x14ac:dyDescent="0.25">
      <c r="I9765" s="3"/>
      <c r="J9765" s="3"/>
      <c r="K9765" s="3"/>
      <c r="L9765" s="3"/>
    </row>
    <row r="9766" spans="9:12" x14ac:dyDescent="0.25">
      <c r="I9766" s="3"/>
      <c r="J9766" s="3"/>
      <c r="K9766" s="3"/>
      <c r="L9766" s="3"/>
    </row>
    <row r="9767" spans="9:12" x14ac:dyDescent="0.25">
      <c r="I9767" s="3"/>
      <c r="J9767" s="3"/>
      <c r="K9767" s="3"/>
      <c r="L9767" s="3"/>
    </row>
    <row r="9768" spans="9:12" x14ac:dyDescent="0.25">
      <c r="I9768" s="3"/>
      <c r="J9768" s="3"/>
      <c r="K9768" s="3"/>
      <c r="L9768" s="3"/>
    </row>
    <row r="9769" spans="9:12" x14ac:dyDescent="0.25">
      <c r="I9769" s="3"/>
      <c r="J9769" s="3"/>
      <c r="K9769" s="3"/>
      <c r="L9769" s="3"/>
    </row>
    <row r="9770" spans="9:12" x14ac:dyDescent="0.25">
      <c r="I9770" s="3"/>
      <c r="J9770" s="3"/>
      <c r="K9770" s="3"/>
      <c r="L9770" s="3"/>
    </row>
    <row r="9771" spans="9:12" x14ac:dyDescent="0.25">
      <c r="I9771" s="3"/>
      <c r="J9771" s="3"/>
      <c r="K9771" s="3"/>
      <c r="L9771" s="3"/>
    </row>
    <row r="9772" spans="9:12" x14ac:dyDescent="0.25">
      <c r="I9772" s="3"/>
      <c r="J9772" s="3"/>
      <c r="K9772" s="3"/>
      <c r="L9772" s="3"/>
    </row>
    <row r="9773" spans="9:12" x14ac:dyDescent="0.25">
      <c r="I9773" s="3"/>
      <c r="J9773" s="3"/>
      <c r="K9773" s="3"/>
      <c r="L9773" s="3"/>
    </row>
    <row r="9774" spans="9:12" x14ac:dyDescent="0.25">
      <c r="I9774" s="3"/>
      <c r="J9774" s="3"/>
      <c r="K9774" s="3"/>
      <c r="L9774" s="3"/>
    </row>
    <row r="9775" spans="9:12" x14ac:dyDescent="0.25">
      <c r="I9775" s="3"/>
      <c r="J9775" s="3"/>
      <c r="K9775" s="3"/>
      <c r="L9775" s="3"/>
    </row>
    <row r="9776" spans="9:12" x14ac:dyDescent="0.25">
      <c r="I9776" s="3"/>
      <c r="J9776" s="3"/>
      <c r="K9776" s="3"/>
      <c r="L9776" s="3"/>
    </row>
    <row r="9777" spans="9:12" x14ac:dyDescent="0.25">
      <c r="I9777" s="3"/>
      <c r="J9777" s="3"/>
      <c r="K9777" s="3"/>
      <c r="L9777" s="3"/>
    </row>
    <row r="9778" spans="9:12" x14ac:dyDescent="0.25">
      <c r="I9778" s="3"/>
      <c r="J9778" s="3"/>
      <c r="K9778" s="3"/>
      <c r="L9778" s="3"/>
    </row>
    <row r="9779" spans="9:12" x14ac:dyDescent="0.25">
      <c r="I9779" s="3"/>
      <c r="J9779" s="3"/>
      <c r="K9779" s="3"/>
      <c r="L9779" s="3"/>
    </row>
    <row r="9780" spans="9:12" x14ac:dyDescent="0.25">
      <c r="I9780" s="3"/>
      <c r="J9780" s="3"/>
      <c r="K9780" s="3"/>
      <c r="L9780" s="3"/>
    </row>
    <row r="9781" spans="9:12" x14ac:dyDescent="0.25">
      <c r="I9781" s="3"/>
      <c r="J9781" s="3"/>
      <c r="K9781" s="3"/>
      <c r="L9781" s="3"/>
    </row>
    <row r="9782" spans="9:12" x14ac:dyDescent="0.25">
      <c r="I9782" s="5"/>
      <c r="J9782" s="5"/>
      <c r="K9782" s="5"/>
      <c r="L9782" s="5"/>
    </row>
    <row r="9783" spans="9:12" x14ac:dyDescent="0.25">
      <c r="I9783" s="5"/>
      <c r="J9783" s="5"/>
      <c r="K9783" s="5"/>
      <c r="L9783" s="5"/>
    </row>
    <row r="9784" spans="9:12" x14ac:dyDescent="0.25">
      <c r="I9784" s="5"/>
      <c r="J9784" s="5"/>
      <c r="K9784" s="5"/>
      <c r="L9784" s="5"/>
    </row>
    <row r="9785" spans="9:12" x14ac:dyDescent="0.25">
      <c r="I9785" s="3"/>
      <c r="J9785" s="3"/>
      <c r="K9785" s="3"/>
      <c r="L9785" s="3"/>
    </row>
    <row r="9786" spans="9:12" x14ac:dyDescent="0.25">
      <c r="I9786" s="3"/>
      <c r="J9786" s="3"/>
      <c r="K9786" s="3"/>
      <c r="L9786" s="3"/>
    </row>
    <row r="9787" spans="9:12" x14ac:dyDescent="0.25">
      <c r="I9787" s="3"/>
      <c r="J9787" s="3"/>
      <c r="K9787" s="3"/>
      <c r="L9787" s="3"/>
    </row>
    <row r="9788" spans="9:12" x14ac:dyDescent="0.25">
      <c r="I9788" s="3"/>
      <c r="J9788" s="3"/>
      <c r="K9788" s="3"/>
      <c r="L9788" s="3"/>
    </row>
    <row r="9789" spans="9:12" x14ac:dyDescent="0.25">
      <c r="I9789" s="3"/>
      <c r="J9789" s="3"/>
      <c r="K9789" s="3"/>
      <c r="L9789" s="3"/>
    </row>
    <row r="9790" spans="9:12" x14ac:dyDescent="0.25">
      <c r="I9790" s="3"/>
      <c r="J9790" s="3"/>
      <c r="K9790" s="3"/>
      <c r="L9790" s="3"/>
    </row>
    <row r="9791" spans="9:12" x14ac:dyDescent="0.25">
      <c r="I9791" s="3"/>
      <c r="J9791" s="3"/>
      <c r="K9791" s="3"/>
      <c r="L9791" s="3"/>
    </row>
    <row r="9792" spans="9:12" x14ac:dyDescent="0.25">
      <c r="I9792" s="3"/>
      <c r="J9792" s="3"/>
      <c r="K9792" s="3"/>
      <c r="L9792" s="3"/>
    </row>
    <row r="9793" spans="9:12" x14ac:dyDescent="0.25">
      <c r="I9793" s="3"/>
      <c r="J9793" s="3"/>
      <c r="K9793" s="3"/>
      <c r="L9793" s="3"/>
    </row>
    <row r="9794" spans="9:12" x14ac:dyDescent="0.25">
      <c r="I9794" s="3"/>
      <c r="J9794" s="3"/>
      <c r="K9794" s="3"/>
      <c r="L9794" s="3"/>
    </row>
    <row r="9795" spans="9:12" x14ac:dyDescent="0.25">
      <c r="I9795" s="3"/>
      <c r="J9795" s="3"/>
      <c r="K9795" s="3"/>
      <c r="L9795" s="3"/>
    </row>
    <row r="9796" spans="9:12" x14ac:dyDescent="0.25">
      <c r="I9796" s="3"/>
      <c r="J9796" s="3"/>
      <c r="K9796" s="3"/>
      <c r="L9796" s="3"/>
    </row>
    <row r="9797" spans="9:12" x14ac:dyDescent="0.25">
      <c r="I9797" s="3"/>
      <c r="J9797" s="3"/>
      <c r="K9797" s="3"/>
      <c r="L9797" s="3"/>
    </row>
    <row r="9798" spans="9:12" x14ac:dyDescent="0.25">
      <c r="I9798" s="3"/>
      <c r="J9798" s="3"/>
      <c r="K9798" s="3"/>
      <c r="L9798" s="3"/>
    </row>
    <row r="9799" spans="9:12" x14ac:dyDescent="0.25">
      <c r="I9799" s="3"/>
      <c r="J9799" s="3"/>
      <c r="K9799" s="3"/>
      <c r="L9799" s="3"/>
    </row>
    <row r="9800" spans="9:12" x14ac:dyDescent="0.25">
      <c r="I9800" s="3"/>
      <c r="J9800" s="3"/>
      <c r="K9800" s="3"/>
      <c r="L9800" s="3"/>
    </row>
    <row r="9801" spans="9:12" x14ac:dyDescent="0.25">
      <c r="I9801" s="3"/>
      <c r="J9801" s="3"/>
      <c r="K9801" s="3"/>
      <c r="L9801" s="3"/>
    </row>
    <row r="9802" spans="9:12" x14ac:dyDescent="0.25">
      <c r="I9802" s="3"/>
      <c r="J9802" s="3"/>
      <c r="K9802" s="3"/>
      <c r="L9802" s="3"/>
    </row>
    <row r="9803" spans="9:12" x14ac:dyDescent="0.25">
      <c r="I9803" s="3"/>
      <c r="J9803" s="3"/>
      <c r="K9803" s="3"/>
      <c r="L9803" s="3"/>
    </row>
    <row r="9804" spans="9:12" x14ac:dyDescent="0.25">
      <c r="I9804" s="3"/>
      <c r="J9804" s="3"/>
      <c r="K9804" s="3"/>
      <c r="L9804" s="3"/>
    </row>
    <row r="9805" spans="9:12" x14ac:dyDescent="0.25">
      <c r="I9805" s="3"/>
      <c r="J9805" s="3"/>
      <c r="K9805" s="3"/>
      <c r="L9805" s="3"/>
    </row>
    <row r="9806" spans="9:12" x14ac:dyDescent="0.25">
      <c r="I9806" s="3"/>
      <c r="J9806" s="3"/>
      <c r="K9806" s="3"/>
      <c r="L9806" s="3"/>
    </row>
    <row r="9807" spans="9:12" x14ac:dyDescent="0.25">
      <c r="I9807" s="3"/>
      <c r="J9807" s="3"/>
      <c r="K9807" s="3"/>
      <c r="L9807" s="3"/>
    </row>
    <row r="9808" spans="9:12" x14ac:dyDescent="0.25">
      <c r="I9808" s="3"/>
      <c r="J9808" s="3"/>
      <c r="K9808" s="3"/>
      <c r="L9808" s="3"/>
    </row>
    <row r="9809" spans="9:12" x14ac:dyDescent="0.25">
      <c r="I9809" s="3"/>
      <c r="J9809" s="3"/>
      <c r="K9809" s="3"/>
      <c r="L9809" s="3"/>
    </row>
    <row r="9810" spans="9:12" x14ac:dyDescent="0.25">
      <c r="I9810" s="3"/>
      <c r="J9810" s="3"/>
      <c r="K9810" s="3"/>
      <c r="L9810" s="3"/>
    </row>
    <row r="9811" spans="9:12" x14ac:dyDescent="0.25">
      <c r="I9811" s="3"/>
      <c r="J9811" s="3"/>
      <c r="K9811" s="3"/>
      <c r="L9811" s="3"/>
    </row>
    <row r="9812" spans="9:12" x14ac:dyDescent="0.25">
      <c r="I9812" s="3"/>
      <c r="J9812" s="3"/>
      <c r="K9812" s="3"/>
      <c r="L9812" s="3"/>
    </row>
    <row r="9813" spans="9:12" x14ac:dyDescent="0.25">
      <c r="I9813" s="3"/>
      <c r="J9813" s="3"/>
      <c r="K9813" s="3"/>
      <c r="L9813" s="3"/>
    </row>
    <row r="9814" spans="9:12" x14ac:dyDescent="0.25">
      <c r="I9814" s="3"/>
      <c r="J9814" s="3"/>
      <c r="K9814" s="3"/>
      <c r="L9814" s="3"/>
    </row>
    <row r="9815" spans="9:12" x14ac:dyDescent="0.25">
      <c r="I9815" s="3"/>
      <c r="J9815" s="3"/>
      <c r="K9815" s="3"/>
      <c r="L9815" s="3"/>
    </row>
    <row r="9816" spans="9:12" x14ac:dyDescent="0.25">
      <c r="I9816" s="3"/>
      <c r="J9816" s="3"/>
      <c r="K9816" s="3"/>
      <c r="L9816" s="3"/>
    </row>
    <row r="9817" spans="9:12" x14ac:dyDescent="0.25">
      <c r="I9817" s="3"/>
      <c r="J9817" s="3"/>
      <c r="K9817" s="3"/>
      <c r="L9817" s="3"/>
    </row>
    <row r="9818" spans="9:12" x14ac:dyDescent="0.25">
      <c r="I9818" s="3"/>
      <c r="J9818" s="3"/>
      <c r="K9818" s="3"/>
      <c r="L9818" s="3"/>
    </row>
    <row r="9819" spans="9:12" x14ac:dyDescent="0.25">
      <c r="I9819" s="3"/>
      <c r="J9819" s="3"/>
      <c r="K9819" s="3"/>
      <c r="L9819" s="3"/>
    </row>
    <row r="9820" spans="9:12" x14ac:dyDescent="0.25">
      <c r="I9820" s="3"/>
      <c r="J9820" s="3"/>
      <c r="K9820" s="3"/>
      <c r="L9820" s="3"/>
    </row>
    <row r="9821" spans="9:12" x14ac:dyDescent="0.25">
      <c r="I9821" s="3"/>
      <c r="J9821" s="3"/>
      <c r="K9821" s="3"/>
      <c r="L9821" s="3"/>
    </row>
    <row r="9822" spans="9:12" x14ac:dyDescent="0.25">
      <c r="I9822" s="3"/>
      <c r="J9822" s="3"/>
      <c r="K9822" s="3"/>
      <c r="L9822" s="3"/>
    </row>
    <row r="9823" spans="9:12" x14ac:dyDescent="0.25">
      <c r="I9823" s="4"/>
      <c r="J9823" s="4"/>
      <c r="K9823" s="4"/>
      <c r="L9823" s="4"/>
    </row>
    <row r="9824" spans="9:12" x14ac:dyDescent="0.25">
      <c r="I9824" s="4"/>
      <c r="J9824" s="4"/>
      <c r="K9824" s="4"/>
      <c r="L9824" s="4"/>
    </row>
    <row r="9825" spans="9:12" x14ac:dyDescent="0.25">
      <c r="I9825" s="3"/>
      <c r="J9825" s="3"/>
      <c r="K9825" s="3"/>
      <c r="L9825" s="3"/>
    </row>
    <row r="9826" spans="9:12" x14ac:dyDescent="0.25">
      <c r="I9826" s="3"/>
      <c r="J9826" s="3"/>
      <c r="K9826" s="3"/>
      <c r="L9826" s="3"/>
    </row>
    <row r="9827" spans="9:12" x14ac:dyDescent="0.25">
      <c r="I9827" s="3"/>
      <c r="J9827" s="3"/>
      <c r="K9827" s="3"/>
      <c r="L9827" s="3"/>
    </row>
    <row r="9828" spans="9:12" x14ac:dyDescent="0.25">
      <c r="I9828" s="3"/>
      <c r="J9828" s="3"/>
      <c r="K9828" s="3"/>
      <c r="L9828" s="3"/>
    </row>
    <row r="9829" spans="9:12" x14ac:dyDescent="0.25">
      <c r="I9829" s="3"/>
      <c r="J9829" s="3"/>
      <c r="K9829" s="3"/>
      <c r="L9829" s="3"/>
    </row>
    <row r="9830" spans="9:12" x14ac:dyDescent="0.25">
      <c r="I9830" s="3"/>
      <c r="J9830" s="3"/>
      <c r="K9830" s="3"/>
      <c r="L9830" s="3"/>
    </row>
    <row r="9831" spans="9:12" x14ac:dyDescent="0.25">
      <c r="I9831" s="3"/>
      <c r="J9831" s="3"/>
      <c r="K9831" s="3"/>
      <c r="L9831" s="3"/>
    </row>
    <row r="9832" spans="9:12" x14ac:dyDescent="0.25">
      <c r="I9832" s="3"/>
      <c r="J9832" s="3"/>
      <c r="K9832" s="3"/>
      <c r="L9832" s="3"/>
    </row>
    <row r="9833" spans="9:12" x14ac:dyDescent="0.25">
      <c r="I9833" s="3"/>
      <c r="J9833" s="3"/>
      <c r="K9833" s="3"/>
      <c r="L9833" s="3"/>
    </row>
    <row r="9834" spans="9:12" x14ac:dyDescent="0.25">
      <c r="I9834" s="3"/>
      <c r="J9834" s="3"/>
      <c r="K9834" s="3"/>
      <c r="L9834" s="3"/>
    </row>
    <row r="9835" spans="9:12" x14ac:dyDescent="0.25">
      <c r="I9835" s="3"/>
      <c r="J9835" s="3"/>
      <c r="K9835" s="3"/>
      <c r="L9835" s="3"/>
    </row>
    <row r="9836" spans="9:12" x14ac:dyDescent="0.25">
      <c r="I9836" s="3"/>
      <c r="J9836" s="3"/>
      <c r="K9836" s="3"/>
      <c r="L9836" s="3"/>
    </row>
    <row r="9837" spans="9:12" x14ac:dyDescent="0.25">
      <c r="I9837" s="3"/>
      <c r="J9837" s="3"/>
      <c r="K9837" s="3"/>
      <c r="L9837" s="3"/>
    </row>
    <row r="9838" spans="9:12" x14ac:dyDescent="0.25">
      <c r="I9838" s="3"/>
      <c r="J9838" s="3"/>
      <c r="K9838" s="3"/>
      <c r="L9838" s="3"/>
    </row>
    <row r="9839" spans="9:12" x14ac:dyDescent="0.25">
      <c r="I9839" s="3"/>
      <c r="J9839" s="3"/>
      <c r="K9839" s="3"/>
      <c r="L9839" s="3"/>
    </row>
    <row r="9840" spans="9:12" x14ac:dyDescent="0.25">
      <c r="I9840" s="3"/>
      <c r="J9840" s="3"/>
      <c r="K9840" s="3"/>
      <c r="L9840" s="3"/>
    </row>
    <row r="9841" spans="9:12" x14ac:dyDescent="0.25">
      <c r="I9841" s="3"/>
      <c r="J9841" s="3"/>
      <c r="K9841" s="3"/>
      <c r="L9841" s="3"/>
    </row>
    <row r="9842" spans="9:12" x14ac:dyDescent="0.25">
      <c r="I9842" s="3"/>
      <c r="J9842" s="3"/>
      <c r="K9842" s="3"/>
      <c r="L9842" s="3"/>
    </row>
    <row r="9843" spans="9:12" x14ac:dyDescent="0.25">
      <c r="I9843" s="3"/>
      <c r="J9843" s="3"/>
      <c r="K9843" s="3"/>
      <c r="L9843" s="3"/>
    </row>
    <row r="9844" spans="9:12" x14ac:dyDescent="0.25">
      <c r="I9844" s="3"/>
      <c r="J9844" s="3"/>
      <c r="K9844" s="3"/>
      <c r="L9844" s="3"/>
    </row>
    <row r="9845" spans="9:12" x14ac:dyDescent="0.25">
      <c r="I9845" s="3"/>
      <c r="J9845" s="3"/>
      <c r="K9845" s="3"/>
      <c r="L9845" s="3"/>
    </row>
    <row r="9846" spans="9:12" x14ac:dyDescent="0.25">
      <c r="I9846" s="3"/>
      <c r="J9846" s="3"/>
      <c r="K9846" s="3"/>
      <c r="L9846" s="3"/>
    </row>
    <row r="9847" spans="9:12" x14ac:dyDescent="0.25">
      <c r="I9847" s="3"/>
      <c r="J9847" s="3"/>
      <c r="K9847" s="3"/>
      <c r="L9847" s="3"/>
    </row>
    <row r="9848" spans="9:12" x14ac:dyDescent="0.25">
      <c r="I9848" s="3"/>
      <c r="J9848" s="3"/>
      <c r="K9848" s="3"/>
      <c r="L9848" s="3"/>
    </row>
    <row r="9849" spans="9:12" x14ac:dyDescent="0.25">
      <c r="I9849" s="3"/>
      <c r="J9849" s="3"/>
      <c r="K9849" s="3"/>
      <c r="L9849" s="3"/>
    </row>
    <row r="9850" spans="9:12" x14ac:dyDescent="0.25">
      <c r="I9850" s="3"/>
      <c r="J9850" s="3"/>
      <c r="K9850" s="3"/>
      <c r="L9850" s="3"/>
    </row>
    <row r="9851" spans="9:12" x14ac:dyDescent="0.25">
      <c r="I9851" s="3"/>
      <c r="J9851" s="3"/>
      <c r="K9851" s="3"/>
      <c r="L9851" s="3"/>
    </row>
    <row r="9852" spans="9:12" x14ac:dyDescent="0.25">
      <c r="I9852" s="3"/>
      <c r="J9852" s="3"/>
      <c r="K9852" s="3"/>
      <c r="L9852" s="3"/>
    </row>
    <row r="9853" spans="9:12" x14ac:dyDescent="0.25">
      <c r="I9853" s="3"/>
      <c r="J9853" s="3"/>
      <c r="K9853" s="3"/>
      <c r="L9853" s="3"/>
    </row>
    <row r="9854" spans="9:12" x14ac:dyDescent="0.25">
      <c r="I9854" s="3"/>
      <c r="J9854" s="3"/>
      <c r="K9854" s="3"/>
      <c r="L9854" s="3"/>
    </row>
    <row r="9855" spans="9:12" x14ac:dyDescent="0.25">
      <c r="I9855" s="3"/>
      <c r="J9855" s="3"/>
      <c r="K9855" s="3"/>
      <c r="L9855" s="3"/>
    </row>
    <row r="9856" spans="9:12" x14ac:dyDescent="0.25">
      <c r="I9856" s="3"/>
      <c r="J9856" s="3"/>
      <c r="K9856" s="3"/>
      <c r="L9856" s="3"/>
    </row>
    <row r="9857" spans="9:12" x14ac:dyDescent="0.25">
      <c r="I9857" s="3"/>
      <c r="J9857" s="3"/>
      <c r="K9857" s="3"/>
      <c r="L9857" s="3"/>
    </row>
    <row r="9858" spans="9:12" x14ac:dyDescent="0.25">
      <c r="I9858" s="3"/>
      <c r="J9858" s="3"/>
      <c r="K9858" s="3"/>
      <c r="L9858" s="3"/>
    </row>
    <row r="9859" spans="9:12" x14ac:dyDescent="0.25">
      <c r="I9859" s="3"/>
      <c r="J9859" s="3"/>
      <c r="K9859" s="3"/>
      <c r="L9859" s="3"/>
    </row>
    <row r="9860" spans="9:12" x14ac:dyDescent="0.25">
      <c r="I9860" s="3"/>
      <c r="J9860" s="3"/>
      <c r="K9860" s="3"/>
      <c r="L9860" s="3"/>
    </row>
    <row r="9861" spans="9:12" x14ac:dyDescent="0.25">
      <c r="I9861" s="3"/>
      <c r="J9861" s="3"/>
      <c r="K9861" s="3"/>
      <c r="L9861" s="3"/>
    </row>
    <row r="9862" spans="9:12" x14ac:dyDescent="0.25">
      <c r="I9862" s="3"/>
      <c r="J9862" s="3"/>
      <c r="K9862" s="3"/>
      <c r="L9862" s="3"/>
    </row>
    <row r="9863" spans="9:12" x14ac:dyDescent="0.25">
      <c r="I9863" s="3"/>
      <c r="J9863" s="3"/>
      <c r="K9863" s="3"/>
      <c r="L9863" s="3"/>
    </row>
    <row r="9864" spans="9:12" x14ac:dyDescent="0.25">
      <c r="I9864" s="3"/>
      <c r="J9864" s="3"/>
      <c r="K9864" s="3"/>
      <c r="L9864" s="3"/>
    </row>
    <row r="9865" spans="9:12" x14ac:dyDescent="0.25">
      <c r="I9865" s="3"/>
      <c r="J9865" s="3"/>
      <c r="K9865" s="3"/>
      <c r="L9865" s="3"/>
    </row>
    <row r="9866" spans="9:12" x14ac:dyDescent="0.25">
      <c r="I9866" s="3"/>
      <c r="J9866" s="3"/>
      <c r="K9866" s="3"/>
      <c r="L9866" s="3"/>
    </row>
    <row r="9867" spans="9:12" x14ac:dyDescent="0.25">
      <c r="I9867" s="3"/>
      <c r="J9867" s="3"/>
      <c r="K9867" s="3"/>
      <c r="L9867" s="3"/>
    </row>
    <row r="9868" spans="9:12" x14ac:dyDescent="0.25">
      <c r="I9868" s="3"/>
      <c r="J9868" s="3"/>
      <c r="K9868" s="3"/>
      <c r="L9868" s="3"/>
    </row>
    <row r="9869" spans="9:12" x14ac:dyDescent="0.25">
      <c r="I9869" s="3"/>
      <c r="J9869" s="3"/>
      <c r="K9869" s="3"/>
      <c r="L9869" s="3"/>
    </row>
    <row r="9870" spans="9:12" x14ac:dyDescent="0.25">
      <c r="I9870" s="3"/>
      <c r="J9870" s="3"/>
      <c r="K9870" s="3"/>
      <c r="L9870" s="3"/>
    </row>
    <row r="9871" spans="9:12" x14ac:dyDescent="0.25">
      <c r="I9871" s="3"/>
      <c r="J9871" s="3"/>
      <c r="K9871" s="3"/>
      <c r="L9871" s="3"/>
    </row>
    <row r="9872" spans="9:12" x14ac:dyDescent="0.25">
      <c r="I9872" s="3"/>
      <c r="J9872" s="3"/>
      <c r="K9872" s="3"/>
      <c r="L9872" s="3"/>
    </row>
    <row r="9873" spans="9:12" x14ac:dyDescent="0.25">
      <c r="I9873" s="3"/>
      <c r="J9873" s="3"/>
      <c r="K9873" s="3"/>
      <c r="L9873" s="3"/>
    </row>
    <row r="9874" spans="9:12" x14ac:dyDescent="0.25">
      <c r="I9874" s="3"/>
      <c r="J9874" s="3"/>
      <c r="K9874" s="3"/>
      <c r="L9874" s="3"/>
    </row>
    <row r="9875" spans="9:12" x14ac:dyDescent="0.25">
      <c r="I9875" s="3"/>
      <c r="J9875" s="3"/>
      <c r="K9875" s="3"/>
      <c r="L9875" s="3"/>
    </row>
    <row r="9876" spans="9:12" x14ac:dyDescent="0.25">
      <c r="I9876" s="3"/>
      <c r="J9876" s="3"/>
      <c r="K9876" s="3"/>
      <c r="L9876" s="3"/>
    </row>
    <row r="9877" spans="9:12" x14ac:dyDescent="0.25">
      <c r="I9877" s="3"/>
      <c r="J9877" s="3"/>
      <c r="K9877" s="3"/>
      <c r="L9877" s="3"/>
    </row>
    <row r="9878" spans="9:12" x14ac:dyDescent="0.25">
      <c r="I9878" s="3"/>
      <c r="J9878" s="3"/>
      <c r="K9878" s="3"/>
      <c r="L9878" s="3"/>
    </row>
    <row r="9879" spans="9:12" x14ac:dyDescent="0.25">
      <c r="I9879" s="3"/>
      <c r="J9879" s="3"/>
      <c r="K9879" s="3"/>
      <c r="L9879" s="3"/>
    </row>
    <row r="9880" spans="9:12" x14ac:dyDescent="0.25">
      <c r="I9880" s="3"/>
      <c r="J9880" s="3"/>
      <c r="K9880" s="3"/>
      <c r="L9880" s="3"/>
    </row>
    <row r="9881" spans="9:12" x14ac:dyDescent="0.25">
      <c r="I9881" s="3"/>
      <c r="J9881" s="3"/>
      <c r="K9881" s="3"/>
      <c r="L9881" s="3"/>
    </row>
    <row r="9882" spans="9:12" x14ac:dyDescent="0.25">
      <c r="I9882" s="3"/>
      <c r="J9882" s="3"/>
      <c r="K9882" s="3"/>
      <c r="L9882" s="3"/>
    </row>
    <row r="9883" spans="9:12" x14ac:dyDescent="0.25">
      <c r="I9883" s="3"/>
      <c r="J9883" s="3"/>
      <c r="K9883" s="3"/>
      <c r="L9883" s="3"/>
    </row>
    <row r="9884" spans="9:12" x14ac:dyDescent="0.25">
      <c r="I9884" s="3"/>
      <c r="J9884" s="3"/>
      <c r="K9884" s="3"/>
      <c r="L9884" s="3"/>
    </row>
    <row r="9885" spans="9:12" x14ac:dyDescent="0.25">
      <c r="I9885" s="3"/>
      <c r="J9885" s="3"/>
      <c r="K9885" s="3"/>
      <c r="L9885" s="3"/>
    </row>
    <row r="9886" spans="9:12" x14ac:dyDescent="0.25">
      <c r="I9886" s="3"/>
      <c r="J9886" s="3"/>
      <c r="K9886" s="3"/>
      <c r="L9886" s="3"/>
    </row>
    <row r="9887" spans="9:12" x14ac:dyDescent="0.25">
      <c r="I9887" s="3"/>
      <c r="J9887" s="3"/>
      <c r="K9887" s="3"/>
      <c r="L9887" s="3"/>
    </row>
    <row r="9888" spans="9:12" x14ac:dyDescent="0.25">
      <c r="I9888" s="3"/>
      <c r="J9888" s="3"/>
      <c r="K9888" s="3"/>
      <c r="L9888" s="3"/>
    </row>
    <row r="9889" spans="9:12" x14ac:dyDescent="0.25">
      <c r="I9889" s="3"/>
      <c r="J9889" s="3"/>
      <c r="K9889" s="3"/>
      <c r="L9889" s="3"/>
    </row>
    <row r="9890" spans="9:12" x14ac:dyDescent="0.25">
      <c r="I9890" s="3"/>
      <c r="J9890" s="3"/>
      <c r="K9890" s="3"/>
      <c r="L9890" s="3"/>
    </row>
    <row r="9891" spans="9:12" x14ac:dyDescent="0.25">
      <c r="I9891" s="3"/>
      <c r="J9891" s="3"/>
      <c r="K9891" s="3"/>
      <c r="L9891" s="3"/>
    </row>
    <row r="9892" spans="9:12" x14ac:dyDescent="0.25">
      <c r="I9892" s="3"/>
      <c r="J9892" s="3"/>
      <c r="K9892" s="3"/>
      <c r="L9892" s="3"/>
    </row>
    <row r="9893" spans="9:12" x14ac:dyDescent="0.25">
      <c r="I9893" s="3"/>
      <c r="J9893" s="3"/>
      <c r="K9893" s="3"/>
      <c r="L9893" s="3"/>
    </row>
    <row r="9894" spans="9:12" x14ac:dyDescent="0.25">
      <c r="I9894" s="3"/>
      <c r="J9894" s="3"/>
      <c r="K9894" s="3"/>
      <c r="L9894" s="3"/>
    </row>
    <row r="9895" spans="9:12" x14ac:dyDescent="0.25">
      <c r="I9895" s="3"/>
      <c r="J9895" s="3"/>
      <c r="K9895" s="3"/>
      <c r="L9895" s="3"/>
    </row>
    <row r="9896" spans="9:12" x14ac:dyDescent="0.25">
      <c r="I9896" s="3"/>
      <c r="J9896" s="3"/>
      <c r="K9896" s="3"/>
      <c r="L9896" s="3"/>
    </row>
    <row r="9897" spans="9:12" x14ac:dyDescent="0.25">
      <c r="I9897" s="3"/>
      <c r="J9897" s="3"/>
      <c r="K9897" s="3"/>
      <c r="L9897" s="3"/>
    </row>
    <row r="9898" spans="9:12" x14ac:dyDescent="0.25">
      <c r="I9898" s="3"/>
      <c r="J9898" s="3"/>
      <c r="K9898" s="3"/>
      <c r="L9898" s="3"/>
    </row>
    <row r="9899" spans="9:12" x14ac:dyDescent="0.25">
      <c r="I9899" s="3"/>
      <c r="J9899" s="3"/>
      <c r="K9899" s="3"/>
      <c r="L9899" s="3"/>
    </row>
    <row r="9900" spans="9:12" x14ac:dyDescent="0.25">
      <c r="I9900" s="3"/>
      <c r="J9900" s="3"/>
      <c r="K9900" s="3"/>
      <c r="L9900" s="3"/>
    </row>
    <row r="9901" spans="9:12" x14ac:dyDescent="0.25">
      <c r="I9901" s="3"/>
      <c r="J9901" s="3"/>
      <c r="K9901" s="3"/>
      <c r="L9901" s="3"/>
    </row>
    <row r="9902" spans="9:12" x14ac:dyDescent="0.25">
      <c r="I9902" s="3"/>
      <c r="J9902" s="3"/>
      <c r="K9902" s="3"/>
      <c r="L9902" s="3"/>
    </row>
    <row r="9903" spans="9:12" x14ac:dyDescent="0.25">
      <c r="I9903" s="3"/>
      <c r="J9903" s="3"/>
      <c r="K9903" s="3"/>
      <c r="L9903" s="3"/>
    </row>
    <row r="9904" spans="9:12" x14ac:dyDescent="0.25">
      <c r="I9904" s="3"/>
      <c r="J9904" s="3"/>
      <c r="K9904" s="3"/>
      <c r="L9904" s="3"/>
    </row>
    <row r="9905" spans="9:12" x14ac:dyDescent="0.25">
      <c r="I9905" s="3"/>
      <c r="J9905" s="3"/>
      <c r="K9905" s="3"/>
      <c r="L9905" s="3"/>
    </row>
    <row r="9906" spans="9:12" x14ac:dyDescent="0.25">
      <c r="I9906" s="3"/>
      <c r="J9906" s="3"/>
      <c r="K9906" s="3"/>
      <c r="L9906" s="3"/>
    </row>
    <row r="9907" spans="9:12" x14ac:dyDescent="0.25">
      <c r="I9907" s="3"/>
      <c r="J9907" s="3"/>
      <c r="K9907" s="3"/>
      <c r="L9907" s="3"/>
    </row>
    <row r="9908" spans="9:12" x14ac:dyDescent="0.25">
      <c r="I9908" s="3"/>
      <c r="J9908" s="3"/>
      <c r="K9908" s="3"/>
      <c r="L9908" s="3"/>
    </row>
    <row r="9909" spans="9:12" x14ac:dyDescent="0.25">
      <c r="I9909" s="3"/>
      <c r="J9909" s="3"/>
      <c r="K9909" s="3"/>
      <c r="L9909" s="3"/>
    </row>
    <row r="9910" spans="9:12" x14ac:dyDescent="0.25">
      <c r="I9910" s="3"/>
      <c r="J9910" s="3"/>
      <c r="K9910" s="3"/>
      <c r="L9910" s="3"/>
    </row>
    <row r="9911" spans="9:12" x14ac:dyDescent="0.25">
      <c r="I9911" s="3"/>
      <c r="J9911" s="3"/>
      <c r="K9911" s="3"/>
      <c r="L9911" s="3"/>
    </row>
    <row r="9912" spans="9:12" x14ac:dyDescent="0.25">
      <c r="I9912" s="3"/>
      <c r="J9912" s="3"/>
      <c r="K9912" s="3"/>
      <c r="L9912" s="3"/>
    </row>
    <row r="9913" spans="9:12" x14ac:dyDescent="0.25">
      <c r="I9913" s="3"/>
      <c r="J9913" s="3"/>
      <c r="K9913" s="3"/>
      <c r="L9913" s="3"/>
    </row>
    <row r="9914" spans="9:12" x14ac:dyDescent="0.25">
      <c r="I9914" s="3"/>
      <c r="J9914" s="3"/>
      <c r="K9914" s="3"/>
      <c r="L9914" s="3"/>
    </row>
    <row r="9915" spans="9:12" x14ac:dyDescent="0.25">
      <c r="I9915" s="3"/>
      <c r="J9915" s="3"/>
      <c r="K9915" s="3"/>
      <c r="L9915" s="3"/>
    </row>
    <row r="9916" spans="9:12" x14ac:dyDescent="0.25">
      <c r="I9916" s="3"/>
      <c r="J9916" s="3"/>
      <c r="K9916" s="3"/>
      <c r="L9916" s="3"/>
    </row>
    <row r="9917" spans="9:12" x14ac:dyDescent="0.25">
      <c r="I9917" s="4"/>
      <c r="J9917" s="4"/>
      <c r="K9917" s="4"/>
      <c r="L9917" s="4"/>
    </row>
    <row r="9918" spans="9:12" x14ac:dyDescent="0.25">
      <c r="I9918" s="4"/>
      <c r="J9918" s="4"/>
      <c r="K9918" s="4"/>
      <c r="L9918" s="4"/>
    </row>
    <row r="9919" spans="9:12" x14ac:dyDescent="0.25">
      <c r="I9919" s="3"/>
      <c r="J9919" s="3"/>
      <c r="K9919" s="3"/>
      <c r="L9919" s="3"/>
    </row>
    <row r="9920" spans="9:12" x14ac:dyDescent="0.25">
      <c r="I9920" s="3"/>
      <c r="J9920" s="3"/>
      <c r="K9920" s="3"/>
      <c r="L9920" s="3"/>
    </row>
    <row r="9921" spans="9:12" x14ac:dyDescent="0.25">
      <c r="I9921" s="3"/>
      <c r="J9921" s="3"/>
      <c r="K9921" s="3"/>
      <c r="L9921" s="3"/>
    </row>
    <row r="9922" spans="9:12" x14ac:dyDescent="0.25">
      <c r="I9922" s="3"/>
      <c r="J9922" s="3"/>
      <c r="K9922" s="3"/>
      <c r="L9922" s="3"/>
    </row>
    <row r="9923" spans="9:12" x14ac:dyDescent="0.25">
      <c r="I9923" s="3"/>
      <c r="J9923" s="3"/>
      <c r="K9923" s="3"/>
      <c r="L9923" s="3"/>
    </row>
    <row r="9924" spans="9:12" x14ac:dyDescent="0.25">
      <c r="I9924" s="3"/>
      <c r="J9924" s="3"/>
      <c r="K9924" s="3"/>
      <c r="L9924" s="3"/>
    </row>
    <row r="9925" spans="9:12" x14ac:dyDescent="0.25">
      <c r="I9925" s="3"/>
      <c r="J9925" s="3"/>
      <c r="K9925" s="3"/>
      <c r="L9925" s="3"/>
    </row>
    <row r="9926" spans="9:12" x14ac:dyDescent="0.25">
      <c r="I9926" s="3"/>
      <c r="J9926" s="3"/>
      <c r="K9926" s="3"/>
      <c r="L9926" s="3"/>
    </row>
    <row r="9927" spans="9:12" x14ac:dyDescent="0.25">
      <c r="I9927" s="3"/>
      <c r="J9927" s="3"/>
      <c r="K9927" s="3"/>
      <c r="L9927" s="3"/>
    </row>
    <row r="9928" spans="9:12" x14ac:dyDescent="0.25">
      <c r="I9928" s="3"/>
      <c r="J9928" s="3"/>
      <c r="K9928" s="3"/>
      <c r="L9928" s="3"/>
    </row>
    <row r="9929" spans="9:12" x14ac:dyDescent="0.25">
      <c r="I9929" s="3"/>
      <c r="J9929" s="3"/>
      <c r="K9929" s="3"/>
      <c r="L9929" s="3"/>
    </row>
    <row r="9930" spans="9:12" x14ac:dyDescent="0.25">
      <c r="I9930" s="3"/>
      <c r="J9930" s="3"/>
      <c r="K9930" s="3"/>
      <c r="L9930" s="3"/>
    </row>
    <row r="9931" spans="9:12" x14ac:dyDescent="0.25">
      <c r="I9931" s="3"/>
      <c r="J9931" s="3"/>
      <c r="K9931" s="3"/>
      <c r="L9931" s="3"/>
    </row>
    <row r="9932" spans="9:12" x14ac:dyDescent="0.25">
      <c r="I9932" s="3"/>
      <c r="J9932" s="3"/>
      <c r="K9932" s="3"/>
      <c r="L9932" s="3"/>
    </row>
    <row r="9933" spans="9:12" x14ac:dyDescent="0.25">
      <c r="I9933" s="3"/>
      <c r="J9933" s="3"/>
      <c r="K9933" s="3"/>
      <c r="L9933" s="3"/>
    </row>
    <row r="9934" spans="9:12" x14ac:dyDescent="0.25">
      <c r="I9934" s="3"/>
      <c r="J9934" s="3"/>
      <c r="K9934" s="3"/>
      <c r="L9934" s="3"/>
    </row>
    <row r="9935" spans="9:12" x14ac:dyDescent="0.25">
      <c r="I9935" s="3"/>
      <c r="J9935" s="3"/>
      <c r="K9935" s="3"/>
      <c r="L9935" s="3"/>
    </row>
    <row r="9936" spans="9:12" x14ac:dyDescent="0.25">
      <c r="I9936" s="3"/>
      <c r="J9936" s="3"/>
      <c r="K9936" s="3"/>
      <c r="L9936" s="3"/>
    </row>
    <row r="9937" spans="9:12" x14ac:dyDescent="0.25">
      <c r="I9937" s="3"/>
      <c r="J9937" s="3"/>
      <c r="K9937" s="3"/>
      <c r="L9937" s="3"/>
    </row>
    <row r="9938" spans="9:12" x14ac:dyDescent="0.25">
      <c r="I9938" s="3"/>
      <c r="J9938" s="3"/>
      <c r="K9938" s="3"/>
      <c r="L9938" s="3"/>
    </row>
    <row r="9939" spans="9:12" x14ac:dyDescent="0.25">
      <c r="I9939" s="3"/>
      <c r="J9939" s="3"/>
      <c r="K9939" s="3"/>
      <c r="L9939" s="3"/>
    </row>
    <row r="9940" spans="9:12" x14ac:dyDescent="0.25">
      <c r="I9940" s="5"/>
      <c r="J9940" s="5"/>
      <c r="K9940" s="5"/>
      <c r="L9940" s="5"/>
    </row>
    <row r="9941" spans="9:12" x14ac:dyDescent="0.25">
      <c r="I9941" s="3"/>
      <c r="J9941" s="3"/>
      <c r="K9941" s="3"/>
      <c r="L9941" s="3"/>
    </row>
    <row r="9942" spans="9:12" x14ac:dyDescent="0.25">
      <c r="I9942" s="3"/>
      <c r="J9942" s="3"/>
      <c r="K9942" s="3"/>
      <c r="L9942" s="3"/>
    </row>
    <row r="9943" spans="9:12" x14ac:dyDescent="0.25">
      <c r="I9943" s="3"/>
      <c r="J9943" s="3"/>
      <c r="K9943" s="3"/>
      <c r="L9943" s="3"/>
    </row>
    <row r="9944" spans="9:12" x14ac:dyDescent="0.25">
      <c r="I9944" s="3"/>
      <c r="J9944" s="3"/>
      <c r="K9944" s="3"/>
      <c r="L9944" s="3"/>
    </row>
    <row r="9945" spans="9:12" x14ac:dyDescent="0.25">
      <c r="I9945" s="3"/>
      <c r="J9945" s="3"/>
      <c r="K9945" s="3"/>
      <c r="L9945" s="3"/>
    </row>
    <row r="9946" spans="9:12" x14ac:dyDescent="0.25">
      <c r="I9946" s="3"/>
      <c r="J9946" s="3"/>
      <c r="K9946" s="3"/>
      <c r="L9946" s="3"/>
    </row>
    <row r="9947" spans="9:12" x14ac:dyDescent="0.25">
      <c r="I9947" s="3"/>
      <c r="J9947" s="3"/>
      <c r="K9947" s="3"/>
      <c r="L9947" s="3"/>
    </row>
    <row r="9948" spans="9:12" x14ac:dyDescent="0.25">
      <c r="I9948" s="3"/>
      <c r="J9948" s="3"/>
      <c r="K9948" s="3"/>
      <c r="L9948" s="3"/>
    </row>
    <row r="9949" spans="9:12" x14ac:dyDescent="0.25">
      <c r="I9949" s="3"/>
      <c r="J9949" s="3"/>
      <c r="K9949" s="3"/>
      <c r="L9949" s="3"/>
    </row>
    <row r="9950" spans="9:12" x14ac:dyDescent="0.25">
      <c r="I9950" s="3"/>
      <c r="J9950" s="3"/>
      <c r="K9950" s="3"/>
      <c r="L9950" s="3"/>
    </row>
    <row r="9951" spans="9:12" x14ac:dyDescent="0.25">
      <c r="I9951" s="3"/>
      <c r="J9951" s="3"/>
      <c r="K9951" s="3"/>
      <c r="L9951" s="3"/>
    </row>
    <row r="9952" spans="9:12" x14ac:dyDescent="0.25">
      <c r="I9952" s="3"/>
      <c r="J9952" s="3"/>
      <c r="K9952" s="3"/>
      <c r="L9952" s="3"/>
    </row>
    <row r="9953" spans="9:12" x14ac:dyDescent="0.25">
      <c r="I9953" s="3"/>
      <c r="J9953" s="3"/>
      <c r="K9953" s="3"/>
      <c r="L9953" s="3"/>
    </row>
    <row r="9954" spans="9:12" x14ac:dyDescent="0.25">
      <c r="I9954" s="3"/>
      <c r="J9954" s="3"/>
      <c r="K9954" s="3"/>
      <c r="L9954" s="3"/>
    </row>
    <row r="9955" spans="9:12" x14ac:dyDescent="0.25">
      <c r="I9955" s="3"/>
      <c r="J9955" s="3"/>
      <c r="K9955" s="3"/>
      <c r="L9955" s="3"/>
    </row>
    <row r="9956" spans="9:12" x14ac:dyDescent="0.25">
      <c r="I9956" s="3"/>
      <c r="J9956" s="3"/>
      <c r="K9956" s="3"/>
      <c r="L9956" s="3"/>
    </row>
    <row r="9957" spans="9:12" x14ac:dyDescent="0.25">
      <c r="I9957" s="3"/>
      <c r="J9957" s="3"/>
      <c r="K9957" s="3"/>
      <c r="L9957" s="3"/>
    </row>
    <row r="9958" spans="9:12" x14ac:dyDescent="0.25">
      <c r="I9958" s="3"/>
      <c r="J9958" s="3"/>
      <c r="K9958" s="3"/>
      <c r="L9958" s="3"/>
    </row>
    <row r="9959" spans="9:12" x14ac:dyDescent="0.25">
      <c r="I9959" s="3"/>
      <c r="J9959" s="3"/>
      <c r="K9959" s="3"/>
      <c r="L9959" s="3"/>
    </row>
    <row r="9960" spans="9:12" x14ac:dyDescent="0.25">
      <c r="I9960" s="3"/>
      <c r="J9960" s="3"/>
      <c r="K9960" s="3"/>
      <c r="L9960" s="3"/>
    </row>
    <row r="9961" spans="9:12" x14ac:dyDescent="0.25">
      <c r="I9961" s="3"/>
      <c r="J9961" s="3"/>
      <c r="K9961" s="3"/>
      <c r="L9961" s="3"/>
    </row>
    <row r="9962" spans="9:12" x14ac:dyDescent="0.25">
      <c r="I9962" s="3"/>
      <c r="J9962" s="3"/>
      <c r="K9962" s="3"/>
      <c r="L9962" s="3"/>
    </row>
    <row r="9963" spans="9:12" x14ac:dyDescent="0.25">
      <c r="I9963" s="3"/>
      <c r="J9963" s="3"/>
      <c r="K9963" s="3"/>
      <c r="L9963" s="3"/>
    </row>
    <row r="9964" spans="9:12" x14ac:dyDescent="0.25">
      <c r="I9964" s="3"/>
      <c r="J9964" s="3"/>
      <c r="K9964" s="3"/>
      <c r="L9964" s="3"/>
    </row>
    <row r="9965" spans="9:12" x14ac:dyDescent="0.25">
      <c r="I9965" s="3"/>
      <c r="J9965" s="3"/>
      <c r="K9965" s="3"/>
      <c r="L9965" s="3"/>
    </row>
    <row r="9966" spans="9:12" x14ac:dyDescent="0.25">
      <c r="I9966" s="3"/>
      <c r="J9966" s="3"/>
      <c r="K9966" s="3"/>
      <c r="L9966" s="3"/>
    </row>
    <row r="9967" spans="9:12" x14ac:dyDescent="0.25">
      <c r="I9967" s="3"/>
      <c r="J9967" s="3"/>
      <c r="K9967" s="3"/>
      <c r="L9967" s="3"/>
    </row>
    <row r="9968" spans="9:12" x14ac:dyDescent="0.25">
      <c r="I9968" s="3"/>
      <c r="J9968" s="3"/>
      <c r="K9968" s="3"/>
      <c r="L9968" s="3"/>
    </row>
    <row r="9969" spans="9:12" x14ac:dyDescent="0.25">
      <c r="I9969" s="3"/>
      <c r="J9969" s="3"/>
      <c r="K9969" s="3"/>
      <c r="L9969" s="3"/>
    </row>
    <row r="9970" spans="9:12" x14ac:dyDescent="0.25">
      <c r="I9970" s="3"/>
      <c r="J9970" s="3"/>
      <c r="K9970" s="3"/>
      <c r="L9970" s="3"/>
    </row>
    <row r="9971" spans="9:12" x14ac:dyDescent="0.25">
      <c r="I9971" s="3"/>
      <c r="J9971" s="3"/>
      <c r="K9971" s="3"/>
      <c r="L9971" s="3"/>
    </row>
    <row r="9972" spans="9:12" x14ac:dyDescent="0.25">
      <c r="I9972" s="3"/>
      <c r="J9972" s="3"/>
      <c r="K9972" s="3"/>
      <c r="L9972" s="3"/>
    </row>
    <row r="9973" spans="9:12" x14ac:dyDescent="0.25">
      <c r="I9973" s="3"/>
      <c r="J9973" s="3"/>
      <c r="K9973" s="3"/>
      <c r="L9973" s="3"/>
    </row>
    <row r="9974" spans="9:12" x14ac:dyDescent="0.25">
      <c r="I9974" s="3"/>
      <c r="J9974" s="3"/>
      <c r="K9974" s="3"/>
      <c r="L9974" s="3"/>
    </row>
    <row r="9975" spans="9:12" x14ac:dyDescent="0.25">
      <c r="I9975" s="3"/>
      <c r="J9975" s="3"/>
      <c r="K9975" s="3"/>
      <c r="L9975" s="3"/>
    </row>
    <row r="9976" spans="9:12" x14ac:dyDescent="0.25">
      <c r="I9976" s="3"/>
      <c r="J9976" s="3"/>
      <c r="K9976" s="3"/>
      <c r="L9976" s="3"/>
    </row>
    <row r="9977" spans="9:12" x14ac:dyDescent="0.25">
      <c r="I9977" s="3"/>
      <c r="J9977" s="3"/>
      <c r="K9977" s="3"/>
      <c r="L9977" s="3"/>
    </row>
    <row r="9978" spans="9:12" x14ac:dyDescent="0.25">
      <c r="I9978" s="3"/>
      <c r="J9978" s="3"/>
      <c r="K9978" s="3"/>
      <c r="L9978" s="3"/>
    </row>
    <row r="9979" spans="9:12" x14ac:dyDescent="0.25">
      <c r="I9979" s="3"/>
      <c r="J9979" s="3"/>
      <c r="K9979" s="3"/>
      <c r="L9979" s="3"/>
    </row>
    <row r="9980" spans="9:12" x14ac:dyDescent="0.25">
      <c r="I9980" s="3"/>
      <c r="J9980" s="3"/>
      <c r="K9980" s="3"/>
      <c r="L9980" s="3"/>
    </row>
    <row r="9981" spans="9:12" x14ac:dyDescent="0.25">
      <c r="I9981" s="3"/>
      <c r="J9981" s="3"/>
      <c r="K9981" s="3"/>
      <c r="L9981" s="3"/>
    </row>
    <row r="9982" spans="9:12" x14ac:dyDescent="0.25">
      <c r="I9982" s="3"/>
      <c r="J9982" s="3"/>
      <c r="K9982" s="3"/>
      <c r="L9982" s="3"/>
    </row>
    <row r="9983" spans="9:12" x14ac:dyDescent="0.25">
      <c r="I9983" s="3"/>
      <c r="J9983" s="3"/>
      <c r="K9983" s="3"/>
      <c r="L9983" s="3"/>
    </row>
    <row r="9984" spans="9:12" x14ac:dyDescent="0.25">
      <c r="I9984" s="3"/>
      <c r="J9984" s="3"/>
      <c r="K9984" s="3"/>
      <c r="L9984" s="3"/>
    </row>
    <row r="9985" spans="9:12" x14ac:dyDescent="0.25">
      <c r="I9985" s="3"/>
      <c r="J9985" s="3"/>
      <c r="K9985" s="3"/>
      <c r="L9985" s="3"/>
    </row>
    <row r="9986" spans="9:12" x14ac:dyDescent="0.25">
      <c r="I9986" s="3"/>
      <c r="J9986" s="3"/>
      <c r="K9986" s="3"/>
      <c r="L9986" s="3"/>
    </row>
    <row r="9987" spans="9:12" x14ac:dyDescent="0.25">
      <c r="I9987" s="4"/>
      <c r="J9987" s="4"/>
      <c r="K9987" s="4"/>
      <c r="L9987" s="4"/>
    </row>
    <row r="9988" spans="9:12" x14ac:dyDescent="0.25">
      <c r="I9988" s="4"/>
      <c r="J9988" s="4"/>
      <c r="K9988" s="4"/>
      <c r="L9988" s="4"/>
    </row>
    <row r="9989" spans="9:12" x14ac:dyDescent="0.25">
      <c r="I9989" s="4"/>
      <c r="J9989" s="4"/>
      <c r="K9989" s="4"/>
      <c r="L9989" s="4"/>
    </row>
    <row r="9990" spans="9:12" x14ac:dyDescent="0.25">
      <c r="I9990" s="4"/>
      <c r="J9990" s="4"/>
      <c r="K9990" s="4"/>
      <c r="L9990" s="4"/>
    </row>
    <row r="9991" spans="9:12" x14ac:dyDescent="0.25">
      <c r="I9991" s="4"/>
      <c r="J9991" s="4"/>
      <c r="K9991" s="4"/>
      <c r="L9991" s="4"/>
    </row>
    <row r="9992" spans="9:12" x14ac:dyDescent="0.25">
      <c r="I9992" s="3"/>
      <c r="J9992" s="3"/>
      <c r="K9992" s="3"/>
      <c r="L9992" s="3"/>
    </row>
    <row r="9993" spans="9:12" x14ac:dyDescent="0.25">
      <c r="I9993" s="3"/>
      <c r="J9993" s="3"/>
      <c r="K9993" s="3"/>
      <c r="L9993" s="3"/>
    </row>
    <row r="9994" spans="9:12" x14ac:dyDescent="0.25">
      <c r="I9994" s="3"/>
      <c r="J9994" s="3"/>
      <c r="K9994" s="3"/>
      <c r="L9994" s="3"/>
    </row>
    <row r="9995" spans="9:12" x14ac:dyDescent="0.25">
      <c r="I9995" s="3"/>
      <c r="J9995" s="3"/>
      <c r="K9995" s="3"/>
      <c r="L9995" s="3"/>
    </row>
    <row r="9996" spans="9:12" x14ac:dyDescent="0.25">
      <c r="I9996" s="3"/>
      <c r="J9996" s="3"/>
      <c r="K9996" s="3"/>
      <c r="L9996" s="3"/>
    </row>
    <row r="9997" spans="9:12" x14ac:dyDescent="0.25">
      <c r="I9997" s="5"/>
      <c r="J9997" s="5"/>
      <c r="K9997" s="5"/>
      <c r="L9997" s="5"/>
    </row>
    <row r="9998" spans="9:12" x14ac:dyDescent="0.25">
      <c r="I9998" s="5"/>
      <c r="J9998" s="5"/>
      <c r="K9998" s="5"/>
      <c r="L9998" s="5"/>
    </row>
    <row r="9999" spans="9:12" x14ac:dyDescent="0.25">
      <c r="I9999" s="3"/>
      <c r="J9999" s="3"/>
      <c r="K9999" s="3"/>
      <c r="L9999" s="3"/>
    </row>
    <row r="10000" spans="9:12" x14ac:dyDescent="0.25">
      <c r="I10000" s="3"/>
      <c r="J10000" s="3"/>
      <c r="K10000" s="3"/>
      <c r="L10000" s="3"/>
    </row>
    <row r="10001" spans="9:12" x14ac:dyDescent="0.25">
      <c r="I10001" s="3"/>
      <c r="J10001" s="3"/>
      <c r="K10001" s="3"/>
      <c r="L10001" s="3"/>
    </row>
    <row r="10002" spans="9:12" x14ac:dyDescent="0.25">
      <c r="I10002" s="3"/>
      <c r="J10002" s="3"/>
      <c r="K10002" s="3"/>
      <c r="L10002" s="3"/>
    </row>
    <row r="10003" spans="9:12" x14ac:dyDescent="0.25">
      <c r="I10003" s="3"/>
      <c r="J10003" s="3"/>
      <c r="K10003" s="3"/>
      <c r="L10003" s="3"/>
    </row>
    <row r="10004" spans="9:12" x14ac:dyDescent="0.25">
      <c r="I10004" s="3"/>
      <c r="J10004" s="3"/>
      <c r="K10004" s="3"/>
      <c r="L10004" s="3"/>
    </row>
    <row r="10005" spans="9:12" x14ac:dyDescent="0.25">
      <c r="I10005" s="3"/>
      <c r="J10005" s="3"/>
      <c r="K10005" s="3"/>
      <c r="L10005" s="3"/>
    </row>
    <row r="10006" spans="9:12" x14ac:dyDescent="0.25">
      <c r="I10006" s="3"/>
      <c r="J10006" s="3"/>
      <c r="K10006" s="3"/>
      <c r="L10006" s="3"/>
    </row>
    <row r="10007" spans="9:12" x14ac:dyDescent="0.25">
      <c r="I10007" s="3"/>
      <c r="J10007" s="3"/>
      <c r="K10007" s="3"/>
      <c r="L10007" s="3"/>
    </row>
    <row r="10008" spans="9:12" x14ac:dyDescent="0.25">
      <c r="I10008" s="3"/>
      <c r="J10008" s="3"/>
      <c r="K10008" s="3"/>
      <c r="L10008" s="3"/>
    </row>
    <row r="10009" spans="9:12" x14ac:dyDescent="0.25">
      <c r="I10009" s="3"/>
      <c r="J10009" s="3"/>
      <c r="K10009" s="3"/>
      <c r="L10009" s="3"/>
    </row>
    <row r="10010" spans="9:12" x14ac:dyDescent="0.25">
      <c r="I10010" s="3"/>
      <c r="J10010" s="3"/>
      <c r="K10010" s="3"/>
      <c r="L10010" s="3"/>
    </row>
    <row r="10011" spans="9:12" x14ac:dyDescent="0.25">
      <c r="I10011" s="3"/>
      <c r="J10011" s="3"/>
      <c r="K10011" s="3"/>
      <c r="L10011" s="3"/>
    </row>
    <row r="10012" spans="9:12" x14ac:dyDescent="0.25">
      <c r="I10012" s="3"/>
      <c r="J10012" s="3"/>
      <c r="K10012" s="3"/>
      <c r="L10012" s="3"/>
    </row>
    <row r="10013" spans="9:12" x14ac:dyDescent="0.25">
      <c r="I10013" s="3"/>
      <c r="J10013" s="3"/>
      <c r="K10013" s="3"/>
      <c r="L10013" s="3"/>
    </row>
    <row r="10014" spans="9:12" x14ac:dyDescent="0.25">
      <c r="I10014" s="3"/>
      <c r="J10014" s="3"/>
      <c r="K10014" s="3"/>
      <c r="L10014" s="3"/>
    </row>
    <row r="10015" spans="9:12" x14ac:dyDescent="0.25">
      <c r="I10015" s="3"/>
      <c r="J10015" s="3"/>
      <c r="K10015" s="3"/>
      <c r="L10015" s="3"/>
    </row>
    <row r="10016" spans="9:12" x14ac:dyDescent="0.25">
      <c r="I10016" s="3"/>
      <c r="J10016" s="3"/>
      <c r="K10016" s="3"/>
      <c r="L10016" s="3"/>
    </row>
    <row r="10017" spans="9:12" x14ac:dyDescent="0.25">
      <c r="I10017" s="3"/>
      <c r="J10017" s="3"/>
      <c r="K10017" s="3"/>
      <c r="L10017" s="3"/>
    </row>
    <row r="10018" spans="9:12" x14ac:dyDescent="0.25">
      <c r="I10018" s="3"/>
      <c r="J10018" s="3"/>
      <c r="K10018" s="3"/>
      <c r="L10018" s="3"/>
    </row>
    <row r="10019" spans="9:12" x14ac:dyDescent="0.25">
      <c r="I10019" s="3"/>
      <c r="J10019" s="3"/>
      <c r="K10019" s="3"/>
      <c r="L10019" s="3"/>
    </row>
    <row r="10020" spans="9:12" x14ac:dyDescent="0.25">
      <c r="I10020" s="3"/>
      <c r="J10020" s="3"/>
      <c r="K10020" s="3"/>
      <c r="L10020" s="3"/>
    </row>
    <row r="10021" spans="9:12" x14ac:dyDescent="0.25">
      <c r="I10021" s="3"/>
      <c r="J10021" s="3"/>
      <c r="K10021" s="3"/>
      <c r="L10021" s="3"/>
    </row>
    <row r="10022" spans="9:12" x14ac:dyDescent="0.25">
      <c r="I10022" s="3"/>
      <c r="J10022" s="3"/>
      <c r="K10022" s="3"/>
      <c r="L10022" s="3"/>
    </row>
    <row r="10023" spans="9:12" x14ac:dyDescent="0.25">
      <c r="I10023" s="3"/>
      <c r="J10023" s="3"/>
      <c r="K10023" s="3"/>
      <c r="L10023" s="3"/>
    </row>
    <row r="10024" spans="9:12" x14ac:dyDescent="0.25">
      <c r="I10024" s="3"/>
      <c r="J10024" s="3"/>
      <c r="K10024" s="3"/>
      <c r="L10024" s="3"/>
    </row>
    <row r="10025" spans="9:12" x14ac:dyDescent="0.25">
      <c r="I10025" s="3"/>
      <c r="J10025" s="3"/>
      <c r="K10025" s="3"/>
      <c r="L10025" s="3"/>
    </row>
    <row r="10026" spans="9:12" x14ac:dyDescent="0.25">
      <c r="I10026" s="3"/>
      <c r="J10026" s="3"/>
      <c r="K10026" s="3"/>
      <c r="L10026" s="3"/>
    </row>
    <row r="10027" spans="9:12" x14ac:dyDescent="0.25">
      <c r="I10027" s="3"/>
      <c r="J10027" s="3"/>
      <c r="K10027" s="3"/>
      <c r="L10027" s="3"/>
    </row>
    <row r="10028" spans="9:12" x14ac:dyDescent="0.25">
      <c r="I10028" s="3"/>
      <c r="J10028" s="3"/>
      <c r="K10028" s="3"/>
      <c r="L10028" s="3"/>
    </row>
    <row r="10029" spans="9:12" x14ac:dyDescent="0.25">
      <c r="I10029" s="3"/>
      <c r="J10029" s="3"/>
      <c r="K10029" s="3"/>
      <c r="L10029" s="3"/>
    </row>
    <row r="10030" spans="9:12" x14ac:dyDescent="0.25">
      <c r="I10030" s="3"/>
      <c r="J10030" s="3"/>
      <c r="K10030" s="3"/>
      <c r="L10030" s="3"/>
    </row>
    <row r="10031" spans="9:12" x14ac:dyDescent="0.25">
      <c r="I10031" s="3"/>
      <c r="J10031" s="3"/>
      <c r="K10031" s="3"/>
      <c r="L10031" s="3"/>
    </row>
    <row r="10032" spans="9:12" x14ac:dyDescent="0.25">
      <c r="I10032" s="3"/>
      <c r="J10032" s="3"/>
      <c r="K10032" s="3"/>
      <c r="L10032" s="3"/>
    </row>
    <row r="10033" spans="9:12" x14ac:dyDescent="0.25">
      <c r="I10033" s="3"/>
      <c r="J10033" s="3"/>
      <c r="K10033" s="3"/>
      <c r="L10033" s="3"/>
    </row>
    <row r="10034" spans="9:12" x14ac:dyDescent="0.25">
      <c r="I10034" s="3"/>
      <c r="J10034" s="3"/>
      <c r="K10034" s="3"/>
      <c r="L10034" s="3"/>
    </row>
    <row r="10035" spans="9:12" x14ac:dyDescent="0.25">
      <c r="I10035" s="3"/>
      <c r="J10035" s="3"/>
      <c r="K10035" s="3"/>
      <c r="L10035" s="3"/>
    </row>
    <row r="10036" spans="9:12" x14ac:dyDescent="0.25">
      <c r="I10036" s="3"/>
      <c r="J10036" s="3"/>
      <c r="K10036" s="3"/>
      <c r="L10036" s="3"/>
    </row>
    <row r="10037" spans="9:12" x14ac:dyDescent="0.25">
      <c r="I10037" s="3"/>
      <c r="J10037" s="3"/>
      <c r="K10037" s="3"/>
      <c r="L10037" s="3"/>
    </row>
    <row r="10038" spans="9:12" x14ac:dyDescent="0.25">
      <c r="I10038" s="3"/>
      <c r="J10038" s="3"/>
      <c r="K10038" s="3"/>
      <c r="L10038" s="3"/>
    </row>
    <row r="10039" spans="9:12" x14ac:dyDescent="0.25">
      <c r="I10039" s="3"/>
      <c r="J10039" s="3"/>
      <c r="K10039" s="3"/>
      <c r="L10039" s="3"/>
    </row>
    <row r="10040" spans="9:12" x14ac:dyDescent="0.25">
      <c r="I10040" s="3"/>
      <c r="J10040" s="3"/>
      <c r="K10040" s="3"/>
      <c r="L10040" s="3"/>
    </row>
    <row r="10041" spans="9:12" x14ac:dyDescent="0.25">
      <c r="I10041" s="3"/>
      <c r="J10041" s="3"/>
      <c r="K10041" s="3"/>
      <c r="L10041" s="3"/>
    </row>
    <row r="10042" spans="9:12" x14ac:dyDescent="0.25">
      <c r="I10042" s="3"/>
      <c r="J10042" s="3"/>
      <c r="K10042" s="3"/>
      <c r="L10042" s="3"/>
    </row>
    <row r="10043" spans="9:12" x14ac:dyDescent="0.25">
      <c r="I10043" s="3"/>
      <c r="J10043" s="3"/>
      <c r="K10043" s="3"/>
      <c r="L10043" s="3"/>
    </row>
    <row r="10044" spans="9:12" x14ac:dyDescent="0.25">
      <c r="I10044" s="3"/>
      <c r="J10044" s="3"/>
      <c r="K10044" s="3"/>
      <c r="L10044" s="3"/>
    </row>
    <row r="10045" spans="9:12" x14ac:dyDescent="0.25">
      <c r="I10045" s="3"/>
      <c r="J10045" s="3"/>
      <c r="K10045" s="3"/>
      <c r="L10045" s="3"/>
    </row>
    <row r="10046" spans="9:12" x14ac:dyDescent="0.25">
      <c r="I10046" s="3"/>
      <c r="J10046" s="3"/>
      <c r="K10046" s="3"/>
      <c r="L10046" s="3"/>
    </row>
    <row r="10047" spans="9:12" x14ac:dyDescent="0.25">
      <c r="I10047" s="3"/>
      <c r="J10047" s="3"/>
      <c r="K10047" s="3"/>
      <c r="L10047" s="3"/>
    </row>
    <row r="10048" spans="9:12" x14ac:dyDescent="0.25">
      <c r="I10048" s="3"/>
      <c r="J10048" s="3"/>
      <c r="K10048" s="3"/>
      <c r="L10048" s="3"/>
    </row>
    <row r="10049" spans="9:12" x14ac:dyDescent="0.25">
      <c r="I10049" s="3"/>
      <c r="J10049" s="3"/>
      <c r="K10049" s="3"/>
      <c r="L10049" s="3"/>
    </row>
    <row r="10050" spans="9:12" x14ac:dyDescent="0.25">
      <c r="I10050" s="3"/>
      <c r="J10050" s="3"/>
      <c r="K10050" s="3"/>
      <c r="L10050" s="3"/>
    </row>
    <row r="10051" spans="9:12" x14ac:dyDescent="0.25">
      <c r="I10051" s="3"/>
      <c r="J10051" s="3"/>
      <c r="K10051" s="3"/>
      <c r="L10051" s="3"/>
    </row>
    <row r="10052" spans="9:12" x14ac:dyDescent="0.25">
      <c r="I10052" s="3"/>
      <c r="J10052" s="3"/>
      <c r="K10052" s="3"/>
      <c r="L10052" s="3"/>
    </row>
    <row r="10053" spans="9:12" x14ac:dyDescent="0.25">
      <c r="I10053" s="3"/>
      <c r="J10053" s="3"/>
      <c r="K10053" s="3"/>
      <c r="L10053" s="3"/>
    </row>
    <row r="10054" spans="9:12" x14ac:dyDescent="0.25">
      <c r="I10054" s="3"/>
      <c r="J10054" s="3"/>
      <c r="K10054" s="3"/>
      <c r="L10054" s="3"/>
    </row>
    <row r="10055" spans="9:12" x14ac:dyDescent="0.25">
      <c r="I10055" s="4"/>
      <c r="J10055" s="4"/>
      <c r="K10055" s="4"/>
      <c r="L10055" s="4"/>
    </row>
    <row r="10056" spans="9:12" x14ac:dyDescent="0.25">
      <c r="I10056" s="3"/>
      <c r="J10056" s="3"/>
      <c r="K10056" s="3"/>
      <c r="L10056" s="3"/>
    </row>
    <row r="10057" spans="9:12" x14ac:dyDescent="0.25">
      <c r="I10057" s="3"/>
      <c r="J10057" s="3"/>
      <c r="K10057" s="3"/>
      <c r="L10057" s="3"/>
    </row>
    <row r="10058" spans="9:12" x14ac:dyDescent="0.25">
      <c r="I10058" s="3"/>
      <c r="J10058" s="3"/>
      <c r="K10058" s="3"/>
      <c r="L10058" s="3"/>
    </row>
    <row r="10059" spans="9:12" x14ac:dyDescent="0.25">
      <c r="I10059" s="3"/>
      <c r="J10059" s="3"/>
      <c r="K10059" s="3"/>
      <c r="L10059" s="3"/>
    </row>
    <row r="10060" spans="9:12" x14ac:dyDescent="0.25">
      <c r="I10060" s="3"/>
      <c r="J10060" s="3"/>
      <c r="K10060" s="3"/>
      <c r="L10060" s="3"/>
    </row>
    <row r="10061" spans="9:12" x14ac:dyDescent="0.25">
      <c r="I10061" s="3"/>
      <c r="J10061" s="3"/>
      <c r="K10061" s="3"/>
      <c r="L10061" s="3"/>
    </row>
    <row r="10062" spans="9:12" x14ac:dyDescent="0.25">
      <c r="I10062" s="3"/>
      <c r="J10062" s="3"/>
      <c r="K10062" s="3"/>
      <c r="L10062" s="3"/>
    </row>
    <row r="10063" spans="9:12" x14ac:dyDescent="0.25">
      <c r="I10063" s="3"/>
      <c r="J10063" s="3"/>
      <c r="K10063" s="3"/>
      <c r="L10063" s="3"/>
    </row>
    <row r="10064" spans="9:12" x14ac:dyDescent="0.25">
      <c r="I10064" s="3"/>
      <c r="J10064" s="3"/>
      <c r="K10064" s="3"/>
      <c r="L10064" s="3"/>
    </row>
    <row r="10065" spans="9:12" x14ac:dyDescent="0.25">
      <c r="I10065" s="3"/>
      <c r="J10065" s="3"/>
      <c r="K10065" s="3"/>
      <c r="L10065" s="3"/>
    </row>
    <row r="10066" spans="9:12" x14ac:dyDescent="0.25">
      <c r="I10066" s="3"/>
      <c r="J10066" s="3"/>
      <c r="K10066" s="3"/>
      <c r="L10066" s="3"/>
    </row>
    <row r="10067" spans="9:12" x14ac:dyDescent="0.25">
      <c r="I10067" s="3"/>
      <c r="J10067" s="3"/>
      <c r="K10067" s="3"/>
      <c r="L10067" s="3"/>
    </row>
    <row r="10068" spans="9:12" x14ac:dyDescent="0.25">
      <c r="I10068" s="3"/>
      <c r="J10068" s="3"/>
      <c r="K10068" s="3"/>
      <c r="L10068" s="3"/>
    </row>
    <row r="10069" spans="9:12" x14ac:dyDescent="0.25">
      <c r="I10069" s="3"/>
      <c r="J10069" s="3"/>
      <c r="K10069" s="3"/>
      <c r="L10069" s="3"/>
    </row>
    <row r="10070" spans="9:12" x14ac:dyDescent="0.25">
      <c r="I10070" s="3"/>
      <c r="J10070" s="3"/>
      <c r="K10070" s="3"/>
      <c r="L10070" s="3"/>
    </row>
    <row r="10071" spans="9:12" x14ac:dyDescent="0.25">
      <c r="I10071" s="3"/>
      <c r="J10071" s="3"/>
      <c r="K10071" s="3"/>
      <c r="L10071" s="3"/>
    </row>
    <row r="10072" spans="9:12" x14ac:dyDescent="0.25">
      <c r="I10072" s="3"/>
      <c r="J10072" s="3"/>
      <c r="K10072" s="3"/>
      <c r="L10072" s="3"/>
    </row>
    <row r="10073" spans="9:12" x14ac:dyDescent="0.25">
      <c r="I10073" s="3"/>
      <c r="J10073" s="3"/>
      <c r="K10073" s="3"/>
      <c r="L10073" s="3"/>
    </row>
    <row r="10074" spans="9:12" x14ac:dyDescent="0.25">
      <c r="I10074" s="3"/>
      <c r="J10074" s="3"/>
      <c r="K10074" s="3"/>
      <c r="L10074" s="3"/>
    </row>
    <row r="10075" spans="9:12" x14ac:dyDescent="0.25">
      <c r="I10075" s="3"/>
      <c r="J10075" s="3"/>
      <c r="K10075" s="3"/>
      <c r="L10075" s="3"/>
    </row>
    <row r="10076" spans="9:12" x14ac:dyDescent="0.25">
      <c r="I10076" s="3"/>
      <c r="J10076" s="3"/>
      <c r="K10076" s="3"/>
      <c r="L10076" s="3"/>
    </row>
    <row r="10077" spans="9:12" x14ac:dyDescent="0.25">
      <c r="I10077" s="3"/>
      <c r="J10077" s="3"/>
      <c r="K10077" s="3"/>
      <c r="L10077" s="3"/>
    </row>
    <row r="10078" spans="9:12" x14ac:dyDescent="0.25">
      <c r="I10078" s="3"/>
      <c r="J10078" s="3"/>
      <c r="K10078" s="3"/>
      <c r="L10078" s="3"/>
    </row>
    <row r="10079" spans="9:12" x14ac:dyDescent="0.25">
      <c r="I10079" s="3"/>
      <c r="J10079" s="3"/>
      <c r="K10079" s="3"/>
      <c r="L10079" s="3"/>
    </row>
    <row r="10080" spans="9:12" x14ac:dyDescent="0.25">
      <c r="I10080" s="3"/>
      <c r="J10080" s="3"/>
      <c r="K10080" s="3"/>
      <c r="L10080" s="3"/>
    </row>
    <row r="10081" spans="9:12" x14ac:dyDescent="0.25">
      <c r="I10081" s="3"/>
      <c r="J10081" s="3"/>
      <c r="K10081" s="3"/>
      <c r="L10081" s="3"/>
    </row>
    <row r="10082" spans="9:12" x14ac:dyDescent="0.25">
      <c r="I10082" s="3"/>
      <c r="J10082" s="3"/>
      <c r="K10082" s="3"/>
      <c r="L10082" s="3"/>
    </row>
    <row r="10083" spans="9:12" x14ac:dyDescent="0.25">
      <c r="I10083" s="3"/>
      <c r="J10083" s="3"/>
      <c r="K10083" s="3"/>
      <c r="L10083" s="3"/>
    </row>
    <row r="10084" spans="9:12" x14ac:dyDescent="0.25">
      <c r="I10084" s="3"/>
      <c r="J10084" s="3"/>
      <c r="K10084" s="3"/>
      <c r="L10084" s="3"/>
    </row>
    <row r="10085" spans="9:12" x14ac:dyDescent="0.25">
      <c r="I10085" s="3"/>
      <c r="J10085" s="3"/>
      <c r="K10085" s="3"/>
      <c r="L10085" s="3"/>
    </row>
    <row r="10086" spans="9:12" x14ac:dyDescent="0.25">
      <c r="I10086" s="3"/>
      <c r="J10086" s="3"/>
      <c r="K10086" s="3"/>
      <c r="L10086" s="3"/>
    </row>
    <row r="10087" spans="9:12" x14ac:dyDescent="0.25">
      <c r="I10087" s="3"/>
      <c r="J10087" s="3"/>
      <c r="K10087" s="3"/>
      <c r="L10087" s="3"/>
    </row>
    <row r="10088" spans="9:12" x14ac:dyDescent="0.25">
      <c r="I10088" s="3"/>
      <c r="J10088" s="3"/>
      <c r="K10088" s="3"/>
      <c r="L10088" s="3"/>
    </row>
    <row r="10089" spans="9:12" x14ac:dyDescent="0.25">
      <c r="I10089" s="3"/>
      <c r="J10089" s="3"/>
      <c r="K10089" s="3"/>
      <c r="L10089" s="3"/>
    </row>
    <row r="10090" spans="9:12" x14ac:dyDescent="0.25">
      <c r="I10090" s="3"/>
      <c r="J10090" s="3"/>
      <c r="K10090" s="3"/>
      <c r="L10090" s="3"/>
    </row>
    <row r="10091" spans="9:12" x14ac:dyDescent="0.25">
      <c r="I10091" s="3"/>
      <c r="J10091" s="3"/>
      <c r="K10091" s="3"/>
      <c r="L10091" s="3"/>
    </row>
    <row r="10092" spans="9:12" x14ac:dyDescent="0.25">
      <c r="I10092" s="3"/>
      <c r="J10092" s="3"/>
      <c r="K10092" s="3"/>
      <c r="L10092" s="3"/>
    </row>
    <row r="10093" spans="9:12" x14ac:dyDescent="0.25">
      <c r="I10093" s="3"/>
      <c r="J10093" s="3"/>
      <c r="K10093" s="3"/>
      <c r="L10093" s="3"/>
    </row>
    <row r="10094" spans="9:12" x14ac:dyDescent="0.25">
      <c r="I10094" s="3"/>
      <c r="J10094" s="3"/>
      <c r="K10094" s="3"/>
      <c r="L10094" s="3"/>
    </row>
    <row r="10095" spans="9:12" x14ac:dyDescent="0.25">
      <c r="I10095" s="3"/>
      <c r="J10095" s="3"/>
      <c r="K10095" s="3"/>
      <c r="L10095" s="3"/>
    </row>
    <row r="10096" spans="9:12" x14ac:dyDescent="0.25">
      <c r="I10096" s="3"/>
      <c r="J10096" s="3"/>
      <c r="K10096" s="3"/>
      <c r="L10096" s="3"/>
    </row>
    <row r="10097" spans="9:12" x14ac:dyDescent="0.25">
      <c r="I10097" s="3"/>
      <c r="J10097" s="3"/>
      <c r="K10097" s="3"/>
      <c r="L10097" s="3"/>
    </row>
    <row r="10098" spans="9:12" x14ac:dyDescent="0.25">
      <c r="I10098" s="3"/>
      <c r="J10098" s="3"/>
      <c r="K10098" s="3"/>
      <c r="L10098" s="3"/>
    </row>
    <row r="10099" spans="9:12" x14ac:dyDescent="0.25">
      <c r="I10099" s="3"/>
      <c r="J10099" s="3"/>
      <c r="K10099" s="3"/>
      <c r="L10099" s="3"/>
    </row>
    <row r="10100" spans="9:12" x14ac:dyDescent="0.25">
      <c r="I10100" s="3"/>
      <c r="J10100" s="3"/>
      <c r="K10100" s="3"/>
      <c r="L10100" s="3"/>
    </row>
    <row r="10101" spans="9:12" x14ac:dyDescent="0.25">
      <c r="I10101" s="3"/>
      <c r="J10101" s="3"/>
      <c r="K10101" s="3"/>
      <c r="L10101" s="3"/>
    </row>
    <row r="10102" spans="9:12" x14ac:dyDescent="0.25">
      <c r="I10102" s="3"/>
      <c r="J10102" s="3"/>
      <c r="K10102" s="3"/>
      <c r="L10102" s="3"/>
    </row>
    <row r="10103" spans="9:12" x14ac:dyDescent="0.25">
      <c r="I10103" s="3"/>
      <c r="J10103" s="3"/>
      <c r="K10103" s="3"/>
      <c r="L10103" s="3"/>
    </row>
    <row r="10104" spans="9:12" x14ac:dyDescent="0.25">
      <c r="I10104" s="3"/>
      <c r="J10104" s="3"/>
      <c r="K10104" s="3"/>
      <c r="L10104" s="3"/>
    </row>
    <row r="10105" spans="9:12" x14ac:dyDescent="0.25">
      <c r="I10105" s="3"/>
      <c r="J10105" s="3"/>
      <c r="K10105" s="3"/>
      <c r="L10105" s="3"/>
    </row>
    <row r="10106" spans="9:12" x14ac:dyDescent="0.25">
      <c r="I10106" s="3"/>
      <c r="J10106" s="3"/>
      <c r="K10106" s="3"/>
      <c r="L10106" s="3"/>
    </row>
    <row r="10107" spans="9:12" x14ac:dyDescent="0.25">
      <c r="I10107" s="3"/>
      <c r="J10107" s="3"/>
      <c r="K10107" s="3"/>
      <c r="L10107" s="3"/>
    </row>
    <row r="10108" spans="9:12" x14ac:dyDescent="0.25">
      <c r="I10108" s="3"/>
      <c r="J10108" s="3"/>
      <c r="K10108" s="3"/>
      <c r="L10108" s="3"/>
    </row>
    <row r="10109" spans="9:12" x14ac:dyDescent="0.25">
      <c r="I10109" s="3"/>
      <c r="J10109" s="3"/>
      <c r="K10109" s="3"/>
      <c r="L10109" s="3"/>
    </row>
    <row r="10110" spans="9:12" x14ac:dyDescent="0.25">
      <c r="I10110" s="3"/>
      <c r="J10110" s="3"/>
      <c r="K10110" s="3"/>
      <c r="L10110" s="3"/>
    </row>
    <row r="10111" spans="9:12" x14ac:dyDescent="0.25">
      <c r="I10111" s="3"/>
      <c r="J10111" s="3"/>
      <c r="K10111" s="3"/>
      <c r="L10111" s="3"/>
    </row>
    <row r="10112" spans="9:12" x14ac:dyDescent="0.25">
      <c r="I10112" s="3"/>
      <c r="J10112" s="3"/>
      <c r="K10112" s="3"/>
      <c r="L10112" s="3"/>
    </row>
    <row r="10113" spans="9:12" x14ac:dyDescent="0.25">
      <c r="I10113" s="3"/>
      <c r="J10113" s="3"/>
      <c r="K10113" s="3"/>
      <c r="L10113" s="3"/>
    </row>
    <row r="10114" spans="9:12" x14ac:dyDescent="0.25">
      <c r="I10114" s="3"/>
      <c r="J10114" s="3"/>
      <c r="K10114" s="3"/>
      <c r="L10114" s="3"/>
    </row>
    <row r="10115" spans="9:12" x14ac:dyDescent="0.25">
      <c r="I10115" s="3"/>
      <c r="J10115" s="3"/>
      <c r="K10115" s="3"/>
      <c r="L10115" s="3"/>
    </row>
    <row r="10116" spans="9:12" x14ac:dyDescent="0.25">
      <c r="I10116" s="3"/>
      <c r="J10116" s="3"/>
      <c r="K10116" s="3"/>
      <c r="L10116" s="3"/>
    </row>
    <row r="10117" spans="9:12" x14ac:dyDescent="0.25">
      <c r="I10117" s="3"/>
      <c r="J10117" s="3"/>
      <c r="K10117" s="3"/>
      <c r="L10117" s="3"/>
    </row>
    <row r="10118" spans="9:12" x14ac:dyDescent="0.25">
      <c r="I10118" s="3"/>
      <c r="J10118" s="3"/>
      <c r="K10118" s="3"/>
      <c r="L10118" s="3"/>
    </row>
    <row r="10119" spans="9:12" x14ac:dyDescent="0.25">
      <c r="I10119" s="3"/>
      <c r="J10119" s="3"/>
      <c r="K10119" s="3"/>
      <c r="L10119" s="3"/>
    </row>
    <row r="10120" spans="9:12" x14ac:dyDescent="0.25">
      <c r="I10120" s="3"/>
      <c r="J10120" s="3"/>
      <c r="K10120" s="3"/>
      <c r="L10120" s="3"/>
    </row>
    <row r="10121" spans="9:12" x14ac:dyDescent="0.25">
      <c r="I10121" s="3"/>
      <c r="J10121" s="3"/>
      <c r="K10121" s="3"/>
      <c r="L10121" s="3"/>
    </row>
    <row r="10122" spans="9:12" x14ac:dyDescent="0.25">
      <c r="I10122" s="3"/>
      <c r="J10122" s="3"/>
      <c r="K10122" s="3"/>
      <c r="L10122" s="3"/>
    </row>
    <row r="10123" spans="9:12" x14ac:dyDescent="0.25">
      <c r="I10123" s="3"/>
      <c r="J10123" s="3"/>
      <c r="K10123" s="3"/>
      <c r="L10123" s="3"/>
    </row>
    <row r="10124" spans="9:12" x14ac:dyDescent="0.25">
      <c r="I10124" s="3"/>
      <c r="J10124" s="3"/>
      <c r="K10124" s="3"/>
      <c r="L10124" s="3"/>
    </row>
    <row r="10125" spans="9:12" x14ac:dyDescent="0.25">
      <c r="I10125" s="3"/>
      <c r="J10125" s="3"/>
      <c r="K10125" s="3"/>
      <c r="L10125" s="3"/>
    </row>
    <row r="10126" spans="9:12" x14ac:dyDescent="0.25">
      <c r="I10126" s="3"/>
      <c r="J10126" s="3"/>
      <c r="K10126" s="3"/>
      <c r="L10126" s="3"/>
    </row>
    <row r="10127" spans="9:12" x14ac:dyDescent="0.25">
      <c r="I10127" s="3"/>
      <c r="J10127" s="3"/>
      <c r="K10127" s="3"/>
      <c r="L10127" s="3"/>
    </row>
    <row r="10128" spans="9:12" x14ac:dyDescent="0.25">
      <c r="I10128" s="3"/>
      <c r="J10128" s="3"/>
      <c r="K10128" s="3"/>
      <c r="L10128" s="3"/>
    </row>
    <row r="10129" spans="9:12" x14ac:dyDescent="0.25">
      <c r="I10129" s="3"/>
      <c r="J10129" s="3"/>
      <c r="K10129" s="3"/>
      <c r="L10129" s="3"/>
    </row>
    <row r="10130" spans="9:12" x14ac:dyDescent="0.25">
      <c r="I10130" s="3"/>
      <c r="J10130" s="3"/>
      <c r="K10130" s="3"/>
      <c r="L10130" s="3"/>
    </row>
    <row r="10131" spans="9:12" x14ac:dyDescent="0.25">
      <c r="I10131" s="3"/>
      <c r="J10131" s="3"/>
      <c r="K10131" s="3"/>
      <c r="L10131" s="3"/>
    </row>
    <row r="10132" spans="9:12" x14ac:dyDescent="0.25">
      <c r="I10132" s="3"/>
      <c r="J10132" s="3"/>
      <c r="K10132" s="3"/>
      <c r="L10132" s="3"/>
    </row>
    <row r="10133" spans="9:12" x14ac:dyDescent="0.25">
      <c r="I10133" s="3"/>
      <c r="J10133" s="3"/>
      <c r="K10133" s="3"/>
      <c r="L10133" s="3"/>
    </row>
    <row r="10134" spans="9:12" x14ac:dyDescent="0.25">
      <c r="I10134" s="3"/>
      <c r="J10134" s="3"/>
      <c r="K10134" s="3"/>
      <c r="L10134" s="3"/>
    </row>
    <row r="10135" spans="9:12" x14ac:dyDescent="0.25">
      <c r="I10135" s="3"/>
      <c r="J10135" s="3"/>
      <c r="K10135" s="3"/>
      <c r="L10135" s="3"/>
    </row>
    <row r="10136" spans="9:12" x14ac:dyDescent="0.25">
      <c r="I10136" s="3"/>
      <c r="J10136" s="3"/>
      <c r="K10136" s="3"/>
      <c r="L10136" s="3"/>
    </row>
    <row r="10137" spans="9:12" x14ac:dyDescent="0.25">
      <c r="I10137" s="3"/>
      <c r="J10137" s="3"/>
      <c r="K10137" s="3"/>
      <c r="L10137" s="3"/>
    </row>
    <row r="10138" spans="9:12" x14ac:dyDescent="0.25">
      <c r="I10138" s="3"/>
      <c r="J10138" s="3"/>
      <c r="K10138" s="3"/>
      <c r="L10138" s="3"/>
    </row>
    <row r="10139" spans="9:12" x14ac:dyDescent="0.25">
      <c r="I10139" s="3"/>
      <c r="J10139" s="3"/>
      <c r="K10139" s="3"/>
      <c r="L10139" s="3"/>
    </row>
    <row r="10140" spans="9:12" x14ac:dyDescent="0.25">
      <c r="I10140" s="3"/>
      <c r="J10140" s="3"/>
      <c r="K10140" s="3"/>
      <c r="L10140" s="3"/>
    </row>
    <row r="10141" spans="9:12" x14ac:dyDescent="0.25">
      <c r="I10141" s="3"/>
      <c r="J10141" s="3"/>
      <c r="K10141" s="3"/>
      <c r="L10141" s="3"/>
    </row>
    <row r="10142" spans="9:12" x14ac:dyDescent="0.25">
      <c r="I10142" s="3"/>
      <c r="J10142" s="3"/>
      <c r="K10142" s="3"/>
      <c r="L10142" s="3"/>
    </row>
    <row r="10143" spans="9:12" x14ac:dyDescent="0.25">
      <c r="I10143" s="3"/>
      <c r="J10143" s="3"/>
      <c r="K10143" s="3"/>
      <c r="L10143" s="3"/>
    </row>
    <row r="10144" spans="9:12" x14ac:dyDescent="0.25">
      <c r="I10144" s="3"/>
      <c r="J10144" s="3"/>
      <c r="K10144" s="3"/>
      <c r="L10144" s="3"/>
    </row>
    <row r="10145" spans="9:12" x14ac:dyDescent="0.25">
      <c r="I10145" s="3"/>
      <c r="J10145" s="3"/>
      <c r="K10145" s="3"/>
      <c r="L10145" s="3"/>
    </row>
    <row r="10146" spans="9:12" x14ac:dyDescent="0.25">
      <c r="I10146" s="3"/>
      <c r="J10146" s="3"/>
      <c r="K10146" s="3"/>
      <c r="L10146" s="3"/>
    </row>
    <row r="10147" spans="9:12" x14ac:dyDescent="0.25">
      <c r="I10147" s="3"/>
      <c r="J10147" s="3"/>
      <c r="K10147" s="3"/>
      <c r="L10147" s="3"/>
    </row>
    <row r="10148" spans="9:12" x14ac:dyDescent="0.25">
      <c r="I10148" s="3"/>
      <c r="J10148" s="3"/>
      <c r="K10148" s="3"/>
      <c r="L10148" s="3"/>
    </row>
    <row r="10149" spans="9:12" x14ac:dyDescent="0.25">
      <c r="I10149" s="3"/>
      <c r="J10149" s="3"/>
      <c r="K10149" s="3"/>
      <c r="L10149" s="3"/>
    </row>
    <row r="10150" spans="9:12" x14ac:dyDescent="0.25">
      <c r="I10150" s="3"/>
      <c r="J10150" s="3"/>
      <c r="K10150" s="3"/>
      <c r="L10150" s="3"/>
    </row>
    <row r="10151" spans="9:12" x14ac:dyDescent="0.25">
      <c r="I10151" s="3"/>
      <c r="J10151" s="3"/>
      <c r="K10151" s="3"/>
      <c r="L10151" s="3"/>
    </row>
    <row r="10152" spans="9:12" x14ac:dyDescent="0.25">
      <c r="I10152" s="3"/>
      <c r="J10152" s="3"/>
      <c r="K10152" s="3"/>
      <c r="L10152" s="3"/>
    </row>
    <row r="10153" spans="9:12" x14ac:dyDescent="0.25">
      <c r="I10153" s="3"/>
      <c r="J10153" s="3"/>
      <c r="K10153" s="3"/>
      <c r="L10153" s="3"/>
    </row>
    <row r="10154" spans="9:12" x14ac:dyDescent="0.25">
      <c r="I10154" s="3"/>
      <c r="J10154" s="3"/>
      <c r="K10154" s="3"/>
      <c r="L10154" s="3"/>
    </row>
    <row r="10155" spans="9:12" x14ac:dyDescent="0.25">
      <c r="I10155" s="3"/>
      <c r="J10155" s="3"/>
      <c r="K10155" s="3"/>
      <c r="L10155" s="3"/>
    </row>
    <row r="10156" spans="9:12" x14ac:dyDescent="0.25">
      <c r="I10156" s="3"/>
      <c r="J10156" s="3"/>
      <c r="K10156" s="3"/>
      <c r="L10156" s="3"/>
    </row>
    <row r="10157" spans="9:12" x14ac:dyDescent="0.25">
      <c r="I10157" s="3"/>
      <c r="J10157" s="3"/>
      <c r="K10157" s="3"/>
      <c r="L10157" s="3"/>
    </row>
    <row r="10158" spans="9:12" x14ac:dyDescent="0.25">
      <c r="I10158" s="3"/>
      <c r="J10158" s="3"/>
      <c r="K10158" s="3"/>
      <c r="L10158" s="3"/>
    </row>
    <row r="10159" spans="9:12" x14ac:dyDescent="0.25">
      <c r="I10159" s="3"/>
      <c r="J10159" s="3"/>
      <c r="K10159" s="3"/>
      <c r="L10159" s="3"/>
    </row>
    <row r="10160" spans="9:12" x14ac:dyDescent="0.25">
      <c r="I10160" s="3"/>
      <c r="J10160" s="3"/>
      <c r="K10160" s="3"/>
      <c r="L10160" s="3"/>
    </row>
    <row r="10161" spans="9:12" x14ac:dyDescent="0.25">
      <c r="I10161" s="3"/>
      <c r="J10161" s="3"/>
      <c r="K10161" s="3"/>
      <c r="L10161" s="3"/>
    </row>
    <row r="10162" spans="9:12" x14ac:dyDescent="0.25">
      <c r="I10162" s="3"/>
      <c r="J10162" s="3"/>
      <c r="K10162" s="3"/>
      <c r="L10162" s="3"/>
    </row>
    <row r="10163" spans="9:12" x14ac:dyDescent="0.25">
      <c r="I10163" s="3"/>
      <c r="J10163" s="3"/>
      <c r="K10163" s="3"/>
      <c r="L10163" s="3"/>
    </row>
    <row r="10164" spans="9:12" x14ac:dyDescent="0.25">
      <c r="I10164" s="3"/>
      <c r="J10164" s="3"/>
      <c r="K10164" s="3"/>
      <c r="L10164" s="3"/>
    </row>
    <row r="10165" spans="9:12" x14ac:dyDescent="0.25">
      <c r="I10165" s="3"/>
      <c r="J10165" s="3"/>
      <c r="K10165" s="3"/>
      <c r="L10165" s="3"/>
    </row>
    <row r="10166" spans="9:12" x14ac:dyDescent="0.25">
      <c r="I10166" s="3"/>
      <c r="J10166" s="3"/>
      <c r="K10166" s="3"/>
      <c r="L10166" s="3"/>
    </row>
    <row r="10167" spans="9:12" x14ac:dyDescent="0.25">
      <c r="I10167" s="3"/>
      <c r="J10167" s="3"/>
      <c r="K10167" s="3"/>
      <c r="L10167" s="3"/>
    </row>
    <row r="10168" spans="9:12" x14ac:dyDescent="0.25">
      <c r="I10168" s="3"/>
      <c r="J10168" s="3"/>
      <c r="K10168" s="3"/>
      <c r="L10168" s="3"/>
    </row>
    <row r="10169" spans="9:12" x14ac:dyDescent="0.25">
      <c r="I10169" s="3"/>
      <c r="J10169" s="3"/>
      <c r="K10169" s="3"/>
      <c r="L10169" s="3"/>
    </row>
    <row r="10170" spans="9:12" x14ac:dyDescent="0.25">
      <c r="I10170" s="3"/>
      <c r="J10170" s="3"/>
      <c r="K10170" s="3"/>
      <c r="L10170" s="3"/>
    </row>
    <row r="10171" spans="9:12" x14ac:dyDescent="0.25">
      <c r="I10171" s="3"/>
      <c r="J10171" s="3"/>
      <c r="K10171" s="3"/>
      <c r="L10171" s="3"/>
    </row>
    <row r="10172" spans="9:12" x14ac:dyDescent="0.25">
      <c r="I10172" s="3"/>
      <c r="J10172" s="3"/>
      <c r="K10172" s="3"/>
      <c r="L10172" s="3"/>
    </row>
    <row r="10173" spans="9:12" x14ac:dyDescent="0.25">
      <c r="I10173" s="3"/>
      <c r="J10173" s="3"/>
      <c r="K10173" s="3"/>
      <c r="L10173" s="3"/>
    </row>
    <row r="10174" spans="9:12" x14ac:dyDescent="0.25">
      <c r="I10174" s="3"/>
      <c r="J10174" s="3"/>
      <c r="K10174" s="3"/>
      <c r="L10174" s="3"/>
    </row>
    <row r="10175" spans="9:12" x14ac:dyDescent="0.25">
      <c r="I10175" s="3"/>
      <c r="J10175" s="3"/>
      <c r="K10175" s="3"/>
      <c r="L10175" s="3"/>
    </row>
    <row r="10176" spans="9:12" x14ac:dyDescent="0.25">
      <c r="I10176" s="3"/>
      <c r="J10176" s="3"/>
      <c r="K10176" s="3"/>
      <c r="L10176" s="3"/>
    </row>
    <row r="10177" spans="9:12" x14ac:dyDescent="0.25">
      <c r="I10177" s="3"/>
      <c r="J10177" s="3"/>
      <c r="K10177" s="3"/>
      <c r="L10177" s="3"/>
    </row>
    <row r="10178" spans="9:12" x14ac:dyDescent="0.25">
      <c r="I10178" s="3"/>
      <c r="J10178" s="3"/>
      <c r="K10178" s="3"/>
      <c r="L10178" s="3"/>
    </row>
    <row r="10179" spans="9:12" x14ac:dyDescent="0.25">
      <c r="I10179" s="3"/>
      <c r="J10179" s="3"/>
      <c r="K10179" s="3"/>
      <c r="L10179" s="3"/>
    </row>
    <row r="10180" spans="9:12" x14ac:dyDescent="0.25">
      <c r="I10180" s="3"/>
      <c r="J10180" s="3"/>
      <c r="K10180" s="3"/>
      <c r="L10180" s="3"/>
    </row>
    <row r="10181" spans="9:12" x14ac:dyDescent="0.25">
      <c r="I10181" s="3"/>
      <c r="J10181" s="3"/>
      <c r="K10181" s="3"/>
      <c r="L10181" s="3"/>
    </row>
    <row r="10182" spans="9:12" x14ac:dyDescent="0.25">
      <c r="I10182" s="3"/>
      <c r="J10182" s="3"/>
      <c r="K10182" s="3"/>
      <c r="L10182" s="3"/>
    </row>
    <row r="10183" spans="9:12" x14ac:dyDescent="0.25">
      <c r="I10183" s="3"/>
      <c r="J10183" s="3"/>
      <c r="K10183" s="3"/>
      <c r="L10183" s="3"/>
    </row>
    <row r="10184" spans="9:12" x14ac:dyDescent="0.25">
      <c r="I10184" s="3"/>
      <c r="J10184" s="3"/>
      <c r="K10184" s="3"/>
      <c r="L10184" s="3"/>
    </row>
    <row r="10185" spans="9:12" x14ac:dyDescent="0.25">
      <c r="I10185" s="5"/>
      <c r="J10185" s="5"/>
      <c r="K10185" s="5"/>
      <c r="L10185" s="5"/>
    </row>
    <row r="10186" spans="9:12" x14ac:dyDescent="0.25">
      <c r="I10186" s="5"/>
      <c r="J10186" s="5"/>
      <c r="K10186" s="5"/>
      <c r="L10186" s="5"/>
    </row>
    <row r="10187" spans="9:12" x14ac:dyDescent="0.25">
      <c r="I10187" s="5"/>
      <c r="J10187" s="5"/>
      <c r="K10187" s="5"/>
      <c r="L10187" s="5"/>
    </row>
    <row r="10188" spans="9:12" x14ac:dyDescent="0.25">
      <c r="I10188" s="3"/>
      <c r="J10188" s="3"/>
      <c r="K10188" s="3"/>
      <c r="L10188" s="3"/>
    </row>
    <row r="10189" spans="9:12" x14ac:dyDescent="0.25">
      <c r="I10189" s="3"/>
      <c r="J10189" s="3"/>
      <c r="K10189" s="3"/>
      <c r="L10189" s="3"/>
    </row>
    <row r="10190" spans="9:12" x14ac:dyDescent="0.25">
      <c r="I10190" s="3"/>
      <c r="J10190" s="3"/>
      <c r="K10190" s="3"/>
      <c r="L10190" s="3"/>
    </row>
    <row r="10191" spans="9:12" x14ac:dyDescent="0.25">
      <c r="I10191" s="3"/>
      <c r="J10191" s="3"/>
      <c r="K10191" s="3"/>
      <c r="L10191" s="3"/>
    </row>
    <row r="10192" spans="9:12" x14ac:dyDescent="0.25">
      <c r="I10192" s="3"/>
      <c r="J10192" s="3"/>
      <c r="K10192" s="3"/>
      <c r="L10192" s="3"/>
    </row>
    <row r="10193" spans="9:12" x14ac:dyDescent="0.25">
      <c r="I10193" s="3"/>
      <c r="J10193" s="3"/>
      <c r="K10193" s="3"/>
      <c r="L10193" s="3"/>
    </row>
    <row r="10194" spans="9:12" x14ac:dyDescent="0.25">
      <c r="I10194" s="3"/>
      <c r="J10194" s="3"/>
      <c r="K10194" s="3"/>
      <c r="L10194" s="3"/>
    </row>
    <row r="10195" spans="9:12" x14ac:dyDescent="0.25">
      <c r="I10195" s="5"/>
      <c r="J10195" s="5"/>
      <c r="K10195" s="5"/>
      <c r="L10195" s="5"/>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3F719-11C4-41DC-ACD2-A52F32733F0B}">
  <dimension ref="A1:X18"/>
  <sheetViews>
    <sheetView topLeftCell="H1" workbookViewId="0">
      <selection activeCell="M1" sqref="M1"/>
    </sheetView>
  </sheetViews>
  <sheetFormatPr defaultRowHeight="13.8" x14ac:dyDescent="0.25"/>
  <cols>
    <col min="1" max="1" width="13.09765625" bestFit="1" customWidth="1"/>
    <col min="2" max="2" width="17.09765625" bestFit="1" customWidth="1"/>
    <col min="4" max="4" width="13.09765625" bestFit="1" customWidth="1"/>
    <col min="5" max="5" width="17.09765625" bestFit="1" customWidth="1"/>
    <col min="7" max="7" width="13.09765625" bestFit="1" customWidth="1"/>
    <col min="8" max="8" width="17.09765625" bestFit="1" customWidth="1"/>
    <col min="10" max="10" width="13.09765625" bestFit="1" customWidth="1"/>
    <col min="11" max="11" width="17.09765625" bestFit="1" customWidth="1"/>
    <col min="13" max="13" width="13.09765625" bestFit="1" customWidth="1"/>
    <col min="14" max="14" width="18.69921875" bestFit="1" customWidth="1"/>
    <col min="15" max="15" width="19.09765625" bestFit="1" customWidth="1"/>
    <col min="16" max="16" width="13.09765625" bestFit="1" customWidth="1"/>
    <col min="17" max="17" width="16.69921875" bestFit="1" customWidth="1"/>
    <col min="19" max="19" width="17.09765625" bestFit="1" customWidth="1"/>
    <col min="20" max="20" width="17.296875" customWidth="1"/>
    <col min="21" max="21" width="13.8984375" customWidth="1"/>
    <col min="23" max="23" width="13.09765625" bestFit="1" customWidth="1"/>
    <col min="24" max="24" width="16.69921875" bestFit="1" customWidth="1"/>
    <col min="25" max="25" width="10.69921875" customWidth="1"/>
  </cols>
  <sheetData>
    <row r="1" spans="1:24" x14ac:dyDescent="0.25">
      <c r="A1" s="6" t="s">
        <v>4307</v>
      </c>
      <c r="B1" t="s">
        <v>4306</v>
      </c>
      <c r="D1" s="6" t="s">
        <v>4307</v>
      </c>
      <c r="E1" t="s">
        <v>4306</v>
      </c>
      <c r="G1" s="6" t="s">
        <v>4307</v>
      </c>
      <c r="H1" t="s">
        <v>4306</v>
      </c>
      <c r="J1" s="6" t="s">
        <v>4307</v>
      </c>
      <c r="K1" t="s">
        <v>4306</v>
      </c>
      <c r="M1" t="s">
        <v>4316</v>
      </c>
      <c r="O1" t="s">
        <v>4318</v>
      </c>
      <c r="Q1" t="s">
        <v>4319</v>
      </c>
      <c r="S1" t="s">
        <v>4324</v>
      </c>
      <c r="W1" s="6" t="s">
        <v>4307</v>
      </c>
      <c r="X1" t="s">
        <v>4315</v>
      </c>
    </row>
    <row r="2" spans="1:24" x14ac:dyDescent="0.25">
      <c r="A2" s="7" t="s">
        <v>84</v>
      </c>
      <c r="B2">
        <v>264244.76999999996</v>
      </c>
      <c r="D2" s="7" t="s">
        <v>4309</v>
      </c>
      <c r="E2">
        <v>269336.83999999991</v>
      </c>
      <c r="G2" s="7" t="s">
        <v>32</v>
      </c>
      <c r="H2">
        <v>183819.21999999997</v>
      </c>
      <c r="J2" s="7" t="s">
        <v>68</v>
      </c>
      <c r="K2">
        <v>240211.43999999983</v>
      </c>
      <c r="M2">
        <v>1000</v>
      </c>
      <c r="O2" s="9">
        <v>12475694.789999995</v>
      </c>
      <c r="Q2" s="9">
        <v>12475.694789999996</v>
      </c>
      <c r="S2" s="9">
        <v>262463.43000000034</v>
      </c>
      <c r="W2" s="7" t="s">
        <v>4309</v>
      </c>
      <c r="X2">
        <v>221</v>
      </c>
    </row>
    <row r="3" spans="1:24" x14ac:dyDescent="0.25">
      <c r="A3" s="7" t="s">
        <v>3518</v>
      </c>
      <c r="B3">
        <v>795584.33000000007</v>
      </c>
      <c r="D3" s="7" t="s">
        <v>4310</v>
      </c>
      <c r="E3">
        <v>216475.29000000004</v>
      </c>
      <c r="G3" s="7" t="s">
        <v>91</v>
      </c>
      <c r="H3">
        <v>175143.97</v>
      </c>
      <c r="J3" s="7" t="s">
        <v>35</v>
      </c>
      <c r="K3">
        <v>245710.2000000001</v>
      </c>
      <c r="W3" s="7" t="s">
        <v>4310</v>
      </c>
      <c r="X3">
        <v>183</v>
      </c>
    </row>
    <row r="4" spans="1:24" x14ac:dyDescent="0.25">
      <c r="A4" s="7" t="s">
        <v>3519</v>
      </c>
      <c r="B4">
        <v>218553.77999999997</v>
      </c>
      <c r="D4" s="7" t="s">
        <v>4311</v>
      </c>
      <c r="E4">
        <v>255169.86999999991</v>
      </c>
      <c r="G4" s="7" t="s">
        <v>45</v>
      </c>
      <c r="H4">
        <v>166731.38999999993</v>
      </c>
      <c r="J4" s="7" t="s">
        <v>48</v>
      </c>
      <c r="K4">
        <v>260880.30000000002</v>
      </c>
      <c r="M4" t="s">
        <v>4320</v>
      </c>
      <c r="O4" t="s">
        <v>4322</v>
      </c>
      <c r="Q4" t="s">
        <v>4323</v>
      </c>
      <c r="S4" t="s">
        <v>4333</v>
      </c>
      <c r="W4" s="7" t="s">
        <v>4311</v>
      </c>
      <c r="X4">
        <v>199</v>
      </c>
    </row>
    <row r="5" spans="1:24" x14ac:dyDescent="0.25">
      <c r="A5" s="7" t="s">
        <v>4308</v>
      </c>
      <c r="B5">
        <v>1278382.8800000001</v>
      </c>
      <c r="D5" s="7" t="s">
        <v>4312</v>
      </c>
      <c r="E5">
        <v>257643.25999999992</v>
      </c>
      <c r="G5" s="7" t="s">
        <v>247</v>
      </c>
      <c r="H5">
        <v>165919.76</v>
      </c>
      <c r="J5" s="7" t="s">
        <v>110</v>
      </c>
      <c r="K5">
        <v>263004.53999999992</v>
      </c>
      <c r="M5">
        <v>2484173</v>
      </c>
      <c r="O5" s="11">
        <v>1.7318572281005851</v>
      </c>
      <c r="Q5" s="9">
        <v>1015919.4500000005</v>
      </c>
      <c r="S5" s="11">
        <v>0.78900000000000003</v>
      </c>
      <c r="W5" s="7" t="s">
        <v>4312</v>
      </c>
      <c r="X5">
        <v>200</v>
      </c>
    </row>
    <row r="6" spans="1:24" x14ac:dyDescent="0.25">
      <c r="D6" s="7" t="s">
        <v>4313</v>
      </c>
      <c r="E6">
        <v>275105.0199999999</v>
      </c>
      <c r="G6" s="7" t="s">
        <v>65</v>
      </c>
      <c r="H6">
        <v>163413.90999999992</v>
      </c>
      <c r="J6" s="7" t="s">
        <v>86</v>
      </c>
      <c r="K6">
        <v>268576.39999999991</v>
      </c>
      <c r="W6" s="7" t="s">
        <v>4313</v>
      </c>
      <c r="X6">
        <v>194</v>
      </c>
    </row>
    <row r="7" spans="1:24" x14ac:dyDescent="0.25">
      <c r="D7" s="7" t="s">
        <v>4314</v>
      </c>
      <c r="E7">
        <v>4652.5999999999995</v>
      </c>
      <c r="G7" s="7" t="s">
        <v>83</v>
      </c>
      <c r="H7">
        <v>150512.64000000007</v>
      </c>
      <c r="J7" s="7" t="s">
        <v>4308</v>
      </c>
      <c r="K7">
        <v>1278382.8799999999</v>
      </c>
      <c r="M7" s="6" t="s">
        <v>4307</v>
      </c>
      <c r="N7" t="s">
        <v>4315</v>
      </c>
      <c r="P7" s="6" t="s">
        <v>4307</v>
      </c>
      <c r="Q7" t="s">
        <v>4315</v>
      </c>
      <c r="S7" t="s">
        <v>4306</v>
      </c>
      <c r="W7" s="7" t="s">
        <v>4314</v>
      </c>
      <c r="X7">
        <v>3</v>
      </c>
    </row>
    <row r="8" spans="1:24" x14ac:dyDescent="0.25">
      <c r="D8" s="7" t="s">
        <v>4308</v>
      </c>
      <c r="E8">
        <v>1278382.8799999999</v>
      </c>
      <c r="G8" s="7" t="s">
        <v>56</v>
      </c>
      <c r="H8">
        <v>137368</v>
      </c>
      <c r="M8" s="7" t="s">
        <v>43</v>
      </c>
      <c r="N8">
        <v>285</v>
      </c>
      <c r="P8" s="7" t="s">
        <v>37</v>
      </c>
      <c r="Q8">
        <v>254</v>
      </c>
      <c r="S8" s="9">
        <v>1278382.8799999999</v>
      </c>
      <c r="W8" s="7" t="s">
        <v>4308</v>
      </c>
      <c r="X8">
        <v>1000</v>
      </c>
    </row>
    <row r="9" spans="1:24" x14ac:dyDescent="0.25">
      <c r="G9" s="7" t="s">
        <v>76</v>
      </c>
      <c r="H9">
        <v>135473.99</v>
      </c>
      <c r="J9" s="6" t="s">
        <v>4307</v>
      </c>
      <c r="K9" t="s">
        <v>4315</v>
      </c>
      <c r="M9" s="7" t="s">
        <v>30</v>
      </c>
      <c r="N9">
        <v>88</v>
      </c>
      <c r="P9" s="7" t="s">
        <v>70</v>
      </c>
      <c r="Q9">
        <v>251</v>
      </c>
    </row>
    <row r="10" spans="1:24" x14ac:dyDescent="0.25">
      <c r="G10" s="7" t="s">
        <v>4308</v>
      </c>
      <c r="H10">
        <v>1278382.8799999999</v>
      </c>
      <c r="J10" s="7" t="s">
        <v>46</v>
      </c>
      <c r="K10">
        <v>138</v>
      </c>
      <c r="M10" s="7" t="s">
        <v>55</v>
      </c>
      <c r="N10">
        <v>627</v>
      </c>
      <c r="P10" s="7" t="s">
        <v>50</v>
      </c>
      <c r="Q10">
        <v>253</v>
      </c>
    </row>
    <row r="11" spans="1:24" x14ac:dyDescent="0.25">
      <c r="J11" s="7" t="s">
        <v>33</v>
      </c>
      <c r="K11">
        <v>132</v>
      </c>
      <c r="M11" s="7" t="s">
        <v>4308</v>
      </c>
      <c r="N11">
        <v>1000</v>
      </c>
      <c r="P11" s="7" t="s">
        <v>119</v>
      </c>
      <c r="Q11">
        <v>242</v>
      </c>
    </row>
    <row r="12" spans="1:24" x14ac:dyDescent="0.25">
      <c r="J12" s="7" t="s">
        <v>116</v>
      </c>
      <c r="K12">
        <v>128</v>
      </c>
      <c r="P12" s="7" t="s">
        <v>4308</v>
      </c>
      <c r="Q12">
        <v>1000</v>
      </c>
    </row>
    <row r="13" spans="1:24" x14ac:dyDescent="0.25">
      <c r="J13" s="7" t="s">
        <v>92</v>
      </c>
      <c r="K13">
        <v>128</v>
      </c>
    </row>
    <row r="14" spans="1:24" x14ac:dyDescent="0.25">
      <c r="J14" s="7" t="s">
        <v>66</v>
      </c>
      <c r="K14">
        <v>126</v>
      </c>
      <c r="M14" s="6" t="s">
        <v>4307</v>
      </c>
      <c r="N14" t="s">
        <v>4326</v>
      </c>
      <c r="O14" t="s">
        <v>4325</v>
      </c>
    </row>
    <row r="15" spans="1:24" x14ac:dyDescent="0.25">
      <c r="J15" s="7" t="s">
        <v>166</v>
      </c>
      <c r="K15">
        <v>126</v>
      </c>
      <c r="M15" s="7" t="s">
        <v>84</v>
      </c>
      <c r="N15">
        <v>58528</v>
      </c>
      <c r="O15">
        <v>58642</v>
      </c>
    </row>
    <row r="16" spans="1:24" x14ac:dyDescent="0.25">
      <c r="J16" s="7" t="s">
        <v>128</v>
      </c>
      <c r="K16">
        <v>117</v>
      </c>
      <c r="M16" s="7" t="s">
        <v>3518</v>
      </c>
      <c r="N16">
        <v>171212</v>
      </c>
      <c r="O16">
        <v>170884</v>
      </c>
    </row>
    <row r="17" spans="10:15" x14ac:dyDescent="0.25">
      <c r="J17" s="7" t="s">
        <v>57</v>
      </c>
      <c r="K17">
        <v>105</v>
      </c>
      <c r="M17" s="7" t="s">
        <v>3519</v>
      </c>
      <c r="N17">
        <v>47879</v>
      </c>
      <c r="O17">
        <v>47257</v>
      </c>
    </row>
    <row r="18" spans="10:15" x14ac:dyDescent="0.25">
      <c r="J18" s="7" t="s">
        <v>4308</v>
      </c>
      <c r="K18">
        <v>1000</v>
      </c>
      <c r="M18" s="7" t="s">
        <v>4308</v>
      </c>
      <c r="N18">
        <v>277619</v>
      </c>
      <c r="O18">
        <v>276783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EB595-BC22-405C-9E08-51901F6E53D8}">
  <dimension ref="A1:AC35"/>
  <sheetViews>
    <sheetView showGridLines="0" tabSelected="1" zoomScale="85" zoomScaleNormal="85" workbookViewId="0">
      <selection sqref="A1:AC2"/>
    </sheetView>
  </sheetViews>
  <sheetFormatPr defaultRowHeight="13.8" x14ac:dyDescent="0.25"/>
  <cols>
    <col min="1" max="1" width="4.09765625" style="13" customWidth="1"/>
    <col min="2" max="7" width="8.796875" style="13"/>
    <col min="8" max="8" width="19.09765625" style="13" customWidth="1"/>
    <col min="9" max="9" width="1.09765625" style="13" customWidth="1"/>
    <col min="10" max="10" width="1.19921875" style="17" hidden="1" customWidth="1"/>
    <col min="11" max="11" width="9.765625E-2" style="13" hidden="1" customWidth="1"/>
    <col min="12" max="14" width="8.796875" style="13"/>
    <col min="15" max="15" width="7.69921875" style="13" customWidth="1"/>
    <col min="16" max="17" width="8.796875" style="13"/>
    <col min="18" max="18" width="4.8984375" style="13" customWidth="1"/>
    <col min="19" max="21" width="8.796875" style="13"/>
    <col min="22" max="22" width="4.296875" style="13" customWidth="1"/>
    <col min="23" max="23" width="4.5" style="13" customWidth="1"/>
    <col min="24" max="24" width="8.796875" style="13" customWidth="1"/>
    <col min="25" max="28" width="8.796875" style="13"/>
    <col min="29" max="29" width="5.296875" style="13" customWidth="1"/>
    <col min="30" max="16384" width="8.796875" style="13"/>
  </cols>
  <sheetData>
    <row r="1" spans="1:29" ht="14.4" customHeight="1" x14ac:dyDescent="0.25">
      <c r="A1" s="27" t="s">
        <v>4338</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9"/>
    </row>
    <row r="2" spans="1:29" ht="15" customHeight="1" thickBot="1" x14ac:dyDescent="0.3">
      <c r="A2" s="30"/>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2"/>
    </row>
    <row r="3" spans="1:29" ht="14.4" customHeight="1" x14ac:dyDescent="0.25">
      <c r="A3" s="17"/>
      <c r="L3" s="47" t="s">
        <v>4327</v>
      </c>
      <c r="M3" s="48"/>
      <c r="N3" s="48"/>
      <c r="O3" s="48" t="s">
        <v>4328</v>
      </c>
      <c r="P3" s="48"/>
      <c r="Q3" s="48"/>
      <c r="R3" s="48"/>
      <c r="S3" s="48" t="s">
        <v>4329</v>
      </c>
      <c r="T3" s="48"/>
      <c r="U3" s="48"/>
      <c r="V3" s="48"/>
      <c r="W3" s="52"/>
      <c r="X3" s="21" t="s">
        <v>4337</v>
      </c>
      <c r="Y3" s="22"/>
      <c r="Z3" s="22"/>
      <c r="AA3" s="22"/>
      <c r="AB3" s="22"/>
      <c r="AC3" s="23"/>
    </row>
    <row r="4" spans="1:29" ht="14.4" customHeight="1" thickBot="1" x14ac:dyDescent="0.3">
      <c r="A4" s="17"/>
      <c r="L4" s="37"/>
      <c r="M4" s="33"/>
      <c r="N4" s="33"/>
      <c r="O4" s="33"/>
      <c r="P4" s="33"/>
      <c r="Q4" s="33"/>
      <c r="R4" s="33"/>
      <c r="S4" s="33"/>
      <c r="T4" s="33"/>
      <c r="U4" s="33"/>
      <c r="V4" s="33"/>
      <c r="W4" s="34"/>
      <c r="X4" s="24"/>
      <c r="Y4" s="25"/>
      <c r="Z4" s="25"/>
      <c r="AA4" s="25"/>
      <c r="AB4" s="25"/>
      <c r="AC4" s="26"/>
    </row>
    <row r="5" spans="1:29" ht="14.4" customHeight="1" x14ac:dyDescent="0.25">
      <c r="A5" s="17"/>
      <c r="L5" s="49">
        <f>GETPIVOTDATA("Total_Sales_Rev",KPIS!$O$1)</f>
        <v>12475694.789999995</v>
      </c>
      <c r="M5" s="50"/>
      <c r="N5" s="50"/>
      <c r="O5" s="51">
        <f>GETPIVOTDATA("Total_Sales_Rev",KPIS!$Q$1)</f>
        <v>12475.694789999996</v>
      </c>
      <c r="P5" s="51"/>
      <c r="Q5" s="51"/>
      <c r="R5" s="51"/>
      <c r="S5" s="53">
        <f>GETPIVOTDATA("Transportation_Cost",KPIS!$S$1)</f>
        <v>262463.43000000034</v>
      </c>
      <c r="T5" s="53"/>
      <c r="U5" s="53"/>
      <c r="V5" s="53"/>
      <c r="W5" s="54"/>
      <c r="X5" s="18"/>
      <c r="Y5" s="19"/>
      <c r="Z5" s="19"/>
      <c r="AA5" s="19"/>
      <c r="AB5" s="19"/>
      <c r="AC5" s="19"/>
    </row>
    <row r="6" spans="1:29" x14ac:dyDescent="0.25">
      <c r="A6" s="17"/>
      <c r="L6" s="49"/>
      <c r="M6" s="50"/>
      <c r="N6" s="50"/>
      <c r="O6" s="51"/>
      <c r="P6" s="51"/>
      <c r="Q6" s="51"/>
      <c r="R6" s="51"/>
      <c r="S6" s="53"/>
      <c r="T6" s="53"/>
      <c r="U6" s="53"/>
      <c r="V6" s="53"/>
      <c r="W6" s="54"/>
      <c r="X6" s="17"/>
      <c r="Y6" s="17"/>
      <c r="Z6" s="17"/>
      <c r="AA6" s="17"/>
      <c r="AB6" s="17"/>
      <c r="AC6" s="17"/>
    </row>
    <row r="7" spans="1:29" x14ac:dyDescent="0.25">
      <c r="A7" s="17"/>
      <c r="L7" s="14"/>
      <c r="M7" s="15"/>
      <c r="N7" s="15"/>
      <c r="O7" s="15"/>
      <c r="P7" s="15"/>
      <c r="Q7" s="15"/>
      <c r="R7" s="15"/>
      <c r="S7" s="15"/>
      <c r="T7" s="15"/>
      <c r="U7" s="15"/>
      <c r="V7" s="15"/>
      <c r="W7" s="16"/>
      <c r="X7" s="17"/>
      <c r="Y7" s="17"/>
      <c r="Z7" s="17"/>
      <c r="AA7" s="17"/>
      <c r="AB7" s="17"/>
      <c r="AC7" s="17"/>
    </row>
    <row r="8" spans="1:29" ht="14.4" customHeight="1" x14ac:dyDescent="0.25">
      <c r="A8" s="17"/>
      <c r="L8" s="37" t="s">
        <v>4330</v>
      </c>
      <c r="M8" s="33"/>
      <c r="N8" s="33"/>
      <c r="O8" s="33" t="s">
        <v>4331</v>
      </c>
      <c r="P8" s="33"/>
      <c r="Q8" s="33"/>
      <c r="R8" s="33"/>
      <c r="S8" s="33" t="s">
        <v>4332</v>
      </c>
      <c r="T8" s="33"/>
      <c r="U8" s="33"/>
      <c r="V8" s="33"/>
      <c r="W8" s="34"/>
      <c r="X8" s="17"/>
      <c r="Y8" s="17"/>
      <c r="Z8" s="17"/>
      <c r="AA8" s="17"/>
      <c r="AB8" s="17"/>
      <c r="AC8" s="17"/>
    </row>
    <row r="9" spans="1:29" ht="14.4" customHeight="1" x14ac:dyDescent="0.25">
      <c r="A9" s="17"/>
      <c r="L9" s="37"/>
      <c r="M9" s="33"/>
      <c r="N9" s="33"/>
      <c r="O9" s="33"/>
      <c r="P9" s="33"/>
      <c r="Q9" s="33"/>
      <c r="R9" s="33"/>
      <c r="S9" s="33"/>
      <c r="T9" s="33"/>
      <c r="U9" s="33"/>
      <c r="V9" s="33"/>
      <c r="W9" s="34"/>
      <c r="X9" s="17"/>
      <c r="Y9" s="17"/>
      <c r="Z9" s="17"/>
      <c r="AA9" s="17"/>
      <c r="AB9" s="17"/>
      <c r="AC9" s="17"/>
    </row>
    <row r="10" spans="1:29" x14ac:dyDescent="0.25">
      <c r="A10" s="17"/>
      <c r="L10" s="44">
        <f>GETPIVOTDATA("Order_ID",KPIS!$M$1)</f>
        <v>1000</v>
      </c>
      <c r="M10" s="45"/>
      <c r="N10" s="45"/>
      <c r="O10" s="46">
        <f>GETPIVOTDATA("Stock_On_Hand",KPIS!$M$4)</f>
        <v>2484173</v>
      </c>
      <c r="P10" s="46"/>
      <c r="Q10" s="46"/>
      <c r="R10" s="46"/>
      <c r="S10" s="35">
        <f>GETPIVOTDATA("Inventory Turnover Ratio ",KPIS!$O$4)</f>
        <v>1.7318572281005851</v>
      </c>
      <c r="T10" s="35"/>
      <c r="U10" s="35"/>
      <c r="V10" s="35"/>
      <c r="W10" s="36"/>
      <c r="X10" s="17"/>
      <c r="Y10" s="17"/>
      <c r="Z10" s="17"/>
      <c r="AA10" s="17"/>
      <c r="AB10" s="17"/>
      <c r="AC10" s="17"/>
    </row>
    <row r="11" spans="1:29" x14ac:dyDescent="0.25">
      <c r="A11" s="17"/>
      <c r="L11" s="44"/>
      <c r="M11" s="45"/>
      <c r="N11" s="45"/>
      <c r="O11" s="46"/>
      <c r="P11" s="46"/>
      <c r="Q11" s="46"/>
      <c r="R11" s="46"/>
      <c r="S11" s="35"/>
      <c r="T11" s="35"/>
      <c r="U11" s="35"/>
      <c r="V11" s="35"/>
      <c r="W11" s="36"/>
      <c r="X11" s="17"/>
      <c r="Y11" s="17"/>
      <c r="Z11" s="17"/>
      <c r="AA11" s="17"/>
      <c r="AB11" s="17"/>
      <c r="AC11" s="17"/>
    </row>
    <row r="12" spans="1:29" x14ac:dyDescent="0.25">
      <c r="A12" s="17"/>
      <c r="L12" s="14"/>
      <c r="M12" s="15"/>
      <c r="N12" s="15"/>
      <c r="O12" s="15"/>
      <c r="P12" s="15"/>
      <c r="Q12" s="15"/>
      <c r="R12" s="15"/>
      <c r="S12" s="15"/>
      <c r="T12" s="15"/>
      <c r="U12" s="15"/>
      <c r="V12" s="15"/>
      <c r="W12" s="16"/>
      <c r="X12" s="17"/>
      <c r="Y12" s="17"/>
      <c r="Z12" s="17"/>
      <c r="AA12" s="17"/>
      <c r="AB12" s="17"/>
      <c r="AC12" s="17"/>
    </row>
    <row r="13" spans="1:29" x14ac:dyDescent="0.25">
      <c r="A13" s="17"/>
      <c r="L13" s="37" t="s">
        <v>4334</v>
      </c>
      <c r="M13" s="33"/>
      <c r="N13" s="33"/>
      <c r="O13" s="33"/>
      <c r="P13" s="33" t="s">
        <v>4335</v>
      </c>
      <c r="Q13" s="33"/>
      <c r="R13" s="33"/>
      <c r="S13" s="33"/>
      <c r="T13" s="33" t="s">
        <v>4336</v>
      </c>
      <c r="U13" s="33"/>
      <c r="V13" s="33"/>
      <c r="W13" s="33"/>
      <c r="X13" s="17"/>
      <c r="Y13" s="17"/>
      <c r="Z13" s="17"/>
      <c r="AA13" s="17"/>
      <c r="AB13" s="17"/>
      <c r="AC13" s="17"/>
    </row>
    <row r="14" spans="1:29" x14ac:dyDescent="0.25">
      <c r="A14" s="17"/>
      <c r="L14" s="37"/>
      <c r="M14" s="33"/>
      <c r="N14" s="33"/>
      <c r="O14" s="33"/>
      <c r="P14" s="33"/>
      <c r="Q14" s="33"/>
      <c r="R14" s="33"/>
      <c r="S14" s="33"/>
      <c r="T14" s="33"/>
      <c r="U14" s="33"/>
      <c r="V14" s="33"/>
      <c r="W14" s="33"/>
      <c r="X14" s="17"/>
      <c r="Y14" s="17"/>
      <c r="Z14" s="17"/>
      <c r="AA14" s="17"/>
      <c r="AB14" s="17"/>
      <c r="AC14" s="17"/>
    </row>
    <row r="15" spans="1:29" x14ac:dyDescent="0.25">
      <c r="A15" s="17"/>
      <c r="L15" s="38">
        <f>GETPIVOTDATA("Procurement_Cost",KPIS!$Q$4)</f>
        <v>1015919.4500000005</v>
      </c>
      <c r="M15" s="39"/>
      <c r="N15" s="39"/>
      <c r="O15" s="39"/>
      <c r="P15" s="42">
        <f>GETPIVOTDATA("Delay_Days",KPIS!$S$4)</f>
        <v>0.78900000000000003</v>
      </c>
      <c r="Q15" s="42"/>
      <c r="R15" s="42"/>
      <c r="S15" s="42"/>
      <c r="T15" s="39">
        <f>GETPIVOTDATA("Total_Cost",KPIS!$S$7)</f>
        <v>1278382.8799999999</v>
      </c>
      <c r="U15" s="39"/>
      <c r="V15" s="39"/>
      <c r="W15" s="39"/>
      <c r="X15" s="17"/>
      <c r="Y15" s="17"/>
      <c r="Z15" s="17"/>
      <c r="AA15" s="17"/>
      <c r="AB15" s="17"/>
      <c r="AC15" s="17"/>
    </row>
    <row r="16" spans="1:29" ht="14.4" thickBot="1" x14ac:dyDescent="0.3">
      <c r="A16" s="17"/>
      <c r="L16" s="40"/>
      <c r="M16" s="41"/>
      <c r="N16" s="41"/>
      <c r="O16" s="41"/>
      <c r="P16" s="43"/>
      <c r="Q16" s="43"/>
      <c r="R16" s="43"/>
      <c r="S16" s="43"/>
      <c r="T16" s="39"/>
      <c r="U16" s="39"/>
      <c r="V16" s="39"/>
      <c r="W16" s="39"/>
      <c r="X16" s="17"/>
      <c r="Y16" s="17"/>
      <c r="Z16" s="17"/>
      <c r="AA16" s="17"/>
      <c r="AB16" s="17"/>
      <c r="AC16" s="17"/>
    </row>
    <row r="17" spans="1:29" x14ac:dyDescent="0.25">
      <c r="A17" s="17"/>
      <c r="X17" s="20"/>
      <c r="Y17" s="17"/>
      <c r="Z17" s="17"/>
      <c r="AA17" s="17"/>
      <c r="AB17" s="17"/>
      <c r="AC17" s="17"/>
    </row>
    <row r="18" spans="1:29" x14ac:dyDescent="0.25">
      <c r="A18" s="17"/>
      <c r="X18" s="20"/>
      <c r="Y18" s="17"/>
      <c r="Z18" s="17"/>
      <c r="AA18" s="17"/>
      <c r="AB18" s="17"/>
      <c r="AC18" s="17"/>
    </row>
    <row r="19" spans="1:29" x14ac:dyDescent="0.25">
      <c r="A19" s="17"/>
      <c r="X19" s="20"/>
      <c r="Y19" s="17"/>
      <c r="Z19" s="17"/>
      <c r="AA19" s="17"/>
      <c r="AB19" s="17"/>
      <c r="AC19" s="17"/>
    </row>
    <row r="20" spans="1:29" x14ac:dyDescent="0.25">
      <c r="A20" s="17"/>
      <c r="X20" s="20"/>
      <c r="Y20" s="17"/>
      <c r="Z20" s="17"/>
      <c r="AA20" s="17"/>
      <c r="AB20" s="17"/>
      <c r="AC20" s="17"/>
    </row>
    <row r="21" spans="1:29" x14ac:dyDescent="0.25">
      <c r="A21" s="17"/>
      <c r="X21" s="20"/>
      <c r="Y21" s="17"/>
      <c r="Z21" s="17"/>
      <c r="AA21" s="17"/>
      <c r="AB21" s="17"/>
      <c r="AC21" s="17"/>
    </row>
    <row r="22" spans="1:29" x14ac:dyDescent="0.25">
      <c r="A22" s="17"/>
      <c r="X22" s="20"/>
      <c r="Y22" s="17"/>
      <c r="Z22" s="17"/>
      <c r="AA22" s="17"/>
      <c r="AB22" s="17"/>
      <c r="AC22" s="17"/>
    </row>
    <row r="23" spans="1:29" x14ac:dyDescent="0.25">
      <c r="A23" s="17"/>
      <c r="X23" s="20"/>
      <c r="Y23" s="17"/>
      <c r="Z23" s="17"/>
      <c r="AA23" s="17"/>
      <c r="AB23" s="17"/>
      <c r="AC23" s="17"/>
    </row>
    <row r="24" spans="1:29" x14ac:dyDescent="0.25">
      <c r="A24" s="17"/>
      <c r="X24" s="20"/>
      <c r="Y24" s="17"/>
      <c r="Z24" s="17"/>
      <c r="AA24" s="17"/>
      <c r="AB24" s="17"/>
      <c r="AC24" s="17"/>
    </row>
    <row r="25" spans="1:29" x14ac:dyDescent="0.25">
      <c r="A25" s="17"/>
      <c r="X25" s="20"/>
      <c r="Y25" s="17"/>
      <c r="Z25" s="17"/>
      <c r="AA25" s="17"/>
      <c r="AB25" s="17"/>
      <c r="AC25" s="17"/>
    </row>
    <row r="26" spans="1:29" x14ac:dyDescent="0.25">
      <c r="A26" s="17"/>
      <c r="X26" s="20"/>
      <c r="Y26" s="17"/>
      <c r="Z26" s="17"/>
      <c r="AA26" s="17"/>
      <c r="AB26" s="17"/>
      <c r="AC26" s="17"/>
    </row>
    <row r="27" spans="1:29" x14ac:dyDescent="0.25">
      <c r="A27" s="17"/>
      <c r="X27" s="20"/>
      <c r="Y27" s="17"/>
      <c r="Z27" s="17"/>
      <c r="AA27" s="17"/>
      <c r="AB27" s="17"/>
      <c r="AC27" s="17"/>
    </row>
    <row r="28" spans="1:29" x14ac:dyDescent="0.25">
      <c r="A28" s="17"/>
      <c r="X28" s="20"/>
      <c r="Y28" s="17"/>
      <c r="Z28" s="17"/>
      <c r="AA28" s="17"/>
      <c r="AB28" s="17"/>
      <c r="AC28" s="17"/>
    </row>
    <row r="29" spans="1:29" x14ac:dyDescent="0.25">
      <c r="A29" s="17"/>
      <c r="X29" s="20"/>
      <c r="Y29" s="17"/>
      <c r="Z29" s="17"/>
      <c r="AA29" s="17"/>
      <c r="AB29" s="17"/>
      <c r="AC29" s="17"/>
    </row>
    <row r="30" spans="1:29" x14ac:dyDescent="0.25">
      <c r="A30" s="17"/>
      <c r="X30" s="20"/>
      <c r="Y30" s="17"/>
      <c r="Z30" s="17"/>
      <c r="AA30" s="17"/>
      <c r="AB30" s="17"/>
      <c r="AC30" s="17"/>
    </row>
    <row r="31" spans="1:29" x14ac:dyDescent="0.25">
      <c r="A31" s="17"/>
      <c r="X31" s="20"/>
      <c r="Y31" s="17"/>
      <c r="Z31" s="17"/>
      <c r="AA31" s="17"/>
      <c r="AB31" s="17"/>
      <c r="AC31" s="17"/>
    </row>
    <row r="32" spans="1:29" x14ac:dyDescent="0.25">
      <c r="A32" s="17"/>
      <c r="X32" s="20"/>
      <c r="Y32" s="17"/>
      <c r="Z32" s="17"/>
      <c r="AA32" s="17"/>
      <c r="AB32" s="17"/>
      <c r="AC32" s="17"/>
    </row>
    <row r="33" spans="10:10" x14ac:dyDescent="0.25">
      <c r="J33" s="13"/>
    </row>
    <row r="34" spans="10:10" x14ac:dyDescent="0.25">
      <c r="J34" s="13"/>
    </row>
    <row r="35" spans="10:10" x14ac:dyDescent="0.25">
      <c r="J35" s="13"/>
    </row>
  </sheetData>
  <mergeCells count="20">
    <mergeCell ref="L15:O16"/>
    <mergeCell ref="P13:S14"/>
    <mergeCell ref="P15:S16"/>
    <mergeCell ref="T13:W14"/>
    <mergeCell ref="T15:W16"/>
    <mergeCell ref="X3:AC4"/>
    <mergeCell ref="A1:AC2"/>
    <mergeCell ref="S8:W9"/>
    <mergeCell ref="S10:W11"/>
    <mergeCell ref="L13:O14"/>
    <mergeCell ref="L10:N11"/>
    <mergeCell ref="O10:R11"/>
    <mergeCell ref="L8:N9"/>
    <mergeCell ref="O8:R9"/>
    <mergeCell ref="L3:N4"/>
    <mergeCell ref="L5:N6"/>
    <mergeCell ref="O3:R4"/>
    <mergeCell ref="O5:R6"/>
    <mergeCell ref="S3:W4"/>
    <mergeCell ref="S5:W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5AD0D5F4-D86C-436D-A24F-9E7FE01F3DB2}">
  <ds:schemaRefs/>
</ds:datastoreItem>
</file>

<file path=customXml/itemProps2.xml><?xml version="1.0" encoding="utf-8"?>
<ds:datastoreItem xmlns:ds="http://schemas.openxmlformats.org/officeDocument/2006/customXml" ds:itemID="{A99CE79A-1CE8-49A2-AFB3-68C5414573E8}">
  <ds:schemaRefs/>
</ds:datastoreItem>
</file>

<file path=customXml/itemProps3.xml><?xml version="1.0" encoding="utf-8"?>
<ds:datastoreItem xmlns:ds="http://schemas.openxmlformats.org/officeDocument/2006/customXml" ds:itemID="{A07C9EF9-CF2F-44A7-8F6E-6F09BEC88005}">
  <ds:schemaRefs/>
</ds:datastoreItem>
</file>

<file path=customXml/itemProps4.xml><?xml version="1.0" encoding="utf-8"?>
<ds:datastoreItem xmlns:ds="http://schemas.openxmlformats.org/officeDocument/2006/customXml" ds:itemID="{F54CD051-1B6F-4125-9D4E-92BDE769DA7F}">
  <ds:schemaRefs/>
</ds:datastoreItem>
</file>

<file path=customXml/itemProps5.xml><?xml version="1.0" encoding="utf-8"?>
<ds:datastoreItem xmlns:ds="http://schemas.openxmlformats.org/officeDocument/2006/customXml" ds:itemID="{C996D31F-25A7-4E9E-A0DC-34AEE705E81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Supply Chain</vt:lpstr>
      <vt:lpstr>KPIS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Faran Inamdar</cp:lastModifiedBy>
  <dcterms:created xsi:type="dcterms:W3CDTF">2025-09-15T03:49:00Z</dcterms:created>
  <dcterms:modified xsi:type="dcterms:W3CDTF">2026-01-08T13:50:48Z</dcterms:modified>
</cp:coreProperties>
</file>